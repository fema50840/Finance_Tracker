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dormalugin/Downloads/"/>
    </mc:Choice>
  </mc:AlternateContent>
  <xr:revisionPtr revIDLastSave="0" documentId="13_ncr:1_{1A5E02FF-2F05-9340-8B58-E99D711188B4}" xr6:coauthVersionLast="47" xr6:coauthVersionMax="47" xr10:uidLastSave="{00000000-0000-0000-0000-000000000000}"/>
  <bookViews>
    <workbookView xWindow="480" yWindow="-18300" windowWidth="27640" windowHeight="16760" xr2:uid="{B95FDAE7-E2E6-6C44-B598-56E9B5A041D8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77" i="1" l="1"/>
  <c r="G3977" i="1"/>
  <c r="F3977" i="1"/>
  <c r="E3977" i="1"/>
  <c r="D3977" i="1"/>
  <c r="C3977" i="1"/>
  <c r="B3977" i="1"/>
  <c r="A3977" i="1"/>
  <c r="H3976" i="1"/>
  <c r="G3976" i="1"/>
  <c r="F3976" i="1"/>
  <c r="E3976" i="1"/>
  <c r="D3976" i="1"/>
  <c r="C3976" i="1"/>
  <c r="B3976" i="1"/>
  <c r="A3976" i="1"/>
  <c r="H3975" i="1"/>
  <c r="G3975" i="1"/>
  <c r="F3975" i="1"/>
  <c r="E3975" i="1"/>
  <c r="D3975" i="1"/>
  <c r="C3975" i="1"/>
  <c r="B3975" i="1"/>
  <c r="A3975" i="1"/>
  <c r="H3974" i="1"/>
  <c r="G3974" i="1"/>
  <c r="F3974" i="1"/>
  <c r="E3974" i="1"/>
  <c r="D3974" i="1"/>
  <c r="C3974" i="1"/>
  <c r="B3974" i="1"/>
  <c r="A3974" i="1"/>
  <c r="H3973" i="1"/>
  <c r="G3973" i="1"/>
  <c r="F3973" i="1"/>
  <c r="E3973" i="1"/>
  <c r="D3973" i="1"/>
  <c r="C3973" i="1"/>
  <c r="B3973" i="1"/>
  <c r="A3973" i="1"/>
  <c r="H3972" i="1"/>
  <c r="G3972" i="1"/>
  <c r="F3972" i="1"/>
  <c r="E3972" i="1"/>
  <c r="D3972" i="1"/>
  <c r="C3972" i="1"/>
  <c r="B3972" i="1"/>
  <c r="A3972" i="1"/>
  <c r="H3971" i="1"/>
  <c r="G3971" i="1"/>
  <c r="F3971" i="1"/>
  <c r="E3971" i="1"/>
  <c r="D3971" i="1"/>
  <c r="C3971" i="1"/>
  <c r="B3971" i="1"/>
  <c r="A3971" i="1"/>
  <c r="H3970" i="1"/>
  <c r="G3970" i="1"/>
  <c r="F3970" i="1"/>
  <c r="E3970" i="1"/>
  <c r="D3970" i="1"/>
  <c r="C3970" i="1"/>
  <c r="B3970" i="1"/>
  <c r="A3970" i="1"/>
  <c r="H3969" i="1"/>
  <c r="G3969" i="1"/>
  <c r="F3969" i="1"/>
  <c r="E3969" i="1"/>
  <c r="D3969" i="1"/>
  <c r="C3969" i="1"/>
  <c r="B3969" i="1"/>
  <c r="A3969" i="1"/>
  <c r="H3968" i="1"/>
  <c r="G3968" i="1"/>
  <c r="F3968" i="1"/>
  <c r="E3968" i="1"/>
  <c r="D3968" i="1"/>
  <c r="C3968" i="1"/>
  <c r="B3968" i="1"/>
  <c r="A3968" i="1"/>
  <c r="H3967" i="1"/>
  <c r="G3967" i="1"/>
  <c r="F3967" i="1"/>
  <c r="E3967" i="1"/>
  <c r="D3967" i="1"/>
  <c r="C3967" i="1"/>
  <c r="B3967" i="1"/>
  <c r="A3967" i="1"/>
  <c r="H3966" i="1"/>
  <c r="G3966" i="1"/>
  <c r="F3966" i="1"/>
  <c r="E3966" i="1"/>
  <c r="D3966" i="1"/>
  <c r="C3966" i="1"/>
  <c r="B3966" i="1"/>
  <c r="A3966" i="1"/>
  <c r="H3965" i="1"/>
  <c r="G3965" i="1"/>
  <c r="F3965" i="1"/>
  <c r="E3965" i="1"/>
  <c r="D3965" i="1"/>
  <c r="C3965" i="1"/>
  <c r="B3965" i="1"/>
  <c r="A3965" i="1"/>
  <c r="H3964" i="1"/>
  <c r="G3964" i="1"/>
  <c r="F3964" i="1"/>
  <c r="E3964" i="1"/>
  <c r="D3964" i="1"/>
  <c r="C3964" i="1"/>
  <c r="B3964" i="1"/>
  <c r="A3964" i="1"/>
  <c r="H3963" i="1"/>
  <c r="G3963" i="1"/>
  <c r="F3963" i="1"/>
  <c r="E3963" i="1"/>
  <c r="D3963" i="1"/>
  <c r="C3963" i="1"/>
  <c r="B3963" i="1"/>
  <c r="A3963" i="1"/>
  <c r="H3962" i="1"/>
  <c r="G3962" i="1"/>
  <c r="F3962" i="1"/>
  <c r="E3962" i="1"/>
  <c r="D3962" i="1"/>
  <c r="C3962" i="1"/>
  <c r="B3962" i="1"/>
  <c r="A3962" i="1"/>
  <c r="H3961" i="1"/>
  <c r="G3961" i="1"/>
  <c r="F3961" i="1"/>
  <c r="E3961" i="1"/>
  <c r="D3961" i="1"/>
  <c r="C3961" i="1"/>
  <c r="B3961" i="1"/>
  <c r="A3961" i="1"/>
  <c r="H3960" i="1"/>
  <c r="G3960" i="1"/>
  <c r="F3960" i="1"/>
  <c r="E3960" i="1"/>
  <c r="D3960" i="1"/>
  <c r="C3960" i="1"/>
  <c r="B3960" i="1"/>
  <c r="A3960" i="1"/>
  <c r="H3959" i="1"/>
  <c r="G3959" i="1"/>
  <c r="F3959" i="1"/>
  <c r="E3959" i="1"/>
  <c r="D3959" i="1"/>
  <c r="C3959" i="1"/>
  <c r="B3959" i="1"/>
  <c r="A3959" i="1"/>
  <c r="H3958" i="1"/>
  <c r="G3958" i="1"/>
  <c r="F3958" i="1"/>
  <c r="E3958" i="1"/>
  <c r="D3958" i="1"/>
  <c r="C3958" i="1"/>
  <c r="B3958" i="1"/>
  <c r="A3958" i="1"/>
  <c r="H3957" i="1"/>
  <c r="G3957" i="1"/>
  <c r="F3957" i="1"/>
  <c r="E3957" i="1"/>
  <c r="D3957" i="1"/>
  <c r="C3957" i="1"/>
  <c r="B3957" i="1"/>
  <c r="A3957" i="1"/>
  <c r="H3956" i="1"/>
  <c r="G3956" i="1"/>
  <c r="F3956" i="1"/>
  <c r="E3956" i="1"/>
  <c r="D3956" i="1"/>
  <c r="C3956" i="1"/>
  <c r="B3956" i="1"/>
  <c r="A3956" i="1"/>
  <c r="H3955" i="1"/>
  <c r="G3955" i="1"/>
  <c r="F3955" i="1"/>
  <c r="E3955" i="1"/>
  <c r="D3955" i="1"/>
  <c r="C3955" i="1"/>
  <c r="B3955" i="1"/>
  <c r="A3955" i="1"/>
  <c r="H3954" i="1"/>
  <c r="G3954" i="1"/>
  <c r="F3954" i="1"/>
  <c r="E3954" i="1"/>
  <c r="D3954" i="1"/>
  <c r="C3954" i="1"/>
  <c r="B3954" i="1"/>
  <c r="A3954" i="1"/>
  <c r="H3953" i="1"/>
  <c r="G3953" i="1"/>
  <c r="F3953" i="1"/>
  <c r="E3953" i="1"/>
  <c r="D3953" i="1"/>
  <c r="C3953" i="1"/>
  <c r="B3953" i="1"/>
  <c r="A3953" i="1"/>
  <c r="H3952" i="1"/>
  <c r="G3952" i="1"/>
  <c r="F3952" i="1"/>
  <c r="E3952" i="1"/>
  <c r="D3952" i="1"/>
  <c r="C3952" i="1"/>
  <c r="B3952" i="1"/>
  <c r="A3952" i="1"/>
  <c r="H3951" i="1"/>
  <c r="G3951" i="1"/>
  <c r="F3951" i="1"/>
  <c r="E3951" i="1"/>
  <c r="D3951" i="1"/>
  <c r="C3951" i="1"/>
  <c r="B3951" i="1"/>
  <c r="A3951" i="1"/>
  <c r="H3950" i="1"/>
  <c r="G3950" i="1"/>
  <c r="F3950" i="1"/>
  <c r="E3950" i="1"/>
  <c r="D3950" i="1"/>
  <c r="C3950" i="1"/>
  <c r="B3950" i="1"/>
  <c r="A3950" i="1"/>
  <c r="H3949" i="1"/>
  <c r="G3949" i="1"/>
  <c r="F3949" i="1"/>
  <c r="E3949" i="1"/>
  <c r="D3949" i="1"/>
  <c r="C3949" i="1"/>
  <c r="B3949" i="1"/>
  <c r="A3949" i="1"/>
  <c r="H3948" i="1"/>
  <c r="G3948" i="1"/>
  <c r="F3948" i="1"/>
  <c r="E3948" i="1"/>
  <c r="D3948" i="1"/>
  <c r="C3948" i="1"/>
  <c r="B3948" i="1"/>
  <c r="A3948" i="1"/>
  <c r="H3947" i="1"/>
  <c r="G3947" i="1"/>
  <c r="F3947" i="1"/>
  <c r="E3947" i="1"/>
  <c r="D3947" i="1"/>
  <c r="C3947" i="1"/>
  <c r="B3947" i="1"/>
  <c r="A3947" i="1"/>
  <c r="H3946" i="1"/>
  <c r="G3946" i="1"/>
  <c r="F3946" i="1"/>
  <c r="E3946" i="1"/>
  <c r="D3946" i="1"/>
  <c r="C3946" i="1"/>
  <c r="B3946" i="1"/>
  <c r="A3946" i="1"/>
  <c r="H3945" i="1"/>
  <c r="G3945" i="1"/>
  <c r="F3945" i="1"/>
  <c r="E3945" i="1"/>
  <c r="D3945" i="1"/>
  <c r="C3945" i="1"/>
  <c r="B3945" i="1"/>
  <c r="A3945" i="1"/>
  <c r="H3944" i="1"/>
  <c r="G3944" i="1"/>
  <c r="F3944" i="1"/>
  <c r="E3944" i="1"/>
  <c r="D3944" i="1"/>
  <c r="C3944" i="1"/>
  <c r="B3944" i="1"/>
  <c r="A3944" i="1"/>
  <c r="H3943" i="1"/>
  <c r="G3943" i="1"/>
  <c r="F3943" i="1"/>
  <c r="E3943" i="1"/>
  <c r="D3943" i="1"/>
  <c r="C3943" i="1"/>
  <c r="B3943" i="1"/>
  <c r="A3943" i="1"/>
  <c r="H3942" i="1"/>
  <c r="G3942" i="1"/>
  <c r="F3942" i="1"/>
  <c r="E3942" i="1"/>
  <c r="D3942" i="1"/>
  <c r="C3942" i="1"/>
  <c r="B3942" i="1"/>
  <c r="A3942" i="1"/>
  <c r="H3941" i="1"/>
  <c r="G3941" i="1"/>
  <c r="F3941" i="1"/>
  <c r="E3941" i="1"/>
  <c r="D3941" i="1"/>
  <c r="C3941" i="1"/>
  <c r="B3941" i="1"/>
  <c r="A3941" i="1"/>
  <c r="H3940" i="1"/>
  <c r="G3940" i="1"/>
  <c r="F3940" i="1"/>
  <c r="E3940" i="1"/>
  <c r="D3940" i="1"/>
  <c r="C3940" i="1"/>
  <c r="B3940" i="1"/>
  <c r="A3940" i="1"/>
  <c r="H3939" i="1"/>
  <c r="G3939" i="1"/>
  <c r="F3939" i="1"/>
  <c r="E3939" i="1"/>
  <c r="D3939" i="1"/>
  <c r="C3939" i="1"/>
  <c r="B3939" i="1"/>
  <c r="A3939" i="1"/>
  <c r="H3938" i="1"/>
  <c r="G3938" i="1"/>
  <c r="F3938" i="1"/>
  <c r="E3938" i="1"/>
  <c r="D3938" i="1"/>
  <c r="C3938" i="1"/>
  <c r="B3938" i="1"/>
  <c r="A3938" i="1"/>
  <c r="H3937" i="1"/>
  <c r="G3937" i="1"/>
  <c r="F3937" i="1"/>
  <c r="E3937" i="1"/>
  <c r="D3937" i="1"/>
  <c r="C3937" i="1"/>
  <c r="B3937" i="1"/>
  <c r="A3937" i="1"/>
  <c r="H3936" i="1"/>
  <c r="G3936" i="1"/>
  <c r="F3936" i="1"/>
  <c r="E3936" i="1"/>
  <c r="D3936" i="1"/>
  <c r="C3936" i="1"/>
  <c r="B3936" i="1"/>
  <c r="A3936" i="1"/>
  <c r="H3935" i="1"/>
  <c r="G3935" i="1"/>
  <c r="F3935" i="1"/>
  <c r="E3935" i="1"/>
  <c r="D3935" i="1"/>
  <c r="C3935" i="1"/>
  <c r="B3935" i="1"/>
  <c r="A3935" i="1"/>
  <c r="H3934" i="1"/>
  <c r="G3934" i="1"/>
  <c r="F3934" i="1"/>
  <c r="E3934" i="1"/>
  <c r="D3934" i="1"/>
  <c r="C3934" i="1"/>
  <c r="B3934" i="1"/>
  <c r="A3934" i="1"/>
  <c r="H3933" i="1"/>
  <c r="G3933" i="1"/>
  <c r="F3933" i="1"/>
  <c r="E3933" i="1"/>
  <c r="D3933" i="1"/>
  <c r="C3933" i="1"/>
  <c r="B3933" i="1"/>
  <c r="A3933" i="1"/>
  <c r="H3932" i="1"/>
  <c r="G3932" i="1"/>
  <c r="F3932" i="1"/>
  <c r="E3932" i="1"/>
  <c r="D3932" i="1"/>
  <c r="C3932" i="1"/>
  <c r="B3932" i="1"/>
  <c r="A3932" i="1"/>
  <c r="H3931" i="1"/>
  <c r="G3931" i="1"/>
  <c r="F3931" i="1"/>
  <c r="E3931" i="1"/>
  <c r="D3931" i="1"/>
  <c r="C3931" i="1"/>
  <c r="B3931" i="1"/>
  <c r="A3931" i="1"/>
  <c r="H3930" i="1"/>
  <c r="G3930" i="1"/>
  <c r="F3930" i="1"/>
  <c r="E3930" i="1"/>
  <c r="D3930" i="1"/>
  <c r="C3930" i="1"/>
  <c r="B3930" i="1"/>
  <c r="A3930" i="1"/>
  <c r="H3929" i="1"/>
  <c r="G3929" i="1"/>
  <c r="F3929" i="1"/>
  <c r="E3929" i="1"/>
  <c r="D3929" i="1"/>
  <c r="C3929" i="1"/>
  <c r="B3929" i="1"/>
  <c r="A3929" i="1"/>
  <c r="H3928" i="1"/>
  <c r="G3928" i="1"/>
  <c r="F3928" i="1"/>
  <c r="E3928" i="1"/>
  <c r="D3928" i="1"/>
  <c r="C3928" i="1"/>
  <c r="B3928" i="1"/>
  <c r="A3928" i="1"/>
  <c r="H3927" i="1"/>
  <c r="G3927" i="1"/>
  <c r="F3927" i="1"/>
  <c r="E3927" i="1"/>
  <c r="D3927" i="1"/>
  <c r="C3927" i="1"/>
  <c r="B3927" i="1"/>
  <c r="A3927" i="1"/>
  <c r="H3926" i="1"/>
  <c r="G3926" i="1"/>
  <c r="F3926" i="1"/>
  <c r="E3926" i="1"/>
  <c r="D3926" i="1"/>
  <c r="C3926" i="1"/>
  <c r="B3926" i="1"/>
  <c r="A3926" i="1"/>
  <c r="H3925" i="1"/>
  <c r="G3925" i="1"/>
  <c r="F3925" i="1"/>
  <c r="E3925" i="1"/>
  <c r="D3925" i="1"/>
  <c r="C3925" i="1"/>
  <c r="B3925" i="1"/>
  <c r="A3925" i="1"/>
  <c r="H3924" i="1"/>
  <c r="G3924" i="1"/>
  <c r="F3924" i="1"/>
  <c r="E3924" i="1"/>
  <c r="D3924" i="1"/>
  <c r="C3924" i="1"/>
  <c r="B3924" i="1"/>
  <c r="A3924" i="1"/>
  <c r="H3923" i="1"/>
  <c r="G3923" i="1"/>
  <c r="F3923" i="1"/>
  <c r="E3923" i="1"/>
  <c r="D3923" i="1"/>
  <c r="C3923" i="1"/>
  <c r="B3923" i="1"/>
  <c r="A3923" i="1"/>
  <c r="H3922" i="1"/>
  <c r="G3922" i="1"/>
  <c r="F3922" i="1"/>
  <c r="E3922" i="1"/>
  <c r="D3922" i="1"/>
  <c r="C3922" i="1"/>
  <c r="B3922" i="1"/>
  <c r="A3922" i="1"/>
  <c r="H3921" i="1"/>
  <c r="G3921" i="1"/>
  <c r="F3921" i="1"/>
  <c r="E3921" i="1"/>
  <c r="D3921" i="1"/>
  <c r="C3921" i="1"/>
  <c r="B3921" i="1"/>
  <c r="A3921" i="1"/>
  <c r="H3920" i="1"/>
  <c r="G3920" i="1"/>
  <c r="F3920" i="1"/>
  <c r="E3920" i="1"/>
  <c r="D3920" i="1"/>
  <c r="C3920" i="1"/>
  <c r="B3920" i="1"/>
  <c r="A3920" i="1"/>
  <c r="H3919" i="1"/>
  <c r="G3919" i="1"/>
  <c r="F3919" i="1"/>
  <c r="E3919" i="1"/>
  <c r="D3919" i="1"/>
  <c r="C3919" i="1"/>
  <c r="B3919" i="1"/>
  <c r="A3919" i="1"/>
  <c r="H3918" i="1"/>
  <c r="G3918" i="1"/>
  <c r="F3918" i="1"/>
  <c r="E3918" i="1"/>
  <c r="D3918" i="1"/>
  <c r="C3918" i="1"/>
  <c r="B3918" i="1"/>
  <c r="A3918" i="1"/>
  <c r="H3917" i="1"/>
  <c r="G3917" i="1"/>
  <c r="F3917" i="1"/>
  <c r="E3917" i="1"/>
  <c r="D3917" i="1"/>
  <c r="C3917" i="1"/>
  <c r="B3917" i="1"/>
  <c r="A3917" i="1"/>
  <c r="H3916" i="1"/>
  <c r="G3916" i="1"/>
  <c r="F3916" i="1"/>
  <c r="E3916" i="1"/>
  <c r="D3916" i="1"/>
  <c r="C3916" i="1"/>
  <c r="B3916" i="1"/>
  <c r="A3916" i="1"/>
  <c r="H3915" i="1"/>
  <c r="G3915" i="1"/>
  <c r="F3915" i="1"/>
  <c r="E3915" i="1"/>
  <c r="D3915" i="1"/>
  <c r="C3915" i="1"/>
  <c r="B3915" i="1"/>
  <c r="A3915" i="1"/>
  <c r="H3914" i="1"/>
  <c r="G3914" i="1"/>
  <c r="F3914" i="1"/>
  <c r="E3914" i="1"/>
  <c r="D3914" i="1"/>
  <c r="C3914" i="1"/>
  <c r="B3914" i="1"/>
  <c r="A3914" i="1"/>
  <c r="H3913" i="1"/>
  <c r="G3913" i="1"/>
  <c r="F3913" i="1"/>
  <c r="E3913" i="1"/>
  <c r="D3913" i="1"/>
  <c r="C3913" i="1"/>
  <c r="B3913" i="1"/>
  <c r="A3913" i="1"/>
  <c r="H3912" i="1"/>
  <c r="G3912" i="1"/>
  <c r="F3912" i="1"/>
  <c r="E3912" i="1"/>
  <c r="D3912" i="1"/>
  <c r="C3912" i="1"/>
  <c r="B3912" i="1"/>
  <c r="A3912" i="1"/>
  <c r="H3911" i="1"/>
  <c r="G3911" i="1"/>
  <c r="F3911" i="1"/>
  <c r="E3911" i="1"/>
  <c r="D3911" i="1"/>
  <c r="C3911" i="1"/>
  <c r="B3911" i="1"/>
  <c r="A3911" i="1"/>
  <c r="H3910" i="1"/>
  <c r="G3910" i="1"/>
  <c r="F3910" i="1"/>
  <c r="E3910" i="1"/>
  <c r="D3910" i="1"/>
  <c r="C3910" i="1"/>
  <c r="B3910" i="1"/>
  <c r="A3910" i="1"/>
  <c r="H3909" i="1"/>
  <c r="G3909" i="1"/>
  <c r="F3909" i="1"/>
  <c r="E3909" i="1"/>
  <c r="D3909" i="1"/>
  <c r="C3909" i="1"/>
  <c r="B3909" i="1"/>
  <c r="A3909" i="1"/>
  <c r="H3908" i="1"/>
  <c r="G3908" i="1"/>
  <c r="F3908" i="1"/>
  <c r="E3908" i="1"/>
  <c r="D3908" i="1"/>
  <c r="C3908" i="1"/>
  <c r="B3908" i="1"/>
  <c r="A3908" i="1"/>
  <c r="H3907" i="1"/>
  <c r="G3907" i="1"/>
  <c r="F3907" i="1"/>
  <c r="E3907" i="1"/>
  <c r="D3907" i="1"/>
  <c r="C3907" i="1"/>
  <c r="B3907" i="1"/>
  <c r="A3907" i="1"/>
  <c r="H3906" i="1"/>
  <c r="G3906" i="1"/>
  <c r="F3906" i="1"/>
  <c r="E3906" i="1"/>
  <c r="D3906" i="1"/>
  <c r="C3906" i="1"/>
  <c r="B3906" i="1"/>
  <c r="A3906" i="1"/>
  <c r="H3905" i="1"/>
  <c r="G3905" i="1"/>
  <c r="F3905" i="1"/>
  <c r="E3905" i="1"/>
  <c r="D3905" i="1"/>
  <c r="C3905" i="1"/>
  <c r="B3905" i="1"/>
  <c r="A3905" i="1"/>
  <c r="H3904" i="1"/>
  <c r="G3904" i="1"/>
  <c r="F3904" i="1"/>
  <c r="E3904" i="1"/>
  <c r="D3904" i="1"/>
  <c r="C3904" i="1"/>
  <c r="B3904" i="1"/>
  <c r="A3904" i="1"/>
  <c r="H3903" i="1"/>
  <c r="G3903" i="1"/>
  <c r="F3903" i="1"/>
  <c r="E3903" i="1"/>
  <c r="D3903" i="1"/>
  <c r="C3903" i="1"/>
  <c r="B3903" i="1"/>
  <c r="A3903" i="1"/>
  <c r="H3902" i="1"/>
  <c r="G3902" i="1"/>
  <c r="F3902" i="1"/>
  <c r="E3902" i="1"/>
  <c r="D3902" i="1"/>
  <c r="C3902" i="1"/>
  <c r="B3902" i="1"/>
  <c r="A3902" i="1"/>
  <c r="H3901" i="1"/>
  <c r="G3901" i="1"/>
  <c r="F3901" i="1"/>
  <c r="E3901" i="1"/>
  <c r="D3901" i="1"/>
  <c r="C3901" i="1"/>
  <c r="B3901" i="1"/>
  <c r="A3901" i="1"/>
  <c r="H3900" i="1"/>
  <c r="G3900" i="1"/>
  <c r="F3900" i="1"/>
  <c r="E3900" i="1"/>
  <c r="D3900" i="1"/>
  <c r="C3900" i="1"/>
  <c r="B3900" i="1"/>
  <c r="A3900" i="1"/>
  <c r="H3899" i="1"/>
  <c r="G3899" i="1"/>
  <c r="F3899" i="1"/>
  <c r="E3899" i="1"/>
  <c r="D3899" i="1"/>
  <c r="C3899" i="1"/>
  <c r="B3899" i="1"/>
  <c r="A3899" i="1"/>
  <c r="H3898" i="1"/>
  <c r="G3898" i="1"/>
  <c r="F3898" i="1"/>
  <c r="E3898" i="1"/>
  <c r="D3898" i="1"/>
  <c r="C3898" i="1"/>
  <c r="B3898" i="1"/>
  <c r="A3898" i="1"/>
  <c r="H3897" i="1"/>
  <c r="G3897" i="1"/>
  <c r="F3897" i="1"/>
  <c r="E3897" i="1"/>
  <c r="D3897" i="1"/>
  <c r="C3897" i="1"/>
  <c r="B3897" i="1"/>
  <c r="A3897" i="1"/>
  <c r="H3896" i="1"/>
  <c r="G3896" i="1"/>
  <c r="F3896" i="1"/>
  <c r="E3896" i="1"/>
  <c r="D3896" i="1"/>
  <c r="C3896" i="1"/>
  <c r="B3896" i="1"/>
  <c r="A3896" i="1"/>
  <c r="H3895" i="1"/>
  <c r="G3895" i="1"/>
  <c r="F3895" i="1"/>
  <c r="E3895" i="1"/>
  <c r="D3895" i="1"/>
  <c r="C3895" i="1"/>
  <c r="B3895" i="1"/>
  <c r="A3895" i="1"/>
  <c r="H3894" i="1"/>
  <c r="G3894" i="1"/>
  <c r="F3894" i="1"/>
  <c r="E3894" i="1"/>
  <c r="D3894" i="1"/>
  <c r="C3894" i="1"/>
  <c r="B3894" i="1"/>
  <c r="A3894" i="1"/>
  <c r="H3893" i="1"/>
  <c r="G3893" i="1"/>
  <c r="F3893" i="1"/>
  <c r="E3893" i="1"/>
  <c r="D3893" i="1"/>
  <c r="C3893" i="1"/>
  <c r="B3893" i="1"/>
  <c r="A3893" i="1"/>
  <c r="H3892" i="1"/>
  <c r="G3892" i="1"/>
  <c r="F3892" i="1"/>
  <c r="E3892" i="1"/>
  <c r="D3892" i="1"/>
  <c r="C3892" i="1"/>
  <c r="B3892" i="1"/>
  <c r="A3892" i="1"/>
  <c r="H3891" i="1"/>
  <c r="G3891" i="1"/>
  <c r="F3891" i="1"/>
  <c r="E3891" i="1"/>
  <c r="D3891" i="1"/>
  <c r="C3891" i="1"/>
  <c r="B3891" i="1"/>
  <c r="A3891" i="1"/>
  <c r="H3890" i="1"/>
  <c r="G3890" i="1"/>
  <c r="F3890" i="1"/>
  <c r="E3890" i="1"/>
  <c r="D3890" i="1"/>
  <c r="C3890" i="1"/>
  <c r="B3890" i="1"/>
  <c r="A3890" i="1"/>
  <c r="H3889" i="1"/>
  <c r="G3889" i="1"/>
  <c r="F3889" i="1"/>
  <c r="E3889" i="1"/>
  <c r="D3889" i="1"/>
  <c r="C3889" i="1"/>
  <c r="B3889" i="1"/>
  <c r="A3889" i="1"/>
  <c r="H3888" i="1"/>
  <c r="G3888" i="1"/>
  <c r="F3888" i="1"/>
  <c r="E3888" i="1"/>
  <c r="D3888" i="1"/>
  <c r="C3888" i="1"/>
  <c r="B3888" i="1"/>
  <c r="A3888" i="1"/>
  <c r="H3887" i="1"/>
  <c r="G3887" i="1"/>
  <c r="F3887" i="1"/>
  <c r="E3887" i="1"/>
  <c r="D3887" i="1"/>
  <c r="C3887" i="1"/>
  <c r="B3887" i="1"/>
  <c r="A3887" i="1"/>
  <c r="H3886" i="1"/>
  <c r="G3886" i="1"/>
  <c r="F3886" i="1"/>
  <c r="E3886" i="1"/>
  <c r="D3886" i="1"/>
  <c r="C3886" i="1"/>
  <c r="B3886" i="1"/>
  <c r="A3886" i="1"/>
  <c r="H3885" i="1"/>
  <c r="G3885" i="1"/>
  <c r="F3885" i="1"/>
  <c r="E3885" i="1"/>
  <c r="D3885" i="1"/>
  <c r="C3885" i="1"/>
  <c r="B3885" i="1"/>
  <c r="A3885" i="1"/>
  <c r="H3884" i="1"/>
  <c r="G3884" i="1"/>
  <c r="F3884" i="1"/>
  <c r="E3884" i="1"/>
  <c r="D3884" i="1"/>
  <c r="C3884" i="1"/>
  <c r="B3884" i="1"/>
  <c r="A3884" i="1"/>
  <c r="H3883" i="1"/>
  <c r="G3883" i="1"/>
  <c r="F3883" i="1"/>
  <c r="E3883" i="1"/>
  <c r="D3883" i="1"/>
  <c r="C3883" i="1"/>
  <c r="B3883" i="1"/>
  <c r="A3883" i="1"/>
  <c r="H3882" i="1"/>
  <c r="G3882" i="1"/>
  <c r="F3882" i="1"/>
  <c r="E3882" i="1"/>
  <c r="D3882" i="1"/>
  <c r="C3882" i="1"/>
  <c r="B3882" i="1"/>
  <c r="A3882" i="1"/>
  <c r="H3881" i="1"/>
  <c r="G3881" i="1"/>
  <c r="F3881" i="1"/>
  <c r="E3881" i="1"/>
  <c r="D3881" i="1"/>
  <c r="C3881" i="1"/>
  <c r="B3881" i="1"/>
  <c r="A3881" i="1"/>
  <c r="H3880" i="1"/>
  <c r="G3880" i="1"/>
  <c r="F3880" i="1"/>
  <c r="E3880" i="1"/>
  <c r="D3880" i="1"/>
  <c r="C3880" i="1"/>
  <c r="B3880" i="1"/>
  <c r="A3880" i="1"/>
  <c r="H3879" i="1"/>
  <c r="G3879" i="1"/>
  <c r="F3879" i="1"/>
  <c r="E3879" i="1"/>
  <c r="D3879" i="1"/>
  <c r="C3879" i="1"/>
  <c r="B3879" i="1"/>
  <c r="A3879" i="1"/>
  <c r="H3878" i="1"/>
  <c r="G3878" i="1"/>
  <c r="F3878" i="1"/>
  <c r="E3878" i="1"/>
  <c r="D3878" i="1"/>
  <c r="C3878" i="1"/>
  <c r="B3878" i="1"/>
  <c r="A3878" i="1"/>
  <c r="H3877" i="1"/>
  <c r="G3877" i="1"/>
  <c r="F3877" i="1"/>
  <c r="E3877" i="1"/>
  <c r="D3877" i="1"/>
  <c r="C3877" i="1"/>
  <c r="B3877" i="1"/>
  <c r="A3877" i="1"/>
  <c r="H3876" i="1"/>
  <c r="G3876" i="1"/>
  <c r="F3876" i="1"/>
  <c r="E3876" i="1"/>
  <c r="D3876" i="1"/>
  <c r="C3876" i="1"/>
  <c r="B3876" i="1"/>
  <c r="A3876" i="1"/>
  <c r="H3875" i="1"/>
  <c r="G3875" i="1"/>
  <c r="F3875" i="1"/>
  <c r="E3875" i="1"/>
  <c r="D3875" i="1"/>
  <c r="C3875" i="1"/>
  <c r="B3875" i="1"/>
  <c r="A3875" i="1"/>
  <c r="H3874" i="1"/>
  <c r="G3874" i="1"/>
  <c r="F3874" i="1"/>
  <c r="E3874" i="1"/>
  <c r="D3874" i="1"/>
  <c r="C3874" i="1"/>
  <c r="B3874" i="1"/>
  <c r="A3874" i="1"/>
  <c r="H3873" i="1"/>
  <c r="G3873" i="1"/>
  <c r="F3873" i="1"/>
  <c r="E3873" i="1"/>
  <c r="D3873" i="1"/>
  <c r="C3873" i="1"/>
  <c r="B3873" i="1"/>
  <c r="A3873" i="1"/>
  <c r="H3872" i="1"/>
  <c r="G3872" i="1"/>
  <c r="F3872" i="1"/>
  <c r="E3872" i="1"/>
  <c r="D3872" i="1"/>
  <c r="C3872" i="1"/>
  <c r="B3872" i="1"/>
  <c r="A3872" i="1"/>
  <c r="H3871" i="1"/>
  <c r="G3871" i="1"/>
  <c r="F3871" i="1"/>
  <c r="E3871" i="1"/>
  <c r="D3871" i="1"/>
  <c r="C3871" i="1"/>
  <c r="B3871" i="1"/>
  <c r="A3871" i="1"/>
  <c r="H3870" i="1"/>
  <c r="G3870" i="1"/>
  <c r="F3870" i="1"/>
  <c r="E3870" i="1"/>
  <c r="D3870" i="1"/>
  <c r="C3870" i="1"/>
  <c r="B3870" i="1"/>
  <c r="A3870" i="1"/>
  <c r="H3869" i="1"/>
  <c r="G3869" i="1"/>
  <c r="F3869" i="1"/>
  <c r="E3869" i="1"/>
  <c r="D3869" i="1"/>
  <c r="C3869" i="1"/>
  <c r="B3869" i="1"/>
  <c r="A3869" i="1"/>
  <c r="H3868" i="1"/>
  <c r="G3868" i="1"/>
  <c r="F3868" i="1"/>
  <c r="E3868" i="1"/>
  <c r="D3868" i="1"/>
  <c r="C3868" i="1"/>
  <c r="B3868" i="1"/>
  <c r="A3868" i="1"/>
  <c r="H3867" i="1"/>
  <c r="G3867" i="1"/>
  <c r="F3867" i="1"/>
  <c r="E3867" i="1"/>
  <c r="D3867" i="1"/>
  <c r="C3867" i="1"/>
  <c r="B3867" i="1"/>
  <c r="A3867" i="1"/>
  <c r="H3866" i="1"/>
  <c r="G3866" i="1"/>
  <c r="F3866" i="1"/>
  <c r="E3866" i="1"/>
  <c r="D3866" i="1"/>
  <c r="C3866" i="1"/>
  <c r="B3866" i="1"/>
  <c r="A3866" i="1"/>
  <c r="H3865" i="1"/>
  <c r="G3865" i="1"/>
  <c r="F3865" i="1"/>
  <c r="E3865" i="1"/>
  <c r="D3865" i="1"/>
  <c r="C3865" i="1"/>
  <c r="B3865" i="1"/>
  <c r="A3865" i="1"/>
  <c r="H3864" i="1"/>
  <c r="G3864" i="1"/>
  <c r="F3864" i="1"/>
  <c r="E3864" i="1"/>
  <c r="D3864" i="1"/>
  <c r="C3864" i="1"/>
  <c r="B3864" i="1"/>
  <c r="A3864" i="1"/>
  <c r="H3863" i="1"/>
  <c r="G3863" i="1"/>
  <c r="F3863" i="1"/>
  <c r="E3863" i="1"/>
  <c r="D3863" i="1"/>
  <c r="C3863" i="1"/>
  <c r="B3863" i="1"/>
  <c r="A3863" i="1"/>
  <c r="H3862" i="1"/>
  <c r="G3862" i="1"/>
  <c r="F3862" i="1"/>
  <c r="E3862" i="1"/>
  <c r="D3862" i="1"/>
  <c r="C3862" i="1"/>
  <c r="B3862" i="1"/>
  <c r="A3862" i="1"/>
  <c r="H3861" i="1"/>
  <c r="G3861" i="1"/>
  <c r="F3861" i="1"/>
  <c r="E3861" i="1"/>
  <c r="D3861" i="1"/>
  <c r="C3861" i="1"/>
  <c r="B3861" i="1"/>
  <c r="A3861" i="1"/>
  <c r="H3860" i="1"/>
  <c r="G3860" i="1"/>
  <c r="F3860" i="1"/>
  <c r="E3860" i="1"/>
  <c r="D3860" i="1"/>
  <c r="C3860" i="1"/>
  <c r="B3860" i="1"/>
  <c r="A3860" i="1"/>
  <c r="H3859" i="1"/>
  <c r="G3859" i="1"/>
  <c r="F3859" i="1"/>
  <c r="E3859" i="1"/>
  <c r="D3859" i="1"/>
  <c r="C3859" i="1"/>
  <c r="B3859" i="1"/>
  <c r="A3859" i="1"/>
  <c r="H3858" i="1"/>
  <c r="G3858" i="1"/>
  <c r="F3858" i="1"/>
  <c r="E3858" i="1"/>
  <c r="D3858" i="1"/>
  <c r="C3858" i="1"/>
  <c r="B3858" i="1"/>
  <c r="A3858" i="1"/>
  <c r="H3857" i="1"/>
  <c r="G3857" i="1"/>
  <c r="F3857" i="1"/>
  <c r="E3857" i="1"/>
  <c r="D3857" i="1"/>
  <c r="C3857" i="1"/>
  <c r="B3857" i="1"/>
  <c r="A3857" i="1"/>
  <c r="H3856" i="1"/>
  <c r="G3856" i="1"/>
  <c r="F3856" i="1"/>
  <c r="E3856" i="1"/>
  <c r="D3856" i="1"/>
  <c r="C3856" i="1"/>
  <c r="B3856" i="1"/>
  <c r="A3856" i="1"/>
  <c r="H3855" i="1"/>
  <c r="G3855" i="1"/>
  <c r="F3855" i="1"/>
  <c r="E3855" i="1"/>
  <c r="D3855" i="1"/>
  <c r="C3855" i="1"/>
  <c r="B3855" i="1"/>
  <c r="A3855" i="1"/>
  <c r="H3854" i="1"/>
  <c r="G3854" i="1"/>
  <c r="F3854" i="1"/>
  <c r="E3854" i="1"/>
  <c r="D3854" i="1"/>
  <c r="C3854" i="1"/>
  <c r="B3854" i="1"/>
  <c r="A3854" i="1"/>
  <c r="H3853" i="1"/>
  <c r="G3853" i="1"/>
  <c r="F3853" i="1"/>
  <c r="E3853" i="1"/>
  <c r="D3853" i="1"/>
  <c r="C3853" i="1"/>
  <c r="B3853" i="1"/>
  <c r="A3853" i="1"/>
  <c r="H3852" i="1"/>
  <c r="G3852" i="1"/>
  <c r="F3852" i="1"/>
  <c r="E3852" i="1"/>
  <c r="D3852" i="1"/>
  <c r="C3852" i="1"/>
  <c r="B3852" i="1"/>
  <c r="A3852" i="1"/>
  <c r="H3851" i="1"/>
  <c r="G3851" i="1"/>
  <c r="F3851" i="1"/>
  <c r="E3851" i="1"/>
  <c r="D3851" i="1"/>
  <c r="C3851" i="1"/>
  <c r="B3851" i="1"/>
  <c r="A3851" i="1"/>
  <c r="H3850" i="1"/>
  <c r="G3850" i="1"/>
  <c r="F3850" i="1"/>
  <c r="E3850" i="1"/>
  <c r="D3850" i="1"/>
  <c r="C3850" i="1"/>
  <c r="B3850" i="1"/>
  <c r="A3850" i="1"/>
  <c r="H3849" i="1"/>
  <c r="G3849" i="1"/>
  <c r="F3849" i="1"/>
  <c r="E3849" i="1"/>
  <c r="D3849" i="1"/>
  <c r="C3849" i="1"/>
  <c r="B3849" i="1"/>
  <c r="A3849" i="1"/>
  <c r="H3848" i="1"/>
  <c r="G3848" i="1"/>
  <c r="F3848" i="1"/>
  <c r="E3848" i="1"/>
  <c r="D3848" i="1"/>
  <c r="C3848" i="1"/>
  <c r="B3848" i="1"/>
  <c r="A3848" i="1"/>
  <c r="H3847" i="1"/>
  <c r="G3847" i="1"/>
  <c r="F3847" i="1"/>
  <c r="E3847" i="1"/>
  <c r="D3847" i="1"/>
  <c r="C3847" i="1"/>
  <c r="B3847" i="1"/>
  <c r="A3847" i="1"/>
  <c r="H3846" i="1"/>
  <c r="G3846" i="1"/>
  <c r="F3846" i="1"/>
  <c r="E3846" i="1"/>
  <c r="D3846" i="1"/>
  <c r="C3846" i="1"/>
  <c r="B3846" i="1"/>
  <c r="A3846" i="1"/>
  <c r="H3845" i="1"/>
  <c r="G3845" i="1"/>
  <c r="F3845" i="1"/>
  <c r="E3845" i="1"/>
  <c r="D3845" i="1"/>
  <c r="C3845" i="1"/>
  <c r="B3845" i="1"/>
  <c r="A3845" i="1"/>
  <c r="H3844" i="1"/>
  <c r="G3844" i="1"/>
  <c r="F3844" i="1"/>
  <c r="E3844" i="1"/>
  <c r="D3844" i="1"/>
  <c r="C3844" i="1"/>
  <c r="B3844" i="1"/>
  <c r="A3844" i="1"/>
  <c r="H3843" i="1"/>
  <c r="G3843" i="1"/>
  <c r="F3843" i="1"/>
  <c r="E3843" i="1"/>
  <c r="D3843" i="1"/>
  <c r="C3843" i="1"/>
  <c r="B3843" i="1"/>
  <c r="A3843" i="1"/>
  <c r="H3842" i="1"/>
  <c r="G3842" i="1"/>
  <c r="F3842" i="1"/>
  <c r="E3842" i="1"/>
  <c r="D3842" i="1"/>
  <c r="C3842" i="1"/>
  <c r="B3842" i="1"/>
  <c r="A3842" i="1"/>
  <c r="H3841" i="1"/>
  <c r="G3841" i="1"/>
  <c r="F3841" i="1"/>
  <c r="E3841" i="1"/>
  <c r="D3841" i="1"/>
  <c r="C3841" i="1"/>
  <c r="B3841" i="1"/>
  <c r="A3841" i="1"/>
  <c r="H3840" i="1"/>
  <c r="G3840" i="1"/>
  <c r="F3840" i="1"/>
  <c r="E3840" i="1"/>
  <c r="D3840" i="1"/>
  <c r="C3840" i="1"/>
  <c r="B3840" i="1"/>
  <c r="A3840" i="1"/>
  <c r="H3839" i="1"/>
  <c r="G3839" i="1"/>
  <c r="F3839" i="1"/>
  <c r="E3839" i="1"/>
  <c r="D3839" i="1"/>
  <c r="C3839" i="1"/>
  <c r="B3839" i="1"/>
  <c r="A3839" i="1"/>
  <c r="H3838" i="1"/>
  <c r="G3838" i="1"/>
  <c r="F3838" i="1"/>
  <c r="E3838" i="1"/>
  <c r="D3838" i="1"/>
  <c r="C3838" i="1"/>
  <c r="B3838" i="1"/>
  <c r="A3838" i="1"/>
  <c r="H3837" i="1"/>
  <c r="G3837" i="1"/>
  <c r="F3837" i="1"/>
  <c r="E3837" i="1"/>
  <c r="D3837" i="1"/>
  <c r="C3837" i="1"/>
  <c r="B3837" i="1"/>
  <c r="A3837" i="1"/>
  <c r="H3836" i="1"/>
  <c r="G3836" i="1"/>
  <c r="F3836" i="1"/>
  <c r="E3836" i="1"/>
  <c r="D3836" i="1"/>
  <c r="C3836" i="1"/>
  <c r="B3836" i="1"/>
  <c r="A3836" i="1"/>
  <c r="H3835" i="1"/>
  <c r="G3835" i="1"/>
  <c r="F3835" i="1"/>
  <c r="E3835" i="1"/>
  <c r="D3835" i="1"/>
  <c r="C3835" i="1"/>
  <c r="B3835" i="1"/>
  <c r="A3835" i="1"/>
  <c r="H3834" i="1"/>
  <c r="G3834" i="1"/>
  <c r="F3834" i="1"/>
  <c r="E3834" i="1"/>
  <c r="D3834" i="1"/>
  <c r="C3834" i="1"/>
  <c r="B3834" i="1"/>
  <c r="A3834" i="1"/>
  <c r="H3833" i="1"/>
  <c r="G3833" i="1"/>
  <c r="F3833" i="1"/>
  <c r="E3833" i="1"/>
  <c r="D3833" i="1"/>
  <c r="C3833" i="1"/>
  <c r="B3833" i="1"/>
  <c r="A3833" i="1"/>
  <c r="H3832" i="1"/>
  <c r="G3832" i="1"/>
  <c r="F3832" i="1"/>
  <c r="E3832" i="1"/>
  <c r="D3832" i="1"/>
  <c r="C3832" i="1"/>
  <c r="B3832" i="1"/>
  <c r="A3832" i="1"/>
  <c r="H3831" i="1"/>
  <c r="G3831" i="1"/>
  <c r="F3831" i="1"/>
  <c r="E3831" i="1"/>
  <c r="D3831" i="1"/>
  <c r="C3831" i="1"/>
  <c r="B3831" i="1"/>
  <c r="A3831" i="1"/>
  <c r="H3830" i="1"/>
  <c r="G3830" i="1"/>
  <c r="F3830" i="1"/>
  <c r="E3830" i="1"/>
  <c r="D3830" i="1"/>
  <c r="C3830" i="1"/>
  <c r="B3830" i="1"/>
  <c r="A3830" i="1"/>
  <c r="H3829" i="1"/>
  <c r="G3829" i="1"/>
  <c r="F3829" i="1"/>
  <c r="E3829" i="1"/>
  <c r="D3829" i="1"/>
  <c r="C3829" i="1"/>
  <c r="B3829" i="1"/>
  <c r="A3829" i="1"/>
  <c r="H3828" i="1"/>
  <c r="G3828" i="1"/>
  <c r="F3828" i="1"/>
  <c r="E3828" i="1"/>
  <c r="D3828" i="1"/>
  <c r="C3828" i="1"/>
  <c r="B3828" i="1"/>
  <c r="A3828" i="1"/>
  <c r="H3827" i="1"/>
  <c r="G3827" i="1"/>
  <c r="F3827" i="1"/>
  <c r="E3827" i="1"/>
  <c r="D3827" i="1"/>
  <c r="C3827" i="1"/>
  <c r="B3827" i="1"/>
  <c r="A3827" i="1"/>
  <c r="H3826" i="1"/>
  <c r="G3826" i="1"/>
  <c r="F3826" i="1"/>
  <c r="E3826" i="1"/>
  <c r="D3826" i="1"/>
  <c r="C3826" i="1"/>
  <c r="B3826" i="1"/>
  <c r="A3826" i="1"/>
  <c r="H3825" i="1"/>
  <c r="G3825" i="1"/>
  <c r="F3825" i="1"/>
  <c r="E3825" i="1"/>
  <c r="D3825" i="1"/>
  <c r="C3825" i="1"/>
  <c r="B3825" i="1"/>
  <c r="A3825" i="1"/>
  <c r="H3824" i="1"/>
  <c r="G3824" i="1"/>
  <c r="F3824" i="1"/>
  <c r="E3824" i="1"/>
  <c r="D3824" i="1"/>
  <c r="C3824" i="1"/>
  <c r="B3824" i="1"/>
  <c r="A3824" i="1"/>
  <c r="H3823" i="1"/>
  <c r="G3823" i="1"/>
  <c r="F3823" i="1"/>
  <c r="E3823" i="1"/>
  <c r="D3823" i="1"/>
  <c r="C3823" i="1"/>
  <c r="B3823" i="1"/>
  <c r="A3823" i="1"/>
  <c r="H3822" i="1"/>
  <c r="G3822" i="1"/>
  <c r="F3822" i="1"/>
  <c r="E3822" i="1"/>
  <c r="D3822" i="1"/>
  <c r="C3822" i="1"/>
  <c r="B3822" i="1"/>
  <c r="A3822" i="1"/>
  <c r="H3821" i="1"/>
  <c r="G3821" i="1"/>
  <c r="F3821" i="1"/>
  <c r="E3821" i="1"/>
  <c r="D3821" i="1"/>
  <c r="C3821" i="1"/>
  <c r="B3821" i="1"/>
  <c r="A3821" i="1"/>
  <c r="H3820" i="1"/>
  <c r="G3820" i="1"/>
  <c r="F3820" i="1"/>
  <c r="E3820" i="1"/>
  <c r="D3820" i="1"/>
  <c r="C3820" i="1"/>
  <c r="B3820" i="1"/>
  <c r="A3820" i="1"/>
  <c r="H3819" i="1"/>
  <c r="G3819" i="1"/>
  <c r="F3819" i="1"/>
  <c r="E3819" i="1"/>
  <c r="D3819" i="1"/>
  <c r="C3819" i="1"/>
  <c r="B3819" i="1"/>
  <c r="A3819" i="1"/>
  <c r="H3818" i="1"/>
  <c r="G3818" i="1"/>
  <c r="F3818" i="1"/>
  <c r="E3818" i="1"/>
  <c r="D3818" i="1"/>
  <c r="C3818" i="1"/>
  <c r="B3818" i="1"/>
  <c r="A3818" i="1"/>
  <c r="H3817" i="1"/>
  <c r="G3817" i="1"/>
  <c r="F3817" i="1"/>
  <c r="E3817" i="1"/>
  <c r="D3817" i="1"/>
  <c r="C3817" i="1"/>
  <c r="B3817" i="1"/>
  <c r="A3817" i="1"/>
  <c r="H3816" i="1"/>
  <c r="G3816" i="1"/>
  <c r="F3816" i="1"/>
  <c r="E3816" i="1"/>
  <c r="D3816" i="1"/>
  <c r="C3816" i="1"/>
  <c r="B3816" i="1"/>
  <c r="A3816" i="1"/>
  <c r="H3815" i="1"/>
  <c r="G3815" i="1"/>
  <c r="F3815" i="1"/>
  <c r="E3815" i="1"/>
  <c r="D3815" i="1"/>
  <c r="C3815" i="1"/>
  <c r="B3815" i="1"/>
  <c r="A3815" i="1"/>
  <c r="H3814" i="1"/>
  <c r="G3814" i="1"/>
  <c r="F3814" i="1"/>
  <c r="E3814" i="1"/>
  <c r="D3814" i="1"/>
  <c r="C3814" i="1"/>
  <c r="B3814" i="1"/>
  <c r="A3814" i="1"/>
  <c r="H3813" i="1"/>
  <c r="G3813" i="1"/>
  <c r="F3813" i="1"/>
  <c r="E3813" i="1"/>
  <c r="D3813" i="1"/>
  <c r="C3813" i="1"/>
  <c r="B3813" i="1"/>
  <c r="A3813" i="1"/>
  <c r="H3812" i="1"/>
  <c r="G3812" i="1"/>
  <c r="F3812" i="1"/>
  <c r="E3812" i="1"/>
  <c r="D3812" i="1"/>
  <c r="C3812" i="1"/>
  <c r="B3812" i="1"/>
  <c r="A3812" i="1"/>
  <c r="H3811" i="1"/>
  <c r="G3811" i="1"/>
  <c r="F3811" i="1"/>
  <c r="E3811" i="1"/>
  <c r="D3811" i="1"/>
  <c r="C3811" i="1"/>
  <c r="B3811" i="1"/>
  <c r="A3811" i="1"/>
  <c r="H3810" i="1"/>
  <c r="G3810" i="1"/>
  <c r="F3810" i="1"/>
  <c r="E3810" i="1"/>
  <c r="D3810" i="1"/>
  <c r="C3810" i="1"/>
  <c r="B3810" i="1"/>
  <c r="A3810" i="1"/>
  <c r="H3809" i="1"/>
  <c r="G3809" i="1"/>
  <c r="F3809" i="1"/>
  <c r="E3809" i="1"/>
  <c r="D3809" i="1"/>
  <c r="C3809" i="1"/>
  <c r="B3809" i="1"/>
  <c r="A3809" i="1"/>
  <c r="H3808" i="1"/>
  <c r="G3808" i="1"/>
  <c r="F3808" i="1"/>
  <c r="E3808" i="1"/>
  <c r="D3808" i="1"/>
  <c r="C3808" i="1"/>
  <c r="B3808" i="1"/>
  <c r="A3808" i="1"/>
  <c r="H3807" i="1"/>
  <c r="G3807" i="1"/>
  <c r="F3807" i="1"/>
  <c r="E3807" i="1"/>
  <c r="D3807" i="1"/>
  <c r="C3807" i="1"/>
  <c r="B3807" i="1"/>
  <c r="A3807" i="1"/>
  <c r="H3806" i="1"/>
  <c r="G3806" i="1"/>
  <c r="F3806" i="1"/>
  <c r="E3806" i="1"/>
  <c r="D3806" i="1"/>
  <c r="C3806" i="1"/>
  <c r="B3806" i="1"/>
  <c r="A3806" i="1"/>
  <c r="H3805" i="1"/>
  <c r="G3805" i="1"/>
  <c r="F3805" i="1"/>
  <c r="E3805" i="1"/>
  <c r="D3805" i="1"/>
  <c r="C3805" i="1"/>
  <c r="B3805" i="1"/>
  <c r="A3805" i="1"/>
  <c r="H3804" i="1"/>
  <c r="G3804" i="1"/>
  <c r="F3804" i="1"/>
  <c r="E3804" i="1"/>
  <c r="D3804" i="1"/>
  <c r="C3804" i="1"/>
  <c r="B3804" i="1"/>
  <c r="A3804" i="1"/>
  <c r="H3803" i="1"/>
  <c r="G3803" i="1"/>
  <c r="F3803" i="1"/>
  <c r="E3803" i="1"/>
  <c r="D3803" i="1"/>
  <c r="C3803" i="1"/>
  <c r="B3803" i="1"/>
  <c r="A3803" i="1"/>
  <c r="H3802" i="1"/>
  <c r="G3802" i="1"/>
  <c r="F3802" i="1"/>
  <c r="E3802" i="1"/>
  <c r="D3802" i="1"/>
  <c r="C3802" i="1"/>
  <c r="B3802" i="1"/>
  <c r="A3802" i="1"/>
  <c r="H3801" i="1"/>
  <c r="G3801" i="1"/>
  <c r="F3801" i="1"/>
  <c r="E3801" i="1"/>
  <c r="D3801" i="1"/>
  <c r="C3801" i="1"/>
  <c r="B3801" i="1"/>
  <c r="A3801" i="1"/>
  <c r="H3800" i="1"/>
  <c r="G3800" i="1"/>
  <c r="F3800" i="1"/>
  <c r="E3800" i="1"/>
  <c r="D3800" i="1"/>
  <c r="C3800" i="1"/>
  <c r="B3800" i="1"/>
  <c r="A3800" i="1"/>
  <c r="H3799" i="1"/>
  <c r="G3799" i="1"/>
  <c r="F3799" i="1"/>
  <c r="E3799" i="1"/>
  <c r="D3799" i="1"/>
  <c r="C3799" i="1"/>
  <c r="B3799" i="1"/>
  <c r="A3799" i="1"/>
  <c r="H3798" i="1"/>
  <c r="G3798" i="1"/>
  <c r="F3798" i="1"/>
  <c r="E3798" i="1"/>
  <c r="D3798" i="1"/>
  <c r="C3798" i="1"/>
  <c r="B3798" i="1"/>
  <c r="A3798" i="1"/>
  <c r="H3797" i="1"/>
  <c r="G3797" i="1"/>
  <c r="F3797" i="1"/>
  <c r="E3797" i="1"/>
  <c r="D3797" i="1"/>
  <c r="C3797" i="1"/>
  <c r="B3797" i="1"/>
  <c r="A3797" i="1"/>
  <c r="H3796" i="1"/>
  <c r="G3796" i="1"/>
  <c r="F3796" i="1"/>
  <c r="E3796" i="1"/>
  <c r="D3796" i="1"/>
  <c r="C3796" i="1"/>
  <c r="B3796" i="1"/>
  <c r="A3796" i="1"/>
  <c r="H3795" i="1"/>
  <c r="G3795" i="1"/>
  <c r="F3795" i="1"/>
  <c r="E3795" i="1"/>
  <c r="D3795" i="1"/>
  <c r="C3795" i="1"/>
  <c r="B3795" i="1"/>
  <c r="A3795" i="1"/>
  <c r="H3794" i="1"/>
  <c r="G3794" i="1"/>
  <c r="F3794" i="1"/>
  <c r="E3794" i="1"/>
  <c r="D3794" i="1"/>
  <c r="C3794" i="1"/>
  <c r="B3794" i="1"/>
  <c r="A3794" i="1"/>
  <c r="H3793" i="1"/>
  <c r="G3793" i="1"/>
  <c r="F3793" i="1"/>
  <c r="E3793" i="1"/>
  <c r="D3793" i="1"/>
  <c r="C3793" i="1"/>
  <c r="B3793" i="1"/>
  <c r="A3793" i="1"/>
  <c r="H3792" i="1"/>
  <c r="G3792" i="1"/>
  <c r="F3792" i="1"/>
  <c r="E3792" i="1"/>
  <c r="D3792" i="1"/>
  <c r="C3792" i="1"/>
  <c r="B3792" i="1"/>
  <c r="A3792" i="1"/>
  <c r="H3791" i="1"/>
  <c r="G3791" i="1"/>
  <c r="F3791" i="1"/>
  <c r="E3791" i="1"/>
  <c r="D3791" i="1"/>
  <c r="C3791" i="1"/>
  <c r="B3791" i="1"/>
  <c r="A3791" i="1"/>
  <c r="H3790" i="1"/>
  <c r="G3790" i="1"/>
  <c r="F3790" i="1"/>
  <c r="E3790" i="1"/>
  <c r="D3790" i="1"/>
  <c r="C3790" i="1"/>
  <c r="B3790" i="1"/>
  <c r="A3790" i="1"/>
  <c r="H3789" i="1"/>
  <c r="G3789" i="1"/>
  <c r="F3789" i="1"/>
  <c r="E3789" i="1"/>
  <c r="D3789" i="1"/>
  <c r="C3789" i="1"/>
  <c r="B3789" i="1"/>
  <c r="A3789" i="1"/>
  <c r="H3788" i="1"/>
  <c r="G3788" i="1"/>
  <c r="F3788" i="1"/>
  <c r="E3788" i="1"/>
  <c r="D3788" i="1"/>
  <c r="C3788" i="1"/>
  <c r="B3788" i="1"/>
  <c r="A3788" i="1"/>
  <c r="H3787" i="1"/>
  <c r="G3787" i="1"/>
  <c r="F3787" i="1"/>
  <c r="E3787" i="1"/>
  <c r="D3787" i="1"/>
  <c r="C3787" i="1"/>
  <c r="B3787" i="1"/>
  <c r="A3787" i="1"/>
  <c r="H3786" i="1"/>
  <c r="G3786" i="1"/>
  <c r="F3786" i="1"/>
  <c r="E3786" i="1"/>
  <c r="D3786" i="1"/>
  <c r="C3786" i="1"/>
  <c r="B3786" i="1"/>
  <c r="A3786" i="1"/>
  <c r="H3785" i="1"/>
  <c r="G3785" i="1"/>
  <c r="F3785" i="1"/>
  <c r="E3785" i="1"/>
  <c r="D3785" i="1"/>
  <c r="C3785" i="1"/>
  <c r="B3785" i="1"/>
  <c r="A3785" i="1"/>
  <c r="H3784" i="1"/>
  <c r="G3784" i="1"/>
  <c r="F3784" i="1"/>
  <c r="E3784" i="1"/>
  <c r="D3784" i="1"/>
  <c r="C3784" i="1"/>
  <c r="B3784" i="1"/>
  <c r="A3784" i="1"/>
  <c r="H3783" i="1"/>
  <c r="G3783" i="1"/>
  <c r="F3783" i="1"/>
  <c r="E3783" i="1"/>
  <c r="D3783" i="1"/>
  <c r="C3783" i="1"/>
  <c r="B3783" i="1"/>
  <c r="A3783" i="1"/>
  <c r="H3782" i="1"/>
  <c r="G3782" i="1"/>
  <c r="F3782" i="1"/>
  <c r="E3782" i="1"/>
  <c r="D3782" i="1"/>
  <c r="C3782" i="1"/>
  <c r="B3782" i="1"/>
  <c r="A3782" i="1"/>
  <c r="H3781" i="1"/>
  <c r="G3781" i="1"/>
  <c r="F3781" i="1"/>
  <c r="E3781" i="1"/>
  <c r="D3781" i="1"/>
  <c r="C3781" i="1"/>
  <c r="B3781" i="1"/>
  <c r="A3781" i="1"/>
  <c r="H3780" i="1"/>
  <c r="G3780" i="1"/>
  <c r="F3780" i="1"/>
  <c r="E3780" i="1"/>
  <c r="D3780" i="1"/>
  <c r="C3780" i="1"/>
  <c r="B3780" i="1"/>
  <c r="A3780" i="1"/>
  <c r="H3779" i="1"/>
  <c r="G3779" i="1"/>
  <c r="F3779" i="1"/>
  <c r="E3779" i="1"/>
  <c r="D3779" i="1"/>
  <c r="C3779" i="1"/>
  <c r="B3779" i="1"/>
  <c r="A3779" i="1"/>
  <c r="H3778" i="1"/>
  <c r="G3778" i="1"/>
  <c r="F3778" i="1"/>
  <c r="E3778" i="1"/>
  <c r="D3778" i="1"/>
  <c r="C3778" i="1"/>
  <c r="B3778" i="1"/>
  <c r="A3778" i="1"/>
  <c r="H3777" i="1"/>
  <c r="G3777" i="1"/>
  <c r="F3777" i="1"/>
  <c r="E3777" i="1"/>
  <c r="D3777" i="1"/>
  <c r="C3777" i="1"/>
  <c r="B3777" i="1"/>
  <c r="A3777" i="1"/>
  <c r="H3776" i="1"/>
  <c r="G3776" i="1"/>
  <c r="F3776" i="1"/>
  <c r="E3776" i="1"/>
  <c r="D3776" i="1"/>
  <c r="C3776" i="1"/>
  <c r="B3776" i="1"/>
  <c r="A3776" i="1"/>
  <c r="H3775" i="1"/>
  <c r="G3775" i="1"/>
  <c r="F3775" i="1"/>
  <c r="E3775" i="1"/>
  <c r="D3775" i="1"/>
  <c r="C3775" i="1"/>
  <c r="B3775" i="1"/>
  <c r="A3775" i="1"/>
  <c r="H3774" i="1"/>
  <c r="G3774" i="1"/>
  <c r="F3774" i="1"/>
  <c r="E3774" i="1"/>
  <c r="D3774" i="1"/>
  <c r="C3774" i="1"/>
  <c r="B3774" i="1"/>
  <c r="A3774" i="1"/>
  <c r="H3773" i="1"/>
  <c r="G3773" i="1"/>
  <c r="F3773" i="1"/>
  <c r="E3773" i="1"/>
  <c r="D3773" i="1"/>
  <c r="C3773" i="1"/>
  <c r="B3773" i="1"/>
  <c r="A3773" i="1"/>
  <c r="H3772" i="1"/>
  <c r="G3772" i="1"/>
  <c r="F3772" i="1"/>
  <c r="E3772" i="1"/>
  <c r="D3772" i="1"/>
  <c r="C3772" i="1"/>
  <c r="B3772" i="1"/>
  <c r="A3772" i="1"/>
  <c r="H3771" i="1"/>
  <c r="G3771" i="1"/>
  <c r="F3771" i="1"/>
  <c r="E3771" i="1"/>
  <c r="D3771" i="1"/>
  <c r="C3771" i="1"/>
  <c r="B3771" i="1"/>
  <c r="A3771" i="1"/>
  <c r="H3770" i="1"/>
  <c r="G3770" i="1"/>
  <c r="F3770" i="1"/>
  <c r="E3770" i="1"/>
  <c r="D3770" i="1"/>
  <c r="C3770" i="1"/>
  <c r="B3770" i="1"/>
  <c r="A3770" i="1"/>
  <c r="H3769" i="1"/>
  <c r="G3769" i="1"/>
  <c r="F3769" i="1"/>
  <c r="E3769" i="1"/>
  <c r="D3769" i="1"/>
  <c r="C3769" i="1"/>
  <c r="B3769" i="1"/>
  <c r="A3769" i="1"/>
  <c r="H3768" i="1"/>
  <c r="G3768" i="1"/>
  <c r="F3768" i="1"/>
  <c r="E3768" i="1"/>
  <c r="D3768" i="1"/>
  <c r="C3768" i="1"/>
  <c r="B3768" i="1"/>
  <c r="A3768" i="1"/>
  <c r="H3767" i="1"/>
  <c r="G3767" i="1"/>
  <c r="F3767" i="1"/>
  <c r="E3767" i="1"/>
  <c r="D3767" i="1"/>
  <c r="C3767" i="1"/>
  <c r="B3767" i="1"/>
  <c r="A3767" i="1"/>
  <c r="H3766" i="1"/>
  <c r="G3766" i="1"/>
  <c r="F3766" i="1"/>
  <c r="E3766" i="1"/>
  <c r="D3766" i="1"/>
  <c r="C3766" i="1"/>
  <c r="B3766" i="1"/>
  <c r="A3766" i="1"/>
  <c r="H3765" i="1"/>
  <c r="G3765" i="1"/>
  <c r="F3765" i="1"/>
  <c r="E3765" i="1"/>
  <c r="D3765" i="1"/>
  <c r="C3765" i="1"/>
  <c r="B3765" i="1"/>
  <c r="A3765" i="1"/>
  <c r="H3764" i="1"/>
  <c r="G3764" i="1"/>
  <c r="F3764" i="1"/>
  <c r="E3764" i="1"/>
  <c r="D3764" i="1"/>
  <c r="C3764" i="1"/>
  <c r="B3764" i="1"/>
  <c r="A3764" i="1"/>
  <c r="H3763" i="1"/>
  <c r="G3763" i="1"/>
  <c r="F3763" i="1"/>
  <c r="E3763" i="1"/>
  <c r="D3763" i="1"/>
  <c r="C3763" i="1"/>
  <c r="B3763" i="1"/>
  <c r="A3763" i="1"/>
  <c r="H3762" i="1"/>
  <c r="G3762" i="1"/>
  <c r="F3762" i="1"/>
  <c r="E3762" i="1"/>
  <c r="D3762" i="1"/>
  <c r="C3762" i="1"/>
  <c r="B3762" i="1"/>
  <c r="A3762" i="1"/>
  <c r="H3761" i="1"/>
  <c r="G3761" i="1"/>
  <c r="F3761" i="1"/>
  <c r="E3761" i="1"/>
  <c r="D3761" i="1"/>
  <c r="C3761" i="1"/>
  <c r="B3761" i="1"/>
  <c r="A3761" i="1"/>
  <c r="H3760" i="1"/>
  <c r="G3760" i="1"/>
  <c r="F3760" i="1"/>
  <c r="E3760" i="1"/>
  <c r="D3760" i="1"/>
  <c r="C3760" i="1"/>
  <c r="B3760" i="1"/>
  <c r="A3760" i="1"/>
  <c r="H3759" i="1"/>
  <c r="G3759" i="1"/>
  <c r="F3759" i="1"/>
  <c r="E3759" i="1"/>
  <c r="D3759" i="1"/>
  <c r="C3759" i="1"/>
  <c r="B3759" i="1"/>
  <c r="A3759" i="1"/>
  <c r="H3758" i="1"/>
  <c r="G3758" i="1"/>
  <c r="F3758" i="1"/>
  <c r="E3758" i="1"/>
  <c r="D3758" i="1"/>
  <c r="C3758" i="1"/>
  <c r="B3758" i="1"/>
  <c r="A3758" i="1"/>
  <c r="H3757" i="1"/>
  <c r="G3757" i="1"/>
  <c r="F3757" i="1"/>
  <c r="E3757" i="1"/>
  <c r="D3757" i="1"/>
  <c r="C3757" i="1"/>
  <c r="B3757" i="1"/>
  <c r="A3757" i="1"/>
  <c r="H3756" i="1"/>
  <c r="G3756" i="1"/>
  <c r="F3756" i="1"/>
  <c r="E3756" i="1"/>
  <c r="D3756" i="1"/>
  <c r="C3756" i="1"/>
  <c r="B3756" i="1"/>
  <c r="A3756" i="1"/>
  <c r="H3755" i="1"/>
  <c r="G3755" i="1"/>
  <c r="F3755" i="1"/>
  <c r="E3755" i="1"/>
  <c r="D3755" i="1"/>
  <c r="C3755" i="1"/>
  <c r="B3755" i="1"/>
  <c r="A3755" i="1"/>
  <c r="H3754" i="1"/>
  <c r="G3754" i="1"/>
  <c r="F3754" i="1"/>
  <c r="E3754" i="1"/>
  <c r="D3754" i="1"/>
  <c r="C3754" i="1"/>
  <c r="B3754" i="1"/>
  <c r="A3754" i="1"/>
  <c r="H3753" i="1"/>
  <c r="G3753" i="1"/>
  <c r="F3753" i="1"/>
  <c r="E3753" i="1"/>
  <c r="D3753" i="1"/>
  <c r="C3753" i="1"/>
  <c r="B3753" i="1"/>
  <c r="A3753" i="1"/>
  <c r="H3752" i="1"/>
  <c r="G3752" i="1"/>
  <c r="F3752" i="1"/>
  <c r="E3752" i="1"/>
  <c r="D3752" i="1"/>
  <c r="C3752" i="1"/>
  <c r="B3752" i="1"/>
  <c r="A3752" i="1"/>
  <c r="H3751" i="1"/>
  <c r="G3751" i="1"/>
  <c r="F3751" i="1"/>
  <c r="E3751" i="1"/>
  <c r="D3751" i="1"/>
  <c r="C3751" i="1"/>
  <c r="B3751" i="1"/>
  <c r="A3751" i="1"/>
  <c r="H3750" i="1"/>
  <c r="G3750" i="1"/>
  <c r="F3750" i="1"/>
  <c r="E3750" i="1"/>
  <c r="D3750" i="1"/>
  <c r="C3750" i="1"/>
  <c r="B3750" i="1"/>
  <c r="A3750" i="1"/>
  <c r="H3749" i="1"/>
  <c r="G3749" i="1"/>
  <c r="F3749" i="1"/>
  <c r="E3749" i="1"/>
  <c r="D3749" i="1"/>
  <c r="C3749" i="1"/>
  <c r="B3749" i="1"/>
  <c r="A3749" i="1"/>
  <c r="H3748" i="1"/>
  <c r="G3748" i="1"/>
  <c r="F3748" i="1"/>
  <c r="E3748" i="1"/>
  <c r="D3748" i="1"/>
  <c r="C3748" i="1"/>
  <c r="B3748" i="1"/>
  <c r="A3748" i="1"/>
  <c r="H3747" i="1"/>
  <c r="G3747" i="1"/>
  <c r="F3747" i="1"/>
  <c r="E3747" i="1"/>
  <c r="D3747" i="1"/>
  <c r="C3747" i="1"/>
  <c r="B3747" i="1"/>
  <c r="A3747" i="1"/>
  <c r="H3746" i="1"/>
  <c r="G3746" i="1"/>
  <c r="F3746" i="1"/>
  <c r="E3746" i="1"/>
  <c r="D3746" i="1"/>
  <c r="C3746" i="1"/>
  <c r="B3746" i="1"/>
  <c r="A3746" i="1"/>
  <c r="H3745" i="1"/>
  <c r="G3745" i="1"/>
  <c r="F3745" i="1"/>
  <c r="E3745" i="1"/>
  <c r="D3745" i="1"/>
  <c r="C3745" i="1"/>
  <c r="B3745" i="1"/>
  <c r="A3745" i="1"/>
  <c r="H3744" i="1"/>
  <c r="G3744" i="1"/>
  <c r="F3744" i="1"/>
  <c r="E3744" i="1"/>
  <c r="D3744" i="1"/>
  <c r="C3744" i="1"/>
  <c r="B3744" i="1"/>
  <c r="A3744" i="1"/>
  <c r="H3743" i="1"/>
  <c r="G3743" i="1"/>
  <c r="F3743" i="1"/>
  <c r="E3743" i="1"/>
  <c r="D3743" i="1"/>
  <c r="C3743" i="1"/>
  <c r="B3743" i="1"/>
  <c r="A3743" i="1"/>
  <c r="H3742" i="1"/>
  <c r="G3742" i="1"/>
  <c r="F3742" i="1"/>
  <c r="E3742" i="1"/>
  <c r="D3742" i="1"/>
  <c r="C3742" i="1"/>
  <c r="B3742" i="1"/>
  <c r="A3742" i="1"/>
  <c r="H3741" i="1"/>
  <c r="G3741" i="1"/>
  <c r="F3741" i="1"/>
  <c r="E3741" i="1"/>
  <c r="D3741" i="1"/>
  <c r="C3741" i="1"/>
  <c r="B3741" i="1"/>
  <c r="A3741" i="1"/>
  <c r="H3740" i="1"/>
  <c r="G3740" i="1"/>
  <c r="F3740" i="1"/>
  <c r="E3740" i="1"/>
  <c r="D3740" i="1"/>
  <c r="C3740" i="1"/>
  <c r="B3740" i="1"/>
  <c r="A3740" i="1"/>
  <c r="H3739" i="1"/>
  <c r="G3739" i="1"/>
  <c r="F3739" i="1"/>
  <c r="E3739" i="1"/>
  <c r="D3739" i="1"/>
  <c r="C3739" i="1"/>
  <c r="B3739" i="1"/>
  <c r="A3739" i="1"/>
  <c r="H3738" i="1"/>
  <c r="G3738" i="1"/>
  <c r="F3738" i="1"/>
  <c r="E3738" i="1"/>
  <c r="D3738" i="1"/>
  <c r="C3738" i="1"/>
  <c r="B3738" i="1"/>
  <c r="A3738" i="1"/>
  <c r="H3737" i="1"/>
  <c r="G3737" i="1"/>
  <c r="F3737" i="1"/>
  <c r="E3737" i="1"/>
  <c r="D3737" i="1"/>
  <c r="C3737" i="1"/>
  <c r="B3737" i="1"/>
  <c r="A3737" i="1"/>
  <c r="H3736" i="1"/>
  <c r="G3736" i="1"/>
  <c r="F3736" i="1"/>
  <c r="E3736" i="1"/>
  <c r="D3736" i="1"/>
  <c r="C3736" i="1"/>
  <c r="B3736" i="1"/>
  <c r="A3736" i="1"/>
  <c r="H3735" i="1"/>
  <c r="G3735" i="1"/>
  <c r="F3735" i="1"/>
  <c r="E3735" i="1"/>
  <c r="D3735" i="1"/>
  <c r="C3735" i="1"/>
  <c r="B3735" i="1"/>
  <c r="A3735" i="1"/>
  <c r="H3734" i="1"/>
  <c r="G3734" i="1"/>
  <c r="F3734" i="1"/>
  <c r="E3734" i="1"/>
  <c r="D3734" i="1"/>
  <c r="C3734" i="1"/>
  <c r="B3734" i="1"/>
  <c r="A3734" i="1"/>
  <c r="H3733" i="1"/>
  <c r="G3733" i="1"/>
  <c r="F3733" i="1"/>
  <c r="E3733" i="1"/>
  <c r="D3733" i="1"/>
  <c r="C3733" i="1"/>
  <c r="B3733" i="1"/>
  <c r="A3733" i="1"/>
  <c r="H3732" i="1"/>
  <c r="G3732" i="1"/>
  <c r="F3732" i="1"/>
  <c r="E3732" i="1"/>
  <c r="D3732" i="1"/>
  <c r="C3732" i="1"/>
  <c r="B3732" i="1"/>
  <c r="A3732" i="1"/>
  <c r="H3731" i="1"/>
  <c r="G3731" i="1"/>
  <c r="F3731" i="1"/>
  <c r="E3731" i="1"/>
  <c r="D3731" i="1"/>
  <c r="C3731" i="1"/>
  <c r="B3731" i="1"/>
  <c r="A3731" i="1"/>
  <c r="H3730" i="1"/>
  <c r="G3730" i="1"/>
  <c r="F3730" i="1"/>
  <c r="E3730" i="1"/>
  <c r="D3730" i="1"/>
  <c r="C3730" i="1"/>
  <c r="B3730" i="1"/>
  <c r="A3730" i="1"/>
  <c r="H3729" i="1"/>
  <c r="G3729" i="1"/>
  <c r="F3729" i="1"/>
  <c r="E3729" i="1"/>
  <c r="D3729" i="1"/>
  <c r="C3729" i="1"/>
  <c r="B3729" i="1"/>
  <c r="A3729" i="1"/>
  <c r="H3728" i="1"/>
  <c r="G3728" i="1"/>
  <c r="F3728" i="1"/>
  <c r="E3728" i="1"/>
  <c r="D3728" i="1"/>
  <c r="C3728" i="1"/>
  <c r="B3728" i="1"/>
  <c r="A3728" i="1"/>
  <c r="H3727" i="1"/>
  <c r="G3727" i="1"/>
  <c r="F3727" i="1"/>
  <c r="E3727" i="1"/>
  <c r="D3727" i="1"/>
  <c r="C3727" i="1"/>
  <c r="B3727" i="1"/>
  <c r="A3727" i="1"/>
  <c r="H3726" i="1"/>
  <c r="G3726" i="1"/>
  <c r="F3726" i="1"/>
  <c r="E3726" i="1"/>
  <c r="D3726" i="1"/>
  <c r="C3726" i="1"/>
  <c r="B3726" i="1"/>
  <c r="A3726" i="1"/>
  <c r="H3725" i="1"/>
  <c r="G3725" i="1"/>
  <c r="F3725" i="1"/>
  <c r="E3725" i="1"/>
  <c r="D3725" i="1"/>
  <c r="C3725" i="1"/>
  <c r="B3725" i="1"/>
  <c r="A3725" i="1"/>
  <c r="H3724" i="1"/>
  <c r="G3724" i="1"/>
  <c r="F3724" i="1"/>
  <c r="E3724" i="1"/>
  <c r="D3724" i="1"/>
  <c r="C3724" i="1"/>
  <c r="B3724" i="1"/>
  <c r="A3724" i="1"/>
  <c r="H3723" i="1"/>
  <c r="G3723" i="1"/>
  <c r="F3723" i="1"/>
  <c r="E3723" i="1"/>
  <c r="D3723" i="1"/>
  <c r="C3723" i="1"/>
  <c r="B3723" i="1"/>
  <c r="A3723" i="1"/>
  <c r="H3722" i="1"/>
  <c r="G3722" i="1"/>
  <c r="F3722" i="1"/>
  <c r="E3722" i="1"/>
  <c r="D3722" i="1"/>
  <c r="C3722" i="1"/>
  <c r="B3722" i="1"/>
  <c r="A3722" i="1"/>
  <c r="H3721" i="1"/>
  <c r="G3721" i="1"/>
  <c r="F3721" i="1"/>
  <c r="E3721" i="1"/>
  <c r="D3721" i="1"/>
  <c r="C3721" i="1"/>
  <c r="B3721" i="1"/>
  <c r="A3721" i="1"/>
  <c r="H3720" i="1"/>
  <c r="G3720" i="1"/>
  <c r="F3720" i="1"/>
  <c r="E3720" i="1"/>
  <c r="D3720" i="1"/>
  <c r="C3720" i="1"/>
  <c r="B3720" i="1"/>
  <c r="A3720" i="1"/>
  <c r="H3719" i="1"/>
  <c r="G3719" i="1"/>
  <c r="F3719" i="1"/>
  <c r="E3719" i="1"/>
  <c r="D3719" i="1"/>
  <c r="C3719" i="1"/>
  <c r="B3719" i="1"/>
  <c r="A3719" i="1"/>
  <c r="H3718" i="1"/>
  <c r="G3718" i="1"/>
  <c r="F3718" i="1"/>
  <c r="E3718" i="1"/>
  <c r="D3718" i="1"/>
  <c r="C3718" i="1"/>
  <c r="B3718" i="1"/>
  <c r="A3718" i="1"/>
  <c r="H3717" i="1"/>
  <c r="G3717" i="1"/>
  <c r="F3717" i="1"/>
  <c r="E3717" i="1"/>
  <c r="D3717" i="1"/>
  <c r="C3717" i="1"/>
  <c r="B3717" i="1"/>
  <c r="A3717" i="1"/>
  <c r="H3716" i="1"/>
  <c r="G3716" i="1"/>
  <c r="F3716" i="1"/>
  <c r="E3716" i="1"/>
  <c r="D3716" i="1"/>
  <c r="C3716" i="1"/>
  <c r="B3716" i="1"/>
  <c r="A3716" i="1"/>
  <c r="H3715" i="1"/>
  <c r="G3715" i="1"/>
  <c r="F3715" i="1"/>
  <c r="E3715" i="1"/>
  <c r="D3715" i="1"/>
  <c r="C3715" i="1"/>
  <c r="B3715" i="1"/>
  <c r="A3715" i="1"/>
  <c r="H3714" i="1"/>
  <c r="G3714" i="1"/>
  <c r="F3714" i="1"/>
  <c r="E3714" i="1"/>
  <c r="D3714" i="1"/>
  <c r="C3714" i="1"/>
  <c r="B3714" i="1"/>
  <c r="A3714" i="1"/>
  <c r="H3713" i="1"/>
  <c r="G3713" i="1"/>
  <c r="F3713" i="1"/>
  <c r="E3713" i="1"/>
  <c r="D3713" i="1"/>
  <c r="C3713" i="1"/>
  <c r="B3713" i="1"/>
  <c r="A3713" i="1"/>
  <c r="H3712" i="1"/>
  <c r="G3712" i="1"/>
  <c r="F3712" i="1"/>
  <c r="E3712" i="1"/>
  <c r="D3712" i="1"/>
  <c r="C3712" i="1"/>
  <c r="B3712" i="1"/>
  <c r="A3712" i="1"/>
  <c r="H3711" i="1"/>
  <c r="G3711" i="1"/>
  <c r="F3711" i="1"/>
  <c r="E3711" i="1"/>
  <c r="D3711" i="1"/>
  <c r="C3711" i="1"/>
  <c r="B3711" i="1"/>
  <c r="A3711" i="1"/>
  <c r="H3710" i="1"/>
  <c r="G3710" i="1"/>
  <c r="F3710" i="1"/>
  <c r="E3710" i="1"/>
  <c r="D3710" i="1"/>
  <c r="C3710" i="1"/>
  <c r="B3710" i="1"/>
  <c r="A3710" i="1"/>
  <c r="H3709" i="1"/>
  <c r="G3709" i="1"/>
  <c r="F3709" i="1"/>
  <c r="E3709" i="1"/>
  <c r="D3709" i="1"/>
  <c r="C3709" i="1"/>
  <c r="B3709" i="1"/>
  <c r="A3709" i="1"/>
  <c r="H3708" i="1"/>
  <c r="G3708" i="1"/>
  <c r="F3708" i="1"/>
  <c r="E3708" i="1"/>
  <c r="D3708" i="1"/>
  <c r="C3708" i="1"/>
  <c r="B3708" i="1"/>
  <c r="A3708" i="1"/>
  <c r="H3707" i="1"/>
  <c r="G3707" i="1"/>
  <c r="F3707" i="1"/>
  <c r="E3707" i="1"/>
  <c r="D3707" i="1"/>
  <c r="C3707" i="1"/>
  <c r="B3707" i="1"/>
  <c r="A3707" i="1"/>
  <c r="H3706" i="1"/>
  <c r="G3706" i="1"/>
  <c r="F3706" i="1"/>
  <c r="E3706" i="1"/>
  <c r="D3706" i="1"/>
  <c r="C3706" i="1"/>
  <c r="B3706" i="1"/>
  <c r="A3706" i="1"/>
  <c r="H3705" i="1"/>
  <c r="G3705" i="1"/>
  <c r="F3705" i="1"/>
  <c r="E3705" i="1"/>
  <c r="D3705" i="1"/>
  <c r="C3705" i="1"/>
  <c r="B3705" i="1"/>
  <c r="A3705" i="1"/>
  <c r="H3704" i="1"/>
  <c r="G3704" i="1"/>
  <c r="F3704" i="1"/>
  <c r="E3704" i="1"/>
  <c r="D3704" i="1"/>
  <c r="C3704" i="1"/>
  <c r="B3704" i="1"/>
  <c r="A3704" i="1"/>
  <c r="H3703" i="1"/>
  <c r="G3703" i="1"/>
  <c r="F3703" i="1"/>
  <c r="E3703" i="1"/>
  <c r="D3703" i="1"/>
  <c r="C3703" i="1"/>
  <c r="B3703" i="1"/>
  <c r="A3703" i="1"/>
  <c r="H3702" i="1"/>
  <c r="G3702" i="1"/>
  <c r="F3702" i="1"/>
  <c r="E3702" i="1"/>
  <c r="D3702" i="1"/>
  <c r="C3702" i="1"/>
  <c r="B3702" i="1"/>
  <c r="A3702" i="1"/>
  <c r="H3701" i="1"/>
  <c r="G3701" i="1"/>
  <c r="F3701" i="1"/>
  <c r="E3701" i="1"/>
  <c r="D3701" i="1"/>
  <c r="C3701" i="1"/>
  <c r="B3701" i="1"/>
  <c r="A3701" i="1"/>
  <c r="H3700" i="1"/>
  <c r="G3700" i="1"/>
  <c r="F3700" i="1"/>
  <c r="E3700" i="1"/>
  <c r="D3700" i="1"/>
  <c r="C3700" i="1"/>
  <c r="B3700" i="1"/>
  <c r="A3700" i="1"/>
  <c r="H3699" i="1"/>
  <c r="G3699" i="1"/>
  <c r="F3699" i="1"/>
  <c r="E3699" i="1"/>
  <c r="D3699" i="1"/>
  <c r="C3699" i="1"/>
  <c r="B3699" i="1"/>
  <c r="A3699" i="1"/>
  <c r="H3698" i="1"/>
  <c r="G3698" i="1"/>
  <c r="F3698" i="1"/>
  <c r="E3698" i="1"/>
  <c r="D3698" i="1"/>
  <c r="C3698" i="1"/>
  <c r="B3698" i="1"/>
  <c r="A3698" i="1"/>
  <c r="H3697" i="1"/>
  <c r="G3697" i="1"/>
  <c r="F3697" i="1"/>
  <c r="E3697" i="1"/>
  <c r="D3697" i="1"/>
  <c r="C3697" i="1"/>
  <c r="B3697" i="1"/>
  <c r="A3697" i="1"/>
  <c r="H3696" i="1"/>
  <c r="G3696" i="1"/>
  <c r="F3696" i="1"/>
  <c r="E3696" i="1"/>
  <c r="D3696" i="1"/>
  <c r="C3696" i="1"/>
  <c r="B3696" i="1"/>
  <c r="A3696" i="1"/>
  <c r="H3695" i="1"/>
  <c r="G3695" i="1"/>
  <c r="F3695" i="1"/>
  <c r="E3695" i="1"/>
  <c r="D3695" i="1"/>
  <c r="C3695" i="1"/>
  <c r="B3695" i="1"/>
  <c r="A3695" i="1"/>
  <c r="H3694" i="1"/>
  <c r="G3694" i="1"/>
  <c r="F3694" i="1"/>
  <c r="E3694" i="1"/>
  <c r="D3694" i="1"/>
  <c r="C3694" i="1"/>
  <c r="B3694" i="1"/>
  <c r="A3694" i="1"/>
  <c r="H3693" i="1"/>
  <c r="G3693" i="1"/>
  <c r="F3693" i="1"/>
  <c r="E3693" i="1"/>
  <c r="D3693" i="1"/>
  <c r="C3693" i="1"/>
  <c r="B3693" i="1"/>
  <c r="A3693" i="1"/>
  <c r="H3692" i="1"/>
  <c r="G3692" i="1"/>
  <c r="F3692" i="1"/>
  <c r="E3692" i="1"/>
  <c r="D3692" i="1"/>
  <c r="C3692" i="1"/>
  <c r="B3692" i="1"/>
  <c r="A3692" i="1"/>
  <c r="H3691" i="1"/>
  <c r="G3691" i="1"/>
  <c r="F3691" i="1"/>
  <c r="E3691" i="1"/>
  <c r="D3691" i="1"/>
  <c r="C3691" i="1"/>
  <c r="B3691" i="1"/>
  <c r="A3691" i="1"/>
  <c r="H3690" i="1"/>
  <c r="G3690" i="1"/>
  <c r="F3690" i="1"/>
  <c r="E3690" i="1"/>
  <c r="D3690" i="1"/>
  <c r="C3690" i="1"/>
  <c r="B3690" i="1"/>
  <c r="A3690" i="1"/>
  <c r="H3689" i="1"/>
  <c r="G3689" i="1"/>
  <c r="F3689" i="1"/>
  <c r="E3689" i="1"/>
  <c r="D3689" i="1"/>
  <c r="C3689" i="1"/>
  <c r="B3689" i="1"/>
  <c r="A3689" i="1"/>
  <c r="H3688" i="1"/>
  <c r="G3688" i="1"/>
  <c r="F3688" i="1"/>
  <c r="E3688" i="1"/>
  <c r="D3688" i="1"/>
  <c r="C3688" i="1"/>
  <c r="B3688" i="1"/>
  <c r="A3688" i="1"/>
  <c r="H3687" i="1"/>
  <c r="G3687" i="1"/>
  <c r="F3687" i="1"/>
  <c r="E3687" i="1"/>
  <c r="D3687" i="1"/>
  <c r="C3687" i="1"/>
  <c r="B3687" i="1"/>
  <c r="A3687" i="1"/>
  <c r="H3686" i="1"/>
  <c r="G3686" i="1"/>
  <c r="F3686" i="1"/>
  <c r="E3686" i="1"/>
  <c r="D3686" i="1"/>
  <c r="C3686" i="1"/>
  <c r="B3686" i="1"/>
  <c r="A3686" i="1"/>
  <c r="H3685" i="1"/>
  <c r="G3685" i="1"/>
  <c r="F3685" i="1"/>
  <c r="E3685" i="1"/>
  <c r="D3685" i="1"/>
  <c r="C3685" i="1"/>
  <c r="B3685" i="1"/>
  <c r="A3685" i="1"/>
  <c r="H3684" i="1"/>
  <c r="G3684" i="1"/>
  <c r="F3684" i="1"/>
  <c r="E3684" i="1"/>
  <c r="D3684" i="1"/>
  <c r="C3684" i="1"/>
  <c r="B3684" i="1"/>
  <c r="A3684" i="1"/>
  <c r="H3683" i="1"/>
  <c r="G3683" i="1"/>
  <c r="F3683" i="1"/>
  <c r="E3683" i="1"/>
  <c r="D3683" i="1"/>
  <c r="C3683" i="1"/>
  <c r="B3683" i="1"/>
  <c r="A3683" i="1"/>
  <c r="H3682" i="1"/>
  <c r="G3682" i="1"/>
  <c r="F3682" i="1"/>
  <c r="E3682" i="1"/>
  <c r="D3682" i="1"/>
  <c r="C3682" i="1"/>
  <c r="B3682" i="1"/>
  <c r="A3682" i="1"/>
  <c r="H3681" i="1"/>
  <c r="G3681" i="1"/>
  <c r="F3681" i="1"/>
  <c r="E3681" i="1"/>
  <c r="D3681" i="1"/>
  <c r="C3681" i="1"/>
  <c r="B3681" i="1"/>
  <c r="A3681" i="1"/>
  <c r="H3680" i="1"/>
  <c r="G3680" i="1"/>
  <c r="F3680" i="1"/>
  <c r="E3680" i="1"/>
  <c r="D3680" i="1"/>
  <c r="C3680" i="1"/>
  <c r="B3680" i="1"/>
  <c r="A3680" i="1"/>
  <c r="H3679" i="1"/>
  <c r="G3679" i="1"/>
  <c r="F3679" i="1"/>
  <c r="E3679" i="1"/>
  <c r="D3679" i="1"/>
  <c r="C3679" i="1"/>
  <c r="B3679" i="1"/>
  <c r="A3679" i="1"/>
  <c r="H3678" i="1"/>
  <c r="G3678" i="1"/>
  <c r="F3678" i="1"/>
  <c r="E3678" i="1"/>
  <c r="D3678" i="1"/>
  <c r="C3678" i="1"/>
  <c r="B3678" i="1"/>
  <c r="A3678" i="1"/>
  <c r="H3677" i="1"/>
  <c r="G3677" i="1"/>
  <c r="F3677" i="1"/>
  <c r="E3677" i="1"/>
  <c r="D3677" i="1"/>
  <c r="C3677" i="1"/>
  <c r="B3677" i="1"/>
  <c r="A3677" i="1"/>
  <c r="H3676" i="1"/>
  <c r="G3676" i="1"/>
  <c r="F3676" i="1"/>
  <c r="E3676" i="1"/>
  <c r="D3676" i="1"/>
  <c r="C3676" i="1"/>
  <c r="B3676" i="1"/>
  <c r="A3676" i="1"/>
  <c r="H3675" i="1"/>
  <c r="G3675" i="1"/>
  <c r="F3675" i="1"/>
  <c r="E3675" i="1"/>
  <c r="D3675" i="1"/>
  <c r="C3675" i="1"/>
  <c r="B3675" i="1"/>
  <c r="A3675" i="1"/>
  <c r="H3674" i="1"/>
  <c r="G3674" i="1"/>
  <c r="F3674" i="1"/>
  <c r="E3674" i="1"/>
  <c r="D3674" i="1"/>
  <c r="C3674" i="1"/>
  <c r="B3674" i="1"/>
  <c r="A3674" i="1"/>
  <c r="H3673" i="1"/>
  <c r="G3673" i="1"/>
  <c r="F3673" i="1"/>
  <c r="E3673" i="1"/>
  <c r="D3673" i="1"/>
  <c r="C3673" i="1"/>
  <c r="B3673" i="1"/>
  <c r="A3673" i="1"/>
  <c r="H3672" i="1"/>
  <c r="G3672" i="1"/>
  <c r="F3672" i="1"/>
  <c r="E3672" i="1"/>
  <c r="D3672" i="1"/>
  <c r="C3672" i="1"/>
  <c r="B3672" i="1"/>
  <c r="A3672" i="1"/>
  <c r="H3671" i="1"/>
  <c r="G3671" i="1"/>
  <c r="F3671" i="1"/>
  <c r="E3671" i="1"/>
  <c r="D3671" i="1"/>
  <c r="C3671" i="1"/>
  <c r="B3671" i="1"/>
  <c r="A3671" i="1"/>
  <c r="H3670" i="1"/>
  <c r="G3670" i="1"/>
  <c r="F3670" i="1"/>
  <c r="E3670" i="1"/>
  <c r="D3670" i="1"/>
  <c r="C3670" i="1"/>
  <c r="B3670" i="1"/>
  <c r="A3670" i="1"/>
  <c r="H3669" i="1"/>
  <c r="G3669" i="1"/>
  <c r="F3669" i="1"/>
  <c r="E3669" i="1"/>
  <c r="D3669" i="1"/>
  <c r="C3669" i="1"/>
  <c r="B3669" i="1"/>
  <c r="A3669" i="1"/>
  <c r="H3668" i="1"/>
  <c r="G3668" i="1"/>
  <c r="F3668" i="1"/>
  <c r="E3668" i="1"/>
  <c r="D3668" i="1"/>
  <c r="C3668" i="1"/>
  <c r="B3668" i="1"/>
  <c r="A3668" i="1"/>
  <c r="H3667" i="1"/>
  <c r="G3667" i="1"/>
  <c r="F3667" i="1"/>
  <c r="E3667" i="1"/>
  <c r="D3667" i="1"/>
  <c r="C3667" i="1"/>
  <c r="B3667" i="1"/>
  <c r="A3667" i="1"/>
  <c r="H3666" i="1"/>
  <c r="G3666" i="1"/>
  <c r="F3666" i="1"/>
  <c r="E3666" i="1"/>
  <c r="D3666" i="1"/>
  <c r="C3666" i="1"/>
  <c r="B3666" i="1"/>
  <c r="A3666" i="1"/>
  <c r="H3665" i="1"/>
  <c r="G3665" i="1"/>
  <c r="F3665" i="1"/>
  <c r="E3665" i="1"/>
  <c r="D3665" i="1"/>
  <c r="C3665" i="1"/>
  <c r="B3665" i="1"/>
  <c r="A3665" i="1"/>
  <c r="H3664" i="1"/>
  <c r="G3664" i="1"/>
  <c r="F3664" i="1"/>
  <c r="E3664" i="1"/>
  <c r="D3664" i="1"/>
  <c r="C3664" i="1"/>
  <c r="B3664" i="1"/>
  <c r="A3664" i="1"/>
  <c r="H3663" i="1"/>
  <c r="G3663" i="1"/>
  <c r="F3663" i="1"/>
  <c r="E3663" i="1"/>
  <c r="D3663" i="1"/>
  <c r="C3663" i="1"/>
  <c r="B3663" i="1"/>
  <c r="A3663" i="1"/>
  <c r="H3662" i="1"/>
  <c r="G3662" i="1"/>
  <c r="F3662" i="1"/>
  <c r="E3662" i="1"/>
  <c r="D3662" i="1"/>
  <c r="C3662" i="1"/>
  <c r="B3662" i="1"/>
  <c r="A3662" i="1"/>
  <c r="H3661" i="1"/>
  <c r="G3661" i="1"/>
  <c r="F3661" i="1"/>
  <c r="E3661" i="1"/>
  <c r="D3661" i="1"/>
  <c r="C3661" i="1"/>
  <c r="B3661" i="1"/>
  <c r="A3661" i="1"/>
  <c r="H3660" i="1"/>
  <c r="G3660" i="1"/>
  <c r="F3660" i="1"/>
  <c r="E3660" i="1"/>
  <c r="D3660" i="1"/>
  <c r="C3660" i="1"/>
  <c r="B3660" i="1"/>
  <c r="A3660" i="1"/>
  <c r="H3659" i="1"/>
  <c r="G3659" i="1"/>
  <c r="F3659" i="1"/>
  <c r="E3659" i="1"/>
  <c r="D3659" i="1"/>
  <c r="C3659" i="1"/>
  <c r="B3659" i="1"/>
  <c r="A3659" i="1"/>
  <c r="H3658" i="1"/>
  <c r="G3658" i="1"/>
  <c r="F3658" i="1"/>
  <c r="E3658" i="1"/>
  <c r="D3658" i="1"/>
  <c r="C3658" i="1"/>
  <c r="B3658" i="1"/>
  <c r="A3658" i="1"/>
  <c r="H3657" i="1"/>
  <c r="G3657" i="1"/>
  <c r="F3657" i="1"/>
  <c r="E3657" i="1"/>
  <c r="D3657" i="1"/>
  <c r="C3657" i="1"/>
  <c r="B3657" i="1"/>
  <c r="A3657" i="1"/>
  <c r="H3656" i="1"/>
  <c r="G3656" i="1"/>
  <c r="F3656" i="1"/>
  <c r="E3656" i="1"/>
  <c r="D3656" i="1"/>
  <c r="C3656" i="1"/>
  <c r="B3656" i="1"/>
  <c r="A3656" i="1"/>
  <c r="H3655" i="1"/>
  <c r="G3655" i="1"/>
  <c r="F3655" i="1"/>
  <c r="E3655" i="1"/>
  <c r="D3655" i="1"/>
  <c r="C3655" i="1"/>
  <c r="B3655" i="1"/>
  <c r="A3655" i="1"/>
  <c r="H3654" i="1"/>
  <c r="G3654" i="1"/>
  <c r="F3654" i="1"/>
  <c r="E3654" i="1"/>
  <c r="D3654" i="1"/>
  <c r="C3654" i="1"/>
  <c r="B3654" i="1"/>
  <c r="A3654" i="1"/>
  <c r="H3653" i="1"/>
  <c r="G3653" i="1"/>
  <c r="F3653" i="1"/>
  <c r="E3653" i="1"/>
  <c r="D3653" i="1"/>
  <c r="C3653" i="1"/>
  <c r="B3653" i="1"/>
  <c r="A3653" i="1"/>
  <c r="H3652" i="1"/>
  <c r="G3652" i="1"/>
  <c r="F3652" i="1"/>
  <c r="E3652" i="1"/>
  <c r="D3652" i="1"/>
  <c r="C3652" i="1"/>
  <c r="B3652" i="1"/>
  <c r="A3652" i="1"/>
  <c r="H3651" i="1"/>
  <c r="G3651" i="1"/>
  <c r="F3651" i="1"/>
  <c r="E3651" i="1"/>
  <c r="D3651" i="1"/>
  <c r="C3651" i="1"/>
  <c r="B3651" i="1"/>
  <c r="A3651" i="1"/>
  <c r="H3650" i="1"/>
  <c r="G3650" i="1"/>
  <c r="F3650" i="1"/>
  <c r="E3650" i="1"/>
  <c r="D3650" i="1"/>
  <c r="C3650" i="1"/>
  <c r="B3650" i="1"/>
  <c r="A3650" i="1"/>
  <c r="H3649" i="1"/>
  <c r="G3649" i="1"/>
  <c r="F3649" i="1"/>
  <c r="E3649" i="1"/>
  <c r="D3649" i="1"/>
  <c r="C3649" i="1"/>
  <c r="B3649" i="1"/>
  <c r="A3649" i="1"/>
  <c r="H3648" i="1"/>
  <c r="G3648" i="1"/>
  <c r="F3648" i="1"/>
  <c r="E3648" i="1"/>
  <c r="D3648" i="1"/>
  <c r="C3648" i="1"/>
  <c r="B3648" i="1"/>
  <c r="A3648" i="1"/>
  <c r="H3647" i="1"/>
  <c r="G3647" i="1"/>
  <c r="F3647" i="1"/>
  <c r="E3647" i="1"/>
  <c r="D3647" i="1"/>
  <c r="C3647" i="1"/>
  <c r="B3647" i="1"/>
  <c r="A3647" i="1"/>
  <c r="H3646" i="1"/>
  <c r="G3646" i="1"/>
  <c r="F3646" i="1"/>
  <c r="E3646" i="1"/>
  <c r="D3646" i="1"/>
  <c r="C3646" i="1"/>
  <c r="B3646" i="1"/>
  <c r="A3646" i="1"/>
  <c r="H3645" i="1"/>
  <c r="G3645" i="1"/>
  <c r="F3645" i="1"/>
  <c r="E3645" i="1"/>
  <c r="D3645" i="1"/>
  <c r="C3645" i="1"/>
  <c r="B3645" i="1"/>
  <c r="A3645" i="1"/>
  <c r="H3644" i="1"/>
  <c r="G3644" i="1"/>
  <c r="F3644" i="1"/>
  <c r="E3644" i="1"/>
  <c r="D3644" i="1"/>
  <c r="C3644" i="1"/>
  <c r="B3644" i="1"/>
  <c r="A3644" i="1"/>
  <c r="H3643" i="1"/>
  <c r="G3643" i="1"/>
  <c r="F3643" i="1"/>
  <c r="E3643" i="1"/>
  <c r="D3643" i="1"/>
  <c r="C3643" i="1"/>
  <c r="B3643" i="1"/>
  <c r="A3643" i="1"/>
  <c r="H3642" i="1"/>
  <c r="G3642" i="1"/>
  <c r="F3642" i="1"/>
  <c r="E3642" i="1"/>
  <c r="D3642" i="1"/>
  <c r="C3642" i="1"/>
  <c r="B3642" i="1"/>
  <c r="A3642" i="1"/>
  <c r="H3641" i="1"/>
  <c r="G3641" i="1"/>
  <c r="F3641" i="1"/>
  <c r="E3641" i="1"/>
  <c r="D3641" i="1"/>
  <c r="C3641" i="1"/>
  <c r="B3641" i="1"/>
  <c r="A3641" i="1"/>
  <c r="H3640" i="1"/>
  <c r="G3640" i="1"/>
  <c r="F3640" i="1"/>
  <c r="E3640" i="1"/>
  <c r="D3640" i="1"/>
  <c r="C3640" i="1"/>
  <c r="B3640" i="1"/>
  <c r="A3640" i="1"/>
  <c r="H3639" i="1"/>
  <c r="G3639" i="1"/>
  <c r="F3639" i="1"/>
  <c r="E3639" i="1"/>
  <c r="D3639" i="1"/>
  <c r="C3639" i="1"/>
  <c r="B3639" i="1"/>
  <c r="A3639" i="1"/>
  <c r="H3638" i="1"/>
  <c r="G3638" i="1"/>
  <c r="F3638" i="1"/>
  <c r="E3638" i="1"/>
  <c r="D3638" i="1"/>
  <c r="C3638" i="1"/>
  <c r="B3638" i="1"/>
  <c r="A3638" i="1"/>
  <c r="H3637" i="1"/>
  <c r="G3637" i="1"/>
  <c r="F3637" i="1"/>
  <c r="E3637" i="1"/>
  <c r="D3637" i="1"/>
  <c r="C3637" i="1"/>
  <c r="B3637" i="1"/>
  <c r="A3637" i="1"/>
  <c r="H3636" i="1"/>
  <c r="G3636" i="1"/>
  <c r="F3636" i="1"/>
  <c r="E3636" i="1"/>
  <c r="D3636" i="1"/>
  <c r="C3636" i="1"/>
  <c r="B3636" i="1"/>
  <c r="A3636" i="1"/>
  <c r="H3635" i="1"/>
  <c r="G3635" i="1"/>
  <c r="F3635" i="1"/>
  <c r="E3635" i="1"/>
  <c r="D3635" i="1"/>
  <c r="C3635" i="1"/>
  <c r="B3635" i="1"/>
  <c r="A3635" i="1"/>
  <c r="H3634" i="1"/>
  <c r="G3634" i="1"/>
  <c r="F3634" i="1"/>
  <c r="E3634" i="1"/>
  <c r="D3634" i="1"/>
  <c r="C3634" i="1"/>
  <c r="B3634" i="1"/>
  <c r="A3634" i="1"/>
  <c r="H3633" i="1"/>
  <c r="G3633" i="1"/>
  <c r="F3633" i="1"/>
  <c r="E3633" i="1"/>
  <c r="D3633" i="1"/>
  <c r="C3633" i="1"/>
  <c r="B3633" i="1"/>
  <c r="A3633" i="1"/>
  <c r="H3632" i="1"/>
  <c r="G3632" i="1"/>
  <c r="F3632" i="1"/>
  <c r="E3632" i="1"/>
  <c r="D3632" i="1"/>
  <c r="C3632" i="1"/>
  <c r="B3632" i="1"/>
  <c r="A3632" i="1"/>
  <c r="H3631" i="1"/>
  <c r="G3631" i="1"/>
  <c r="F3631" i="1"/>
  <c r="E3631" i="1"/>
  <c r="D3631" i="1"/>
  <c r="C3631" i="1"/>
  <c r="B3631" i="1"/>
  <c r="A3631" i="1"/>
  <c r="H3630" i="1"/>
  <c r="G3630" i="1"/>
  <c r="F3630" i="1"/>
  <c r="E3630" i="1"/>
  <c r="D3630" i="1"/>
  <c r="C3630" i="1"/>
  <c r="B3630" i="1"/>
  <c r="A3630" i="1"/>
  <c r="H3629" i="1"/>
  <c r="G3629" i="1"/>
  <c r="F3629" i="1"/>
  <c r="E3629" i="1"/>
  <c r="D3629" i="1"/>
  <c r="C3629" i="1"/>
  <c r="B3629" i="1"/>
  <c r="A3629" i="1"/>
  <c r="H3628" i="1"/>
  <c r="G3628" i="1"/>
  <c r="F3628" i="1"/>
  <c r="E3628" i="1"/>
  <c r="D3628" i="1"/>
  <c r="C3628" i="1"/>
  <c r="B3628" i="1"/>
  <c r="A3628" i="1"/>
  <c r="H3627" i="1"/>
  <c r="G3627" i="1"/>
  <c r="F3627" i="1"/>
  <c r="E3627" i="1"/>
  <c r="D3627" i="1"/>
  <c r="C3627" i="1"/>
  <c r="B3627" i="1"/>
  <c r="A3627" i="1"/>
  <c r="H3626" i="1"/>
  <c r="G3626" i="1"/>
  <c r="F3626" i="1"/>
  <c r="E3626" i="1"/>
  <c r="D3626" i="1"/>
  <c r="C3626" i="1"/>
  <c r="B3626" i="1"/>
  <c r="A3626" i="1"/>
  <c r="H3625" i="1"/>
  <c r="G3625" i="1"/>
  <c r="F3625" i="1"/>
  <c r="E3625" i="1"/>
  <c r="D3625" i="1"/>
  <c r="C3625" i="1"/>
  <c r="B3625" i="1"/>
  <c r="A3625" i="1"/>
  <c r="H3624" i="1"/>
  <c r="G3624" i="1"/>
  <c r="F3624" i="1"/>
  <c r="E3624" i="1"/>
  <c r="D3624" i="1"/>
  <c r="C3624" i="1"/>
  <c r="B3624" i="1"/>
  <c r="A3624" i="1"/>
  <c r="H3623" i="1"/>
  <c r="G3623" i="1"/>
  <c r="F3623" i="1"/>
  <c r="E3623" i="1"/>
  <c r="D3623" i="1"/>
  <c r="C3623" i="1"/>
  <c r="B3623" i="1"/>
  <c r="A3623" i="1"/>
  <c r="H3622" i="1"/>
  <c r="G3622" i="1"/>
  <c r="F3622" i="1"/>
  <c r="E3622" i="1"/>
  <c r="D3622" i="1"/>
  <c r="C3622" i="1"/>
  <c r="B3622" i="1"/>
  <c r="A3622" i="1"/>
  <c r="H3621" i="1"/>
  <c r="G3621" i="1"/>
  <c r="F3621" i="1"/>
  <c r="E3621" i="1"/>
  <c r="D3621" i="1"/>
  <c r="C3621" i="1"/>
  <c r="B3621" i="1"/>
  <c r="A3621" i="1"/>
  <c r="H3620" i="1"/>
  <c r="G3620" i="1"/>
  <c r="F3620" i="1"/>
  <c r="E3620" i="1"/>
  <c r="D3620" i="1"/>
  <c r="C3620" i="1"/>
  <c r="B3620" i="1"/>
  <c r="A3620" i="1"/>
  <c r="H3619" i="1"/>
  <c r="G3619" i="1"/>
  <c r="F3619" i="1"/>
  <c r="E3619" i="1"/>
  <c r="D3619" i="1"/>
  <c r="C3619" i="1"/>
  <c r="B3619" i="1"/>
  <c r="A3619" i="1"/>
  <c r="H3618" i="1"/>
  <c r="G3618" i="1"/>
  <c r="F3618" i="1"/>
  <c r="E3618" i="1"/>
  <c r="D3618" i="1"/>
  <c r="C3618" i="1"/>
  <c r="B3618" i="1"/>
  <c r="A3618" i="1"/>
  <c r="H3617" i="1"/>
  <c r="G3617" i="1"/>
  <c r="F3617" i="1"/>
  <c r="E3617" i="1"/>
  <c r="D3617" i="1"/>
  <c r="C3617" i="1"/>
  <c r="B3617" i="1"/>
  <c r="A3617" i="1"/>
  <c r="H3616" i="1"/>
  <c r="G3616" i="1"/>
  <c r="F3616" i="1"/>
  <c r="E3616" i="1"/>
  <c r="D3616" i="1"/>
  <c r="C3616" i="1"/>
  <c r="B3616" i="1"/>
  <c r="A3616" i="1"/>
  <c r="H3615" i="1"/>
  <c r="G3615" i="1"/>
  <c r="F3615" i="1"/>
  <c r="E3615" i="1"/>
  <c r="D3615" i="1"/>
  <c r="C3615" i="1"/>
  <c r="B3615" i="1"/>
  <c r="A3615" i="1"/>
  <c r="H3614" i="1"/>
  <c r="G3614" i="1"/>
  <c r="F3614" i="1"/>
  <c r="E3614" i="1"/>
  <c r="D3614" i="1"/>
  <c r="C3614" i="1"/>
  <c r="B3614" i="1"/>
  <c r="A3614" i="1"/>
  <c r="H3613" i="1"/>
  <c r="G3613" i="1"/>
  <c r="F3613" i="1"/>
  <c r="E3613" i="1"/>
  <c r="D3613" i="1"/>
  <c r="C3613" i="1"/>
  <c r="B3613" i="1"/>
  <c r="A3613" i="1"/>
  <c r="H3612" i="1"/>
  <c r="G3612" i="1"/>
  <c r="F3612" i="1"/>
  <c r="E3612" i="1"/>
  <c r="D3612" i="1"/>
  <c r="C3612" i="1"/>
  <c r="B3612" i="1"/>
  <c r="A3612" i="1"/>
  <c r="H3611" i="1"/>
  <c r="G3611" i="1"/>
  <c r="F3611" i="1"/>
  <c r="E3611" i="1"/>
  <c r="D3611" i="1"/>
  <c r="C3611" i="1"/>
  <c r="B3611" i="1"/>
  <c r="A3611" i="1"/>
  <c r="H3610" i="1"/>
  <c r="G3610" i="1"/>
  <c r="F3610" i="1"/>
  <c r="E3610" i="1"/>
  <c r="D3610" i="1"/>
  <c r="C3610" i="1"/>
  <c r="B3610" i="1"/>
  <c r="A3610" i="1"/>
  <c r="H3609" i="1"/>
  <c r="G3609" i="1"/>
  <c r="F3609" i="1"/>
  <c r="E3609" i="1"/>
  <c r="D3609" i="1"/>
  <c r="C3609" i="1"/>
  <c r="B3609" i="1"/>
  <c r="A3609" i="1"/>
  <c r="H3608" i="1"/>
  <c r="G3608" i="1"/>
  <c r="F3608" i="1"/>
  <c r="E3608" i="1"/>
  <c r="D3608" i="1"/>
  <c r="C3608" i="1"/>
  <c r="B3608" i="1"/>
  <c r="A3608" i="1"/>
  <c r="H3607" i="1"/>
  <c r="G3607" i="1"/>
  <c r="F3607" i="1"/>
  <c r="E3607" i="1"/>
  <c r="D3607" i="1"/>
  <c r="C3607" i="1"/>
  <c r="B3607" i="1"/>
  <c r="A3607" i="1"/>
  <c r="H3606" i="1"/>
  <c r="G3606" i="1"/>
  <c r="F3606" i="1"/>
  <c r="E3606" i="1"/>
  <c r="D3606" i="1"/>
  <c r="C3606" i="1"/>
  <c r="B3606" i="1"/>
  <c r="A3606" i="1"/>
  <c r="H3605" i="1"/>
  <c r="G3605" i="1"/>
  <c r="F3605" i="1"/>
  <c r="E3605" i="1"/>
  <c r="D3605" i="1"/>
  <c r="C3605" i="1"/>
  <c r="B3605" i="1"/>
  <c r="A3605" i="1"/>
  <c r="H3604" i="1"/>
  <c r="G3604" i="1"/>
  <c r="F3604" i="1"/>
  <c r="E3604" i="1"/>
  <c r="D3604" i="1"/>
  <c r="C3604" i="1"/>
  <c r="B3604" i="1"/>
  <c r="A3604" i="1"/>
  <c r="H3603" i="1"/>
  <c r="G3603" i="1"/>
  <c r="F3603" i="1"/>
  <c r="E3603" i="1"/>
  <c r="D3603" i="1"/>
  <c r="C3603" i="1"/>
  <c r="B3603" i="1"/>
  <c r="A3603" i="1"/>
  <c r="H3602" i="1"/>
  <c r="G3602" i="1"/>
  <c r="F3602" i="1"/>
  <c r="E3602" i="1"/>
  <c r="D3602" i="1"/>
  <c r="C3602" i="1"/>
  <c r="B3602" i="1"/>
  <c r="A3602" i="1"/>
  <c r="H3601" i="1"/>
  <c r="G3601" i="1"/>
  <c r="F3601" i="1"/>
  <c r="E3601" i="1"/>
  <c r="D3601" i="1"/>
  <c r="C3601" i="1"/>
  <c r="B3601" i="1"/>
  <c r="A3601" i="1"/>
  <c r="H3600" i="1"/>
  <c r="G3600" i="1"/>
  <c r="F3600" i="1"/>
  <c r="E3600" i="1"/>
  <c r="D3600" i="1"/>
  <c r="C3600" i="1"/>
  <c r="B3600" i="1"/>
  <c r="A3600" i="1"/>
  <c r="H3599" i="1"/>
  <c r="G3599" i="1"/>
  <c r="F3599" i="1"/>
  <c r="E3599" i="1"/>
  <c r="D3599" i="1"/>
  <c r="C3599" i="1"/>
  <c r="B3599" i="1"/>
  <c r="A3599" i="1"/>
  <c r="H3598" i="1"/>
  <c r="G3598" i="1"/>
  <c r="F3598" i="1"/>
  <c r="E3598" i="1"/>
  <c r="D3598" i="1"/>
  <c r="C3598" i="1"/>
  <c r="B3598" i="1"/>
  <c r="A3598" i="1"/>
  <c r="H3597" i="1"/>
  <c r="G3597" i="1"/>
  <c r="F3597" i="1"/>
  <c r="E3597" i="1"/>
  <c r="D3597" i="1"/>
  <c r="C3597" i="1"/>
  <c r="B3597" i="1"/>
  <c r="A3597" i="1"/>
  <c r="H3596" i="1"/>
  <c r="G3596" i="1"/>
  <c r="F3596" i="1"/>
  <c r="E3596" i="1"/>
  <c r="D3596" i="1"/>
  <c r="C3596" i="1"/>
  <c r="B3596" i="1"/>
  <c r="A3596" i="1"/>
  <c r="H3595" i="1"/>
  <c r="G3595" i="1"/>
  <c r="F3595" i="1"/>
  <c r="E3595" i="1"/>
  <c r="D3595" i="1"/>
  <c r="C3595" i="1"/>
  <c r="B3595" i="1"/>
  <c r="A3595" i="1"/>
  <c r="H3594" i="1"/>
  <c r="G3594" i="1"/>
  <c r="F3594" i="1"/>
  <c r="E3594" i="1"/>
  <c r="D3594" i="1"/>
  <c r="C3594" i="1"/>
  <c r="B3594" i="1"/>
  <c r="A3594" i="1"/>
  <c r="H3593" i="1"/>
  <c r="G3593" i="1"/>
  <c r="F3593" i="1"/>
  <c r="E3593" i="1"/>
  <c r="D3593" i="1"/>
  <c r="C3593" i="1"/>
  <c r="B3593" i="1"/>
  <c r="A3593" i="1"/>
  <c r="H3592" i="1"/>
  <c r="G3592" i="1"/>
  <c r="F3592" i="1"/>
  <c r="E3592" i="1"/>
  <c r="D3592" i="1"/>
  <c r="C3592" i="1"/>
  <c r="B3592" i="1"/>
  <c r="A3592" i="1"/>
  <c r="H3591" i="1"/>
  <c r="G3591" i="1"/>
  <c r="F3591" i="1"/>
  <c r="E3591" i="1"/>
  <c r="D3591" i="1"/>
  <c r="C3591" i="1"/>
  <c r="B3591" i="1"/>
  <c r="A3591" i="1"/>
  <c r="H3590" i="1"/>
  <c r="G3590" i="1"/>
  <c r="F3590" i="1"/>
  <c r="E3590" i="1"/>
  <c r="D3590" i="1"/>
  <c r="C3590" i="1"/>
  <c r="B3590" i="1"/>
  <c r="A3590" i="1"/>
  <c r="H3589" i="1"/>
  <c r="G3589" i="1"/>
  <c r="F3589" i="1"/>
  <c r="E3589" i="1"/>
  <c r="D3589" i="1"/>
  <c r="C3589" i="1"/>
  <c r="B3589" i="1"/>
  <c r="A3589" i="1"/>
  <c r="H3588" i="1"/>
  <c r="G3588" i="1"/>
  <c r="F3588" i="1"/>
  <c r="E3588" i="1"/>
  <c r="D3588" i="1"/>
  <c r="C3588" i="1"/>
  <c r="B3588" i="1"/>
  <c r="A3588" i="1"/>
  <c r="H3587" i="1"/>
  <c r="G3587" i="1"/>
  <c r="F3587" i="1"/>
  <c r="E3587" i="1"/>
  <c r="D3587" i="1"/>
  <c r="C3587" i="1"/>
  <c r="B3587" i="1"/>
  <c r="A3587" i="1"/>
  <c r="H3586" i="1"/>
  <c r="G3586" i="1"/>
  <c r="F3586" i="1"/>
  <c r="E3586" i="1"/>
  <c r="D3586" i="1"/>
  <c r="C3586" i="1"/>
  <c r="B3586" i="1"/>
  <c r="A3586" i="1"/>
  <c r="H3585" i="1"/>
  <c r="G3585" i="1"/>
  <c r="F3585" i="1"/>
  <c r="E3585" i="1"/>
  <c r="D3585" i="1"/>
  <c r="C3585" i="1"/>
  <c r="B3585" i="1"/>
  <c r="A3585" i="1"/>
  <c r="H3584" i="1"/>
  <c r="G3584" i="1"/>
  <c r="F3584" i="1"/>
  <c r="E3584" i="1"/>
  <c r="D3584" i="1"/>
  <c r="C3584" i="1"/>
  <c r="B3584" i="1"/>
  <c r="A3584" i="1"/>
  <c r="H3583" i="1"/>
  <c r="G3583" i="1"/>
  <c r="F3583" i="1"/>
  <c r="E3583" i="1"/>
  <c r="D3583" i="1"/>
  <c r="C3583" i="1"/>
  <c r="B3583" i="1"/>
  <c r="A3583" i="1"/>
  <c r="H3582" i="1"/>
  <c r="G3582" i="1"/>
  <c r="F3582" i="1"/>
  <c r="E3582" i="1"/>
  <c r="D3582" i="1"/>
  <c r="C3582" i="1"/>
  <c r="B3582" i="1"/>
  <c r="A3582" i="1"/>
  <c r="H3581" i="1"/>
  <c r="G3581" i="1"/>
  <c r="F3581" i="1"/>
  <c r="E3581" i="1"/>
  <c r="D3581" i="1"/>
  <c r="C3581" i="1"/>
  <c r="B3581" i="1"/>
  <c r="A3581" i="1"/>
  <c r="H3580" i="1"/>
  <c r="G3580" i="1"/>
  <c r="F3580" i="1"/>
  <c r="E3580" i="1"/>
  <c r="D3580" i="1"/>
  <c r="C3580" i="1"/>
  <c r="B3580" i="1"/>
  <c r="A3580" i="1"/>
  <c r="H3579" i="1"/>
  <c r="G3579" i="1"/>
  <c r="F3579" i="1"/>
  <c r="E3579" i="1"/>
  <c r="D3579" i="1"/>
  <c r="C3579" i="1"/>
  <c r="B3579" i="1"/>
  <c r="A3579" i="1"/>
  <c r="H3578" i="1"/>
  <c r="G3578" i="1"/>
  <c r="F3578" i="1"/>
  <c r="E3578" i="1"/>
  <c r="D3578" i="1"/>
  <c r="C3578" i="1"/>
  <c r="B3578" i="1"/>
  <c r="A3578" i="1"/>
  <c r="H3577" i="1"/>
  <c r="G3577" i="1"/>
  <c r="F3577" i="1"/>
  <c r="E3577" i="1"/>
  <c r="D3577" i="1"/>
  <c r="C3577" i="1"/>
  <c r="B3577" i="1"/>
  <c r="A3577" i="1"/>
  <c r="H3576" i="1"/>
  <c r="G3576" i="1"/>
  <c r="F3576" i="1"/>
  <c r="E3576" i="1"/>
  <c r="D3576" i="1"/>
  <c r="C3576" i="1"/>
  <c r="B3576" i="1"/>
  <c r="A3576" i="1"/>
  <c r="H3575" i="1"/>
  <c r="G3575" i="1"/>
  <c r="F3575" i="1"/>
  <c r="E3575" i="1"/>
  <c r="D3575" i="1"/>
  <c r="C3575" i="1"/>
  <c r="B3575" i="1"/>
  <c r="A3575" i="1"/>
  <c r="H3574" i="1"/>
  <c r="G3574" i="1"/>
  <c r="F3574" i="1"/>
  <c r="E3574" i="1"/>
  <c r="D3574" i="1"/>
  <c r="C3574" i="1"/>
  <c r="B3574" i="1"/>
  <c r="A3574" i="1"/>
  <c r="H3573" i="1"/>
  <c r="G3573" i="1"/>
  <c r="F3573" i="1"/>
  <c r="E3573" i="1"/>
  <c r="D3573" i="1"/>
  <c r="C3573" i="1"/>
  <c r="B3573" i="1"/>
  <c r="A3573" i="1"/>
  <c r="H3572" i="1"/>
  <c r="G3572" i="1"/>
  <c r="F3572" i="1"/>
  <c r="E3572" i="1"/>
  <c r="D3572" i="1"/>
  <c r="C3572" i="1"/>
  <c r="B3572" i="1"/>
  <c r="A3572" i="1"/>
  <c r="H3571" i="1"/>
  <c r="G3571" i="1"/>
  <c r="F3571" i="1"/>
  <c r="E3571" i="1"/>
  <c r="D3571" i="1"/>
  <c r="C3571" i="1"/>
  <c r="B3571" i="1"/>
  <c r="A3571" i="1"/>
  <c r="H3570" i="1"/>
  <c r="G3570" i="1"/>
  <c r="F3570" i="1"/>
  <c r="E3570" i="1"/>
  <c r="D3570" i="1"/>
  <c r="C3570" i="1"/>
  <c r="B3570" i="1"/>
  <c r="A3570" i="1"/>
  <c r="H3569" i="1"/>
  <c r="G3569" i="1"/>
  <c r="F3569" i="1"/>
  <c r="E3569" i="1"/>
  <c r="D3569" i="1"/>
  <c r="C3569" i="1"/>
  <c r="B3569" i="1"/>
  <c r="A3569" i="1"/>
  <c r="H3568" i="1"/>
  <c r="G3568" i="1"/>
  <c r="F3568" i="1"/>
  <c r="E3568" i="1"/>
  <c r="D3568" i="1"/>
  <c r="C3568" i="1"/>
  <c r="B3568" i="1"/>
  <c r="A3568" i="1"/>
  <c r="H3567" i="1"/>
  <c r="G3567" i="1"/>
  <c r="F3567" i="1"/>
  <c r="E3567" i="1"/>
  <c r="D3567" i="1"/>
  <c r="C3567" i="1"/>
  <c r="B3567" i="1"/>
  <c r="A3567" i="1"/>
  <c r="H3566" i="1"/>
  <c r="G3566" i="1"/>
  <c r="F3566" i="1"/>
  <c r="E3566" i="1"/>
  <c r="D3566" i="1"/>
  <c r="C3566" i="1"/>
  <c r="B3566" i="1"/>
  <c r="A3566" i="1"/>
  <c r="H3565" i="1"/>
  <c r="G3565" i="1"/>
  <c r="F3565" i="1"/>
  <c r="E3565" i="1"/>
  <c r="D3565" i="1"/>
  <c r="C3565" i="1"/>
  <c r="B3565" i="1"/>
  <c r="A3565" i="1"/>
  <c r="H3564" i="1"/>
  <c r="G3564" i="1"/>
  <c r="F3564" i="1"/>
  <c r="E3564" i="1"/>
  <c r="D3564" i="1"/>
  <c r="C3564" i="1"/>
  <c r="B3564" i="1"/>
  <c r="A3564" i="1"/>
  <c r="H3563" i="1"/>
  <c r="G3563" i="1"/>
  <c r="F3563" i="1"/>
  <c r="E3563" i="1"/>
  <c r="D3563" i="1"/>
  <c r="C3563" i="1"/>
  <c r="B3563" i="1"/>
  <c r="A3563" i="1"/>
  <c r="H3562" i="1"/>
  <c r="G3562" i="1"/>
  <c r="F3562" i="1"/>
  <c r="E3562" i="1"/>
  <c r="D3562" i="1"/>
  <c r="C3562" i="1"/>
  <c r="B3562" i="1"/>
  <c r="A3562" i="1"/>
  <c r="H3561" i="1"/>
  <c r="G3561" i="1"/>
  <c r="F3561" i="1"/>
  <c r="E3561" i="1"/>
  <c r="D3561" i="1"/>
  <c r="C3561" i="1"/>
  <c r="B3561" i="1"/>
  <c r="A3561" i="1"/>
  <c r="H3560" i="1"/>
  <c r="G3560" i="1"/>
  <c r="F3560" i="1"/>
  <c r="E3560" i="1"/>
  <c r="D3560" i="1"/>
  <c r="C3560" i="1"/>
  <c r="B3560" i="1"/>
  <c r="A3560" i="1"/>
  <c r="H3559" i="1"/>
  <c r="G3559" i="1"/>
  <c r="F3559" i="1"/>
  <c r="E3559" i="1"/>
  <c r="D3559" i="1"/>
  <c r="C3559" i="1"/>
  <c r="B3559" i="1"/>
  <c r="A3559" i="1"/>
  <c r="H3558" i="1"/>
  <c r="G3558" i="1"/>
  <c r="F3558" i="1"/>
  <c r="E3558" i="1"/>
  <c r="D3558" i="1"/>
  <c r="C3558" i="1"/>
  <c r="B3558" i="1"/>
  <c r="A3558" i="1"/>
  <c r="H3557" i="1"/>
  <c r="G3557" i="1"/>
  <c r="F3557" i="1"/>
  <c r="E3557" i="1"/>
  <c r="D3557" i="1"/>
  <c r="C3557" i="1"/>
  <c r="B3557" i="1"/>
  <c r="A3557" i="1"/>
  <c r="H3556" i="1"/>
  <c r="G3556" i="1"/>
  <c r="F3556" i="1"/>
  <c r="E3556" i="1"/>
  <c r="D3556" i="1"/>
  <c r="C3556" i="1"/>
  <c r="B3556" i="1"/>
  <c r="A3556" i="1"/>
  <c r="H3555" i="1"/>
  <c r="G3555" i="1"/>
  <c r="F3555" i="1"/>
  <c r="E3555" i="1"/>
  <c r="D3555" i="1"/>
  <c r="C3555" i="1"/>
  <c r="B3555" i="1"/>
  <c r="A3555" i="1"/>
  <c r="H3554" i="1"/>
  <c r="G3554" i="1"/>
  <c r="F3554" i="1"/>
  <c r="E3554" i="1"/>
  <c r="D3554" i="1"/>
  <c r="C3554" i="1"/>
  <c r="B3554" i="1"/>
  <c r="A3554" i="1"/>
  <c r="H3553" i="1"/>
  <c r="G3553" i="1"/>
  <c r="F3553" i="1"/>
  <c r="E3553" i="1"/>
  <c r="D3553" i="1"/>
  <c r="C3553" i="1"/>
  <c r="B3553" i="1"/>
  <c r="A3553" i="1"/>
  <c r="H3552" i="1"/>
  <c r="G3552" i="1"/>
  <c r="F3552" i="1"/>
  <c r="E3552" i="1"/>
  <c r="D3552" i="1"/>
  <c r="C3552" i="1"/>
  <c r="B3552" i="1"/>
  <c r="A3552" i="1"/>
  <c r="H3551" i="1"/>
  <c r="G3551" i="1"/>
  <c r="F3551" i="1"/>
  <c r="E3551" i="1"/>
  <c r="D3551" i="1"/>
  <c r="C3551" i="1"/>
  <c r="B3551" i="1"/>
  <c r="A3551" i="1"/>
  <c r="H3550" i="1"/>
  <c r="G3550" i="1"/>
  <c r="F3550" i="1"/>
  <c r="E3550" i="1"/>
  <c r="D3550" i="1"/>
  <c r="C3550" i="1"/>
  <c r="B3550" i="1"/>
  <c r="A3550" i="1"/>
  <c r="H3549" i="1"/>
  <c r="G3549" i="1"/>
  <c r="F3549" i="1"/>
  <c r="E3549" i="1"/>
  <c r="D3549" i="1"/>
  <c r="C3549" i="1"/>
  <c r="B3549" i="1"/>
  <c r="A3549" i="1"/>
  <c r="H3548" i="1"/>
  <c r="G3548" i="1"/>
  <c r="F3548" i="1"/>
  <c r="E3548" i="1"/>
  <c r="D3548" i="1"/>
  <c r="C3548" i="1"/>
  <c r="B3548" i="1"/>
  <c r="A3548" i="1"/>
  <c r="H3547" i="1"/>
  <c r="G3547" i="1"/>
  <c r="F3547" i="1"/>
  <c r="E3547" i="1"/>
  <c r="D3547" i="1"/>
  <c r="C3547" i="1"/>
  <c r="B3547" i="1"/>
  <c r="A3547" i="1"/>
  <c r="H3546" i="1"/>
  <c r="G3546" i="1"/>
  <c r="F3546" i="1"/>
  <c r="E3546" i="1"/>
  <c r="D3546" i="1"/>
  <c r="C3546" i="1"/>
  <c r="B3546" i="1"/>
  <c r="A3546" i="1"/>
  <c r="H3545" i="1"/>
  <c r="G3545" i="1"/>
  <c r="F3545" i="1"/>
  <c r="E3545" i="1"/>
  <c r="D3545" i="1"/>
  <c r="C3545" i="1"/>
  <c r="B3545" i="1"/>
  <c r="A3545" i="1"/>
  <c r="H3544" i="1"/>
  <c r="G3544" i="1"/>
  <c r="F3544" i="1"/>
  <c r="E3544" i="1"/>
  <c r="D3544" i="1"/>
  <c r="C3544" i="1"/>
  <c r="B3544" i="1"/>
  <c r="A3544" i="1"/>
  <c r="H3543" i="1"/>
  <c r="G3543" i="1"/>
  <c r="F3543" i="1"/>
  <c r="E3543" i="1"/>
  <c r="D3543" i="1"/>
  <c r="C3543" i="1"/>
  <c r="B3543" i="1"/>
  <c r="A3543" i="1"/>
  <c r="H3542" i="1"/>
  <c r="G3542" i="1"/>
  <c r="F3542" i="1"/>
  <c r="E3542" i="1"/>
  <c r="D3542" i="1"/>
  <c r="C3542" i="1"/>
  <c r="B3542" i="1"/>
  <c r="A3542" i="1"/>
  <c r="H3541" i="1"/>
  <c r="G3541" i="1"/>
  <c r="F3541" i="1"/>
  <c r="E3541" i="1"/>
  <c r="D3541" i="1"/>
  <c r="C3541" i="1"/>
  <c r="B3541" i="1"/>
  <c r="A3541" i="1"/>
  <c r="H3540" i="1"/>
  <c r="G3540" i="1"/>
  <c r="F3540" i="1"/>
  <c r="E3540" i="1"/>
  <c r="D3540" i="1"/>
  <c r="C3540" i="1"/>
  <c r="B3540" i="1"/>
  <c r="A3540" i="1"/>
  <c r="H3539" i="1"/>
  <c r="G3539" i="1"/>
  <c r="F3539" i="1"/>
  <c r="E3539" i="1"/>
  <c r="D3539" i="1"/>
  <c r="C3539" i="1"/>
  <c r="B3539" i="1"/>
  <c r="A3539" i="1"/>
  <c r="H3538" i="1"/>
  <c r="G3538" i="1"/>
  <c r="F3538" i="1"/>
  <c r="E3538" i="1"/>
  <c r="D3538" i="1"/>
  <c r="C3538" i="1"/>
  <c r="B3538" i="1"/>
  <c r="A3538" i="1"/>
  <c r="H3537" i="1"/>
  <c r="G3537" i="1"/>
  <c r="F3537" i="1"/>
  <c r="E3537" i="1"/>
  <c r="D3537" i="1"/>
  <c r="C3537" i="1"/>
  <c r="B3537" i="1"/>
  <c r="A3537" i="1"/>
  <c r="H3536" i="1"/>
  <c r="G3536" i="1"/>
  <c r="F3536" i="1"/>
  <c r="E3536" i="1"/>
  <c r="D3536" i="1"/>
  <c r="C3536" i="1"/>
  <c r="B3536" i="1"/>
  <c r="A3536" i="1"/>
  <c r="H3535" i="1"/>
  <c r="G3535" i="1"/>
  <c r="F3535" i="1"/>
  <c r="E3535" i="1"/>
  <c r="D3535" i="1"/>
  <c r="C3535" i="1"/>
  <c r="B3535" i="1"/>
  <c r="A3535" i="1"/>
  <c r="H3534" i="1"/>
  <c r="G3534" i="1"/>
  <c r="F3534" i="1"/>
  <c r="E3534" i="1"/>
  <c r="D3534" i="1"/>
  <c r="C3534" i="1"/>
  <c r="B3534" i="1"/>
  <c r="A3534" i="1"/>
  <c r="H3533" i="1"/>
  <c r="G3533" i="1"/>
  <c r="F3533" i="1"/>
  <c r="E3533" i="1"/>
  <c r="D3533" i="1"/>
  <c r="C3533" i="1"/>
  <c r="B3533" i="1"/>
  <c r="A3533" i="1"/>
  <c r="H3532" i="1"/>
  <c r="G3532" i="1"/>
  <c r="F3532" i="1"/>
  <c r="E3532" i="1"/>
  <c r="D3532" i="1"/>
  <c r="C3532" i="1"/>
  <c r="B3532" i="1"/>
  <c r="A3532" i="1"/>
  <c r="H3531" i="1"/>
  <c r="G3531" i="1"/>
  <c r="F3531" i="1"/>
  <c r="E3531" i="1"/>
  <c r="D3531" i="1"/>
  <c r="C3531" i="1"/>
  <c r="B3531" i="1"/>
  <c r="A3531" i="1"/>
  <c r="H3530" i="1"/>
  <c r="G3530" i="1"/>
  <c r="F3530" i="1"/>
  <c r="E3530" i="1"/>
  <c r="D3530" i="1"/>
  <c r="C3530" i="1"/>
  <c r="B3530" i="1"/>
  <c r="A3530" i="1"/>
  <c r="H3529" i="1"/>
  <c r="G3529" i="1"/>
  <c r="F3529" i="1"/>
  <c r="E3529" i="1"/>
  <c r="D3529" i="1"/>
  <c r="C3529" i="1"/>
  <c r="B3529" i="1"/>
  <c r="A3529" i="1"/>
  <c r="H3528" i="1"/>
  <c r="G3528" i="1"/>
  <c r="F3528" i="1"/>
  <c r="E3528" i="1"/>
  <c r="D3528" i="1"/>
  <c r="C3528" i="1"/>
  <c r="B3528" i="1"/>
  <c r="A3528" i="1"/>
  <c r="H3527" i="1"/>
  <c r="G3527" i="1"/>
  <c r="F3527" i="1"/>
  <c r="E3527" i="1"/>
  <c r="D3527" i="1"/>
  <c r="C3527" i="1"/>
  <c r="B3527" i="1"/>
  <c r="A3527" i="1"/>
  <c r="H3526" i="1"/>
  <c r="G3526" i="1"/>
  <c r="F3526" i="1"/>
  <c r="E3526" i="1"/>
  <c r="D3526" i="1"/>
  <c r="C3526" i="1"/>
  <c r="B3526" i="1"/>
  <c r="A3526" i="1"/>
  <c r="H3525" i="1"/>
  <c r="G3525" i="1"/>
  <c r="F3525" i="1"/>
  <c r="E3525" i="1"/>
  <c r="D3525" i="1"/>
  <c r="C3525" i="1"/>
  <c r="B3525" i="1"/>
  <c r="A3525" i="1"/>
  <c r="H3524" i="1"/>
  <c r="G3524" i="1"/>
  <c r="F3524" i="1"/>
  <c r="E3524" i="1"/>
  <c r="D3524" i="1"/>
  <c r="C3524" i="1"/>
  <c r="B3524" i="1"/>
  <c r="A3524" i="1"/>
  <c r="H3523" i="1"/>
  <c r="G3523" i="1"/>
  <c r="F3523" i="1"/>
  <c r="E3523" i="1"/>
  <c r="D3523" i="1"/>
  <c r="C3523" i="1"/>
  <c r="B3523" i="1"/>
  <c r="A3523" i="1"/>
  <c r="H3522" i="1"/>
  <c r="G3522" i="1"/>
  <c r="F3522" i="1"/>
  <c r="E3522" i="1"/>
  <c r="D3522" i="1"/>
  <c r="C3522" i="1"/>
  <c r="B3522" i="1"/>
  <c r="A3522" i="1"/>
  <c r="H3521" i="1"/>
  <c r="G3521" i="1"/>
  <c r="F3521" i="1"/>
  <c r="E3521" i="1"/>
  <c r="D3521" i="1"/>
  <c r="C3521" i="1"/>
  <c r="B3521" i="1"/>
  <c r="A3521" i="1"/>
  <c r="H3520" i="1"/>
  <c r="G3520" i="1"/>
  <c r="F3520" i="1"/>
  <c r="E3520" i="1"/>
  <c r="D3520" i="1"/>
  <c r="C3520" i="1"/>
  <c r="B3520" i="1"/>
  <c r="A3520" i="1"/>
  <c r="H3519" i="1"/>
  <c r="G3519" i="1"/>
  <c r="F3519" i="1"/>
  <c r="E3519" i="1"/>
  <c r="D3519" i="1"/>
  <c r="C3519" i="1"/>
  <c r="B3519" i="1"/>
  <c r="A3519" i="1"/>
  <c r="H3518" i="1"/>
  <c r="G3518" i="1"/>
  <c r="F3518" i="1"/>
  <c r="E3518" i="1"/>
  <c r="D3518" i="1"/>
  <c r="C3518" i="1"/>
  <c r="B3518" i="1"/>
  <c r="A3518" i="1"/>
  <c r="H3517" i="1"/>
  <c r="G3517" i="1"/>
  <c r="F3517" i="1"/>
  <c r="E3517" i="1"/>
  <c r="D3517" i="1"/>
  <c r="C3517" i="1"/>
  <c r="B3517" i="1"/>
  <c r="A3517" i="1"/>
  <c r="H3516" i="1"/>
  <c r="G3516" i="1"/>
  <c r="F3516" i="1"/>
  <c r="E3516" i="1"/>
  <c r="D3516" i="1"/>
  <c r="C3516" i="1"/>
  <c r="B3516" i="1"/>
  <c r="A3516" i="1"/>
  <c r="H3515" i="1"/>
  <c r="G3515" i="1"/>
  <c r="F3515" i="1"/>
  <c r="E3515" i="1"/>
  <c r="D3515" i="1"/>
  <c r="C3515" i="1"/>
  <c r="B3515" i="1"/>
  <c r="A3515" i="1"/>
  <c r="H3514" i="1"/>
  <c r="G3514" i="1"/>
  <c r="F3514" i="1"/>
  <c r="E3514" i="1"/>
  <c r="D3514" i="1"/>
  <c r="C3514" i="1"/>
  <c r="B3514" i="1"/>
  <c r="A3514" i="1"/>
  <c r="H3513" i="1"/>
  <c r="G3513" i="1"/>
  <c r="F3513" i="1"/>
  <c r="E3513" i="1"/>
  <c r="D3513" i="1"/>
  <c r="C3513" i="1"/>
  <c r="B3513" i="1"/>
  <c r="A3513" i="1"/>
  <c r="H3512" i="1"/>
  <c r="G3512" i="1"/>
  <c r="F3512" i="1"/>
  <c r="E3512" i="1"/>
  <c r="D3512" i="1"/>
  <c r="C3512" i="1"/>
  <c r="B3512" i="1"/>
  <c r="A3512" i="1"/>
  <c r="H3511" i="1"/>
  <c r="G3511" i="1"/>
  <c r="F3511" i="1"/>
  <c r="E3511" i="1"/>
  <c r="D3511" i="1"/>
  <c r="C3511" i="1"/>
  <c r="B3511" i="1"/>
  <c r="A3511" i="1"/>
  <c r="H3510" i="1"/>
  <c r="G3510" i="1"/>
  <c r="F3510" i="1"/>
  <c r="E3510" i="1"/>
  <c r="D3510" i="1"/>
  <c r="C3510" i="1"/>
  <c r="B3510" i="1"/>
  <c r="A3510" i="1"/>
  <c r="H3509" i="1"/>
  <c r="G3509" i="1"/>
  <c r="F3509" i="1"/>
  <c r="E3509" i="1"/>
  <c r="D3509" i="1"/>
  <c r="C3509" i="1"/>
  <c r="B3509" i="1"/>
  <c r="A3509" i="1"/>
  <c r="H3508" i="1"/>
  <c r="G3508" i="1"/>
  <c r="F3508" i="1"/>
  <c r="E3508" i="1"/>
  <c r="D3508" i="1"/>
  <c r="C3508" i="1"/>
  <c r="B3508" i="1"/>
  <c r="A3508" i="1"/>
  <c r="H3507" i="1"/>
  <c r="G3507" i="1"/>
  <c r="F3507" i="1"/>
  <c r="E3507" i="1"/>
  <c r="D3507" i="1"/>
  <c r="C3507" i="1"/>
  <c r="B3507" i="1"/>
  <c r="A3507" i="1"/>
  <c r="H3506" i="1"/>
  <c r="G3506" i="1"/>
  <c r="F3506" i="1"/>
  <c r="E3506" i="1"/>
  <c r="D3506" i="1"/>
  <c r="C3506" i="1"/>
  <c r="B3506" i="1"/>
  <c r="A3506" i="1"/>
  <c r="H3505" i="1"/>
  <c r="G3505" i="1"/>
  <c r="F3505" i="1"/>
  <c r="E3505" i="1"/>
  <c r="D3505" i="1"/>
  <c r="C3505" i="1"/>
  <c r="B3505" i="1"/>
  <c r="A3505" i="1"/>
  <c r="H3504" i="1"/>
  <c r="G3504" i="1"/>
  <c r="F3504" i="1"/>
  <c r="E3504" i="1"/>
  <c r="D3504" i="1"/>
  <c r="C3504" i="1"/>
  <c r="B3504" i="1"/>
  <c r="A3504" i="1"/>
  <c r="H3503" i="1"/>
  <c r="G3503" i="1"/>
  <c r="F3503" i="1"/>
  <c r="E3503" i="1"/>
  <c r="D3503" i="1"/>
  <c r="C3503" i="1"/>
  <c r="B3503" i="1"/>
  <c r="A3503" i="1"/>
  <c r="H3502" i="1"/>
  <c r="G3502" i="1"/>
  <c r="F3502" i="1"/>
  <c r="E3502" i="1"/>
  <c r="D3502" i="1"/>
  <c r="C3502" i="1"/>
  <c r="B3502" i="1"/>
  <c r="A3502" i="1"/>
  <c r="H3501" i="1"/>
  <c r="G3501" i="1"/>
  <c r="F3501" i="1"/>
  <c r="E3501" i="1"/>
  <c r="D3501" i="1"/>
  <c r="C3501" i="1"/>
  <c r="B3501" i="1"/>
  <c r="A3501" i="1"/>
  <c r="H3500" i="1"/>
  <c r="G3500" i="1"/>
  <c r="F3500" i="1"/>
  <c r="E3500" i="1"/>
  <c r="D3500" i="1"/>
  <c r="C3500" i="1"/>
  <c r="B3500" i="1"/>
  <c r="A3500" i="1"/>
  <c r="H3499" i="1"/>
  <c r="G3499" i="1"/>
  <c r="F3499" i="1"/>
  <c r="E3499" i="1"/>
  <c r="D3499" i="1"/>
  <c r="C3499" i="1"/>
  <c r="B3499" i="1"/>
  <c r="A3499" i="1"/>
  <c r="H3498" i="1"/>
  <c r="G3498" i="1"/>
  <c r="F3498" i="1"/>
  <c r="E3498" i="1"/>
  <c r="D3498" i="1"/>
  <c r="C3498" i="1"/>
  <c r="B3498" i="1"/>
  <c r="A3498" i="1"/>
  <c r="H3497" i="1"/>
  <c r="G3497" i="1"/>
  <c r="F3497" i="1"/>
  <c r="E3497" i="1"/>
  <c r="D3497" i="1"/>
  <c r="C3497" i="1"/>
  <c r="B3497" i="1"/>
  <c r="A3497" i="1"/>
  <c r="H3496" i="1"/>
  <c r="G3496" i="1"/>
  <c r="F3496" i="1"/>
  <c r="E3496" i="1"/>
  <c r="D3496" i="1"/>
  <c r="C3496" i="1"/>
  <c r="B3496" i="1"/>
  <c r="A3496" i="1"/>
  <c r="H3495" i="1"/>
  <c r="G3495" i="1"/>
  <c r="F3495" i="1"/>
  <c r="E3495" i="1"/>
  <c r="D3495" i="1"/>
  <c r="C3495" i="1"/>
  <c r="B3495" i="1"/>
  <c r="A3495" i="1"/>
  <c r="H3494" i="1"/>
  <c r="G3494" i="1"/>
  <c r="F3494" i="1"/>
  <c r="E3494" i="1"/>
  <c r="D3494" i="1"/>
  <c r="C3494" i="1"/>
  <c r="B3494" i="1"/>
  <c r="A3494" i="1"/>
  <c r="H3493" i="1"/>
  <c r="G3493" i="1"/>
  <c r="F3493" i="1"/>
  <c r="E3493" i="1"/>
  <c r="D3493" i="1"/>
  <c r="C3493" i="1"/>
  <c r="B3493" i="1"/>
  <c r="A3493" i="1"/>
  <c r="H3492" i="1"/>
  <c r="G3492" i="1"/>
  <c r="F3492" i="1"/>
  <c r="E3492" i="1"/>
  <c r="D3492" i="1"/>
  <c r="C3492" i="1"/>
  <c r="B3492" i="1"/>
  <c r="A3492" i="1"/>
  <c r="H3491" i="1"/>
  <c r="G3491" i="1"/>
  <c r="F3491" i="1"/>
  <c r="E3491" i="1"/>
  <c r="D3491" i="1"/>
  <c r="C3491" i="1"/>
  <c r="B3491" i="1"/>
  <c r="A3491" i="1"/>
  <c r="H3490" i="1"/>
  <c r="G3490" i="1"/>
  <c r="F3490" i="1"/>
  <c r="E3490" i="1"/>
  <c r="D3490" i="1"/>
  <c r="C3490" i="1"/>
  <c r="B3490" i="1"/>
  <c r="A3490" i="1"/>
  <c r="H3489" i="1"/>
  <c r="G3489" i="1"/>
  <c r="F3489" i="1"/>
  <c r="E3489" i="1"/>
  <c r="D3489" i="1"/>
  <c r="C3489" i="1"/>
  <c r="B3489" i="1"/>
  <c r="A3489" i="1"/>
  <c r="H3488" i="1"/>
  <c r="G3488" i="1"/>
  <c r="F3488" i="1"/>
  <c r="E3488" i="1"/>
  <c r="D3488" i="1"/>
  <c r="C3488" i="1"/>
  <c r="B3488" i="1"/>
  <c r="A3488" i="1"/>
  <c r="H3487" i="1"/>
  <c r="G3487" i="1"/>
  <c r="F3487" i="1"/>
  <c r="E3487" i="1"/>
  <c r="D3487" i="1"/>
  <c r="C3487" i="1"/>
  <c r="B3487" i="1"/>
  <c r="A3487" i="1"/>
  <c r="H3486" i="1"/>
  <c r="G3486" i="1"/>
  <c r="F3486" i="1"/>
  <c r="E3486" i="1"/>
  <c r="D3486" i="1"/>
  <c r="C3486" i="1"/>
  <c r="B3486" i="1"/>
  <c r="A3486" i="1"/>
  <c r="H3485" i="1"/>
  <c r="G3485" i="1"/>
  <c r="F3485" i="1"/>
  <c r="E3485" i="1"/>
  <c r="D3485" i="1"/>
  <c r="C3485" i="1"/>
  <c r="B3485" i="1"/>
  <c r="A3485" i="1"/>
  <c r="H3484" i="1"/>
  <c r="G3484" i="1"/>
  <c r="F3484" i="1"/>
  <c r="E3484" i="1"/>
  <c r="D3484" i="1"/>
  <c r="C3484" i="1"/>
  <c r="B3484" i="1"/>
  <c r="A3484" i="1"/>
  <c r="H3483" i="1"/>
  <c r="G3483" i="1"/>
  <c r="F3483" i="1"/>
  <c r="E3483" i="1"/>
  <c r="D3483" i="1"/>
  <c r="C3483" i="1"/>
  <c r="B3483" i="1"/>
  <c r="A3483" i="1"/>
  <c r="H3482" i="1"/>
  <c r="G3482" i="1"/>
  <c r="F3482" i="1"/>
  <c r="E3482" i="1"/>
  <c r="D3482" i="1"/>
  <c r="C3482" i="1"/>
  <c r="B3482" i="1"/>
  <c r="A3482" i="1"/>
  <c r="H3481" i="1"/>
  <c r="G3481" i="1"/>
  <c r="F3481" i="1"/>
  <c r="E3481" i="1"/>
  <c r="D3481" i="1"/>
  <c r="C3481" i="1"/>
  <c r="B3481" i="1"/>
  <c r="A3481" i="1"/>
  <c r="H3480" i="1"/>
  <c r="G3480" i="1"/>
  <c r="F3480" i="1"/>
  <c r="E3480" i="1"/>
  <c r="D3480" i="1"/>
  <c r="C3480" i="1"/>
  <c r="B3480" i="1"/>
  <c r="A3480" i="1"/>
  <c r="H3479" i="1"/>
  <c r="G3479" i="1"/>
  <c r="F3479" i="1"/>
  <c r="E3479" i="1"/>
  <c r="D3479" i="1"/>
  <c r="C3479" i="1"/>
  <c r="B3479" i="1"/>
  <c r="A3479" i="1"/>
  <c r="H3478" i="1"/>
  <c r="G3478" i="1"/>
  <c r="F3478" i="1"/>
  <c r="E3478" i="1"/>
  <c r="D3478" i="1"/>
  <c r="C3478" i="1"/>
  <c r="B3478" i="1"/>
  <c r="A3478" i="1"/>
  <c r="H3477" i="1"/>
  <c r="G3477" i="1"/>
  <c r="F3477" i="1"/>
  <c r="E3477" i="1"/>
  <c r="D3477" i="1"/>
  <c r="C3477" i="1"/>
  <c r="B3477" i="1"/>
  <c r="A3477" i="1"/>
  <c r="H3476" i="1"/>
  <c r="G3476" i="1"/>
  <c r="F3476" i="1"/>
  <c r="E3476" i="1"/>
  <c r="D3476" i="1"/>
  <c r="C3476" i="1"/>
  <c r="B3476" i="1"/>
  <c r="A3476" i="1"/>
  <c r="H3475" i="1"/>
  <c r="G3475" i="1"/>
  <c r="F3475" i="1"/>
  <c r="E3475" i="1"/>
  <c r="D3475" i="1"/>
  <c r="C3475" i="1"/>
  <c r="B3475" i="1"/>
  <c r="A3475" i="1"/>
  <c r="H3474" i="1"/>
  <c r="G3474" i="1"/>
  <c r="F3474" i="1"/>
  <c r="E3474" i="1"/>
  <c r="D3474" i="1"/>
  <c r="C3474" i="1"/>
  <c r="B3474" i="1"/>
  <c r="A3474" i="1"/>
  <c r="H3473" i="1"/>
  <c r="G3473" i="1"/>
  <c r="F3473" i="1"/>
  <c r="E3473" i="1"/>
  <c r="D3473" i="1"/>
  <c r="C3473" i="1"/>
  <c r="B3473" i="1"/>
  <c r="A3473" i="1"/>
  <c r="H3472" i="1"/>
  <c r="G3472" i="1"/>
  <c r="F3472" i="1"/>
  <c r="E3472" i="1"/>
  <c r="D3472" i="1"/>
  <c r="C3472" i="1"/>
  <c r="B3472" i="1"/>
  <c r="A3472" i="1"/>
  <c r="H3471" i="1"/>
  <c r="G3471" i="1"/>
  <c r="F3471" i="1"/>
  <c r="E3471" i="1"/>
  <c r="D3471" i="1"/>
  <c r="C3471" i="1"/>
  <c r="B3471" i="1"/>
  <c r="A3471" i="1"/>
  <c r="H3470" i="1"/>
  <c r="G3470" i="1"/>
  <c r="F3470" i="1"/>
  <c r="E3470" i="1"/>
  <c r="D3470" i="1"/>
  <c r="C3470" i="1"/>
  <c r="B3470" i="1"/>
  <c r="A3470" i="1"/>
  <c r="H3469" i="1"/>
  <c r="G3469" i="1"/>
  <c r="F3469" i="1"/>
  <c r="E3469" i="1"/>
  <c r="D3469" i="1"/>
  <c r="C3469" i="1"/>
  <c r="B3469" i="1"/>
  <c r="A3469" i="1"/>
  <c r="H3468" i="1"/>
  <c r="G3468" i="1"/>
  <c r="F3468" i="1"/>
  <c r="E3468" i="1"/>
  <c r="D3468" i="1"/>
  <c r="C3468" i="1"/>
  <c r="B3468" i="1"/>
  <c r="A3468" i="1"/>
  <c r="H3467" i="1"/>
  <c r="G3467" i="1"/>
  <c r="F3467" i="1"/>
  <c r="E3467" i="1"/>
  <c r="D3467" i="1"/>
  <c r="C3467" i="1"/>
  <c r="B3467" i="1"/>
  <c r="A3467" i="1"/>
  <c r="H3466" i="1"/>
  <c r="G3466" i="1"/>
  <c r="F3466" i="1"/>
  <c r="E3466" i="1"/>
  <c r="D3466" i="1"/>
  <c r="C3466" i="1"/>
  <c r="B3466" i="1"/>
  <c r="A3466" i="1"/>
  <c r="H3465" i="1"/>
  <c r="G3465" i="1"/>
  <c r="F3465" i="1"/>
  <c r="E3465" i="1"/>
  <c r="D3465" i="1"/>
  <c r="C3465" i="1"/>
  <c r="B3465" i="1"/>
  <c r="A3465" i="1"/>
  <c r="H3464" i="1"/>
  <c r="G3464" i="1"/>
  <c r="F3464" i="1"/>
  <c r="E3464" i="1"/>
  <c r="D3464" i="1"/>
  <c r="C3464" i="1"/>
  <c r="B3464" i="1"/>
  <c r="A3464" i="1"/>
  <c r="H3463" i="1"/>
  <c r="G3463" i="1"/>
  <c r="F3463" i="1"/>
  <c r="E3463" i="1"/>
  <c r="D3463" i="1"/>
  <c r="C3463" i="1"/>
  <c r="B3463" i="1"/>
  <c r="A3463" i="1"/>
  <c r="H3462" i="1"/>
  <c r="G3462" i="1"/>
  <c r="F3462" i="1"/>
  <c r="E3462" i="1"/>
  <c r="D3462" i="1"/>
  <c r="C3462" i="1"/>
  <c r="B3462" i="1"/>
  <c r="A3462" i="1"/>
  <c r="H3461" i="1"/>
  <c r="G3461" i="1"/>
  <c r="F3461" i="1"/>
  <c r="E3461" i="1"/>
  <c r="D3461" i="1"/>
  <c r="C3461" i="1"/>
  <c r="B3461" i="1"/>
  <c r="A3461" i="1"/>
  <c r="H3460" i="1"/>
  <c r="G3460" i="1"/>
  <c r="F3460" i="1"/>
  <c r="E3460" i="1"/>
  <c r="D3460" i="1"/>
  <c r="C3460" i="1"/>
  <c r="B3460" i="1"/>
  <c r="A3460" i="1"/>
  <c r="H3459" i="1"/>
  <c r="G3459" i="1"/>
  <c r="F3459" i="1"/>
  <c r="E3459" i="1"/>
  <c r="D3459" i="1"/>
  <c r="C3459" i="1"/>
  <c r="B3459" i="1"/>
  <c r="A3459" i="1"/>
  <c r="H3458" i="1"/>
  <c r="G3458" i="1"/>
  <c r="F3458" i="1"/>
  <c r="E3458" i="1"/>
  <c r="D3458" i="1"/>
  <c r="C3458" i="1"/>
  <c r="B3458" i="1"/>
  <c r="A3458" i="1"/>
  <c r="H3457" i="1"/>
  <c r="G3457" i="1"/>
  <c r="F3457" i="1"/>
  <c r="E3457" i="1"/>
  <c r="D3457" i="1"/>
  <c r="C3457" i="1"/>
  <c r="B3457" i="1"/>
  <c r="A3457" i="1"/>
  <c r="H3456" i="1"/>
  <c r="G3456" i="1"/>
  <c r="F3456" i="1"/>
  <c r="E3456" i="1"/>
  <c r="D3456" i="1"/>
  <c r="C3456" i="1"/>
  <c r="B3456" i="1"/>
  <c r="A3456" i="1"/>
  <c r="H3455" i="1"/>
  <c r="G3455" i="1"/>
  <c r="F3455" i="1"/>
  <c r="E3455" i="1"/>
  <c r="D3455" i="1"/>
  <c r="C3455" i="1"/>
  <c r="B3455" i="1"/>
  <c r="A3455" i="1"/>
  <c r="H3454" i="1"/>
  <c r="G3454" i="1"/>
  <c r="F3454" i="1"/>
  <c r="E3454" i="1"/>
  <c r="D3454" i="1"/>
  <c r="C3454" i="1"/>
  <c r="B3454" i="1"/>
  <c r="A3454" i="1"/>
  <c r="H3453" i="1"/>
  <c r="G3453" i="1"/>
  <c r="F3453" i="1"/>
  <c r="E3453" i="1"/>
  <c r="D3453" i="1"/>
  <c r="C3453" i="1"/>
  <c r="B3453" i="1"/>
  <c r="A3453" i="1"/>
  <c r="H3452" i="1"/>
  <c r="G3452" i="1"/>
  <c r="F3452" i="1"/>
  <c r="E3452" i="1"/>
  <c r="D3452" i="1"/>
  <c r="C3452" i="1"/>
  <c r="B3452" i="1"/>
  <c r="A3452" i="1"/>
  <c r="H3451" i="1"/>
  <c r="G3451" i="1"/>
  <c r="F3451" i="1"/>
  <c r="E3451" i="1"/>
  <c r="D3451" i="1"/>
  <c r="C3451" i="1"/>
  <c r="B3451" i="1"/>
  <c r="A3451" i="1"/>
  <c r="H3450" i="1"/>
  <c r="G3450" i="1"/>
  <c r="F3450" i="1"/>
  <c r="E3450" i="1"/>
  <c r="D3450" i="1"/>
  <c r="C3450" i="1"/>
  <c r="B3450" i="1"/>
  <c r="A3450" i="1"/>
  <c r="H3449" i="1"/>
  <c r="G3449" i="1"/>
  <c r="F3449" i="1"/>
  <c r="E3449" i="1"/>
  <c r="D3449" i="1"/>
  <c r="C3449" i="1"/>
  <c r="B3449" i="1"/>
  <c r="A3449" i="1"/>
  <c r="H3448" i="1"/>
  <c r="G3448" i="1"/>
  <c r="F3448" i="1"/>
  <c r="E3448" i="1"/>
  <c r="D3448" i="1"/>
  <c r="C3448" i="1"/>
  <c r="B3448" i="1"/>
  <c r="A3448" i="1"/>
  <c r="H3447" i="1"/>
  <c r="G3447" i="1"/>
  <c r="F3447" i="1"/>
  <c r="E3447" i="1"/>
  <c r="D3447" i="1"/>
  <c r="C3447" i="1"/>
  <c r="B3447" i="1"/>
  <c r="A3447" i="1"/>
  <c r="H3446" i="1"/>
  <c r="G3446" i="1"/>
  <c r="F3446" i="1"/>
  <c r="E3446" i="1"/>
  <c r="D3446" i="1"/>
  <c r="C3446" i="1"/>
  <c r="B3446" i="1"/>
  <c r="A3446" i="1"/>
  <c r="H3445" i="1"/>
  <c r="G3445" i="1"/>
  <c r="F3445" i="1"/>
  <c r="E3445" i="1"/>
  <c r="D3445" i="1"/>
  <c r="C3445" i="1"/>
  <c r="B3445" i="1"/>
  <c r="A3445" i="1"/>
  <c r="H3444" i="1"/>
  <c r="G3444" i="1"/>
  <c r="F3444" i="1"/>
  <c r="E3444" i="1"/>
  <c r="D3444" i="1"/>
  <c r="C3444" i="1"/>
  <c r="B3444" i="1"/>
  <c r="A3444" i="1"/>
  <c r="H3443" i="1"/>
  <c r="G3443" i="1"/>
  <c r="F3443" i="1"/>
  <c r="E3443" i="1"/>
  <c r="D3443" i="1"/>
  <c r="C3443" i="1"/>
  <c r="B3443" i="1"/>
  <c r="A3443" i="1"/>
  <c r="H3442" i="1"/>
  <c r="G3442" i="1"/>
  <c r="F3442" i="1"/>
  <c r="E3442" i="1"/>
  <c r="D3442" i="1"/>
  <c r="C3442" i="1"/>
  <c r="B3442" i="1"/>
  <c r="A3442" i="1"/>
  <c r="H3441" i="1"/>
  <c r="G3441" i="1"/>
  <c r="F3441" i="1"/>
  <c r="E3441" i="1"/>
  <c r="D3441" i="1"/>
  <c r="C3441" i="1"/>
  <c r="B3441" i="1"/>
  <c r="A3441" i="1"/>
  <c r="H3440" i="1"/>
  <c r="G3440" i="1"/>
  <c r="F3440" i="1"/>
  <c r="E3440" i="1"/>
  <c r="D3440" i="1"/>
  <c r="C3440" i="1"/>
  <c r="B3440" i="1"/>
  <c r="A3440" i="1"/>
  <c r="H3439" i="1"/>
  <c r="G3439" i="1"/>
  <c r="F3439" i="1"/>
  <c r="E3439" i="1"/>
  <c r="D3439" i="1"/>
  <c r="C3439" i="1"/>
  <c r="B3439" i="1"/>
  <c r="A3439" i="1"/>
  <c r="H3438" i="1"/>
  <c r="G3438" i="1"/>
  <c r="F3438" i="1"/>
  <c r="E3438" i="1"/>
  <c r="D3438" i="1"/>
  <c r="C3438" i="1"/>
  <c r="B3438" i="1"/>
  <c r="A3438" i="1"/>
  <c r="H3437" i="1"/>
  <c r="G3437" i="1"/>
  <c r="F3437" i="1"/>
  <c r="E3437" i="1"/>
  <c r="D3437" i="1"/>
  <c r="C3437" i="1"/>
  <c r="B3437" i="1"/>
  <c r="A3437" i="1"/>
  <c r="H3436" i="1"/>
  <c r="G3436" i="1"/>
  <c r="F3436" i="1"/>
  <c r="E3436" i="1"/>
  <c r="D3436" i="1"/>
  <c r="C3436" i="1"/>
  <c r="B3436" i="1"/>
  <c r="A3436" i="1"/>
  <c r="H3435" i="1"/>
  <c r="G3435" i="1"/>
  <c r="F3435" i="1"/>
  <c r="E3435" i="1"/>
  <c r="D3435" i="1"/>
  <c r="C3435" i="1"/>
  <c r="B3435" i="1"/>
  <c r="A3435" i="1"/>
  <c r="H3434" i="1"/>
  <c r="G3434" i="1"/>
  <c r="F3434" i="1"/>
  <c r="E3434" i="1"/>
  <c r="D3434" i="1"/>
  <c r="C3434" i="1"/>
  <c r="B3434" i="1"/>
  <c r="A3434" i="1"/>
  <c r="H3433" i="1"/>
  <c r="G3433" i="1"/>
  <c r="F3433" i="1"/>
  <c r="E3433" i="1"/>
  <c r="D3433" i="1"/>
  <c r="C3433" i="1"/>
  <c r="B3433" i="1"/>
  <c r="A3433" i="1"/>
  <c r="H3432" i="1"/>
  <c r="G3432" i="1"/>
  <c r="F3432" i="1"/>
  <c r="E3432" i="1"/>
  <c r="D3432" i="1"/>
  <c r="C3432" i="1"/>
  <c r="B3432" i="1"/>
  <c r="A3432" i="1"/>
  <c r="H3431" i="1"/>
  <c r="G3431" i="1"/>
  <c r="F3431" i="1"/>
  <c r="E3431" i="1"/>
  <c r="D3431" i="1"/>
  <c r="C3431" i="1"/>
  <c r="B3431" i="1"/>
  <c r="A3431" i="1"/>
  <c r="H3430" i="1"/>
  <c r="G3430" i="1"/>
  <c r="F3430" i="1"/>
  <c r="E3430" i="1"/>
  <c r="D3430" i="1"/>
  <c r="C3430" i="1"/>
  <c r="B3430" i="1"/>
  <c r="A3430" i="1"/>
  <c r="H3429" i="1"/>
  <c r="G3429" i="1"/>
  <c r="F3429" i="1"/>
  <c r="E3429" i="1"/>
  <c r="D3429" i="1"/>
  <c r="C3429" i="1"/>
  <c r="B3429" i="1"/>
  <c r="A3429" i="1"/>
  <c r="H3428" i="1"/>
  <c r="G3428" i="1"/>
  <c r="F3428" i="1"/>
  <c r="E3428" i="1"/>
  <c r="D3428" i="1"/>
  <c r="C3428" i="1"/>
  <c r="B3428" i="1"/>
  <c r="A3428" i="1"/>
  <c r="H3427" i="1"/>
  <c r="G3427" i="1"/>
  <c r="F3427" i="1"/>
  <c r="E3427" i="1"/>
  <c r="D3427" i="1"/>
  <c r="C3427" i="1"/>
  <c r="B3427" i="1"/>
  <c r="A3427" i="1"/>
  <c r="H3426" i="1"/>
  <c r="G3426" i="1"/>
  <c r="F3426" i="1"/>
  <c r="E3426" i="1"/>
  <c r="D3426" i="1"/>
  <c r="C3426" i="1"/>
  <c r="B3426" i="1"/>
  <c r="A3426" i="1"/>
  <c r="H3425" i="1"/>
  <c r="G3425" i="1"/>
  <c r="F3425" i="1"/>
  <c r="E3425" i="1"/>
  <c r="D3425" i="1"/>
  <c r="C3425" i="1"/>
  <c r="B3425" i="1"/>
  <c r="A3425" i="1"/>
  <c r="H3424" i="1"/>
  <c r="G3424" i="1"/>
  <c r="F3424" i="1"/>
  <c r="E3424" i="1"/>
  <c r="D3424" i="1"/>
  <c r="C3424" i="1"/>
  <c r="B3424" i="1"/>
  <c r="A3424" i="1"/>
  <c r="H3423" i="1"/>
  <c r="G3423" i="1"/>
  <c r="F3423" i="1"/>
  <c r="E3423" i="1"/>
  <c r="D3423" i="1"/>
  <c r="C3423" i="1"/>
  <c r="B3423" i="1"/>
  <c r="A3423" i="1"/>
  <c r="H3422" i="1"/>
  <c r="G3422" i="1"/>
  <c r="F3422" i="1"/>
  <c r="E3422" i="1"/>
  <c r="D3422" i="1"/>
  <c r="C3422" i="1"/>
  <c r="B3422" i="1"/>
  <c r="A3422" i="1"/>
  <c r="H3421" i="1"/>
  <c r="G3421" i="1"/>
  <c r="F3421" i="1"/>
  <c r="E3421" i="1"/>
  <c r="D3421" i="1"/>
  <c r="C3421" i="1"/>
  <c r="B3421" i="1"/>
  <c r="A3421" i="1"/>
  <c r="H3420" i="1"/>
  <c r="G3420" i="1"/>
  <c r="F3420" i="1"/>
  <c r="E3420" i="1"/>
  <c r="D3420" i="1"/>
  <c r="C3420" i="1"/>
  <c r="B3420" i="1"/>
  <c r="A3420" i="1"/>
  <c r="H3419" i="1"/>
  <c r="G3419" i="1"/>
  <c r="F3419" i="1"/>
  <c r="E3419" i="1"/>
  <c r="D3419" i="1"/>
  <c r="C3419" i="1"/>
  <c r="B3419" i="1"/>
  <c r="A3419" i="1"/>
  <c r="H3418" i="1"/>
  <c r="G3418" i="1"/>
  <c r="F3418" i="1"/>
  <c r="E3418" i="1"/>
  <c r="D3418" i="1"/>
  <c r="C3418" i="1"/>
  <c r="B3418" i="1"/>
  <c r="A3418" i="1"/>
  <c r="H3417" i="1"/>
  <c r="G3417" i="1"/>
  <c r="F3417" i="1"/>
  <c r="E3417" i="1"/>
  <c r="D3417" i="1"/>
  <c r="C3417" i="1"/>
  <c r="B3417" i="1"/>
  <c r="A3417" i="1"/>
  <c r="H3416" i="1"/>
  <c r="G3416" i="1"/>
  <c r="F3416" i="1"/>
  <c r="E3416" i="1"/>
  <c r="D3416" i="1"/>
  <c r="C3416" i="1"/>
  <c r="B3416" i="1"/>
  <c r="A3416" i="1"/>
  <c r="H3415" i="1"/>
  <c r="G3415" i="1"/>
  <c r="F3415" i="1"/>
  <c r="E3415" i="1"/>
  <c r="D3415" i="1"/>
  <c r="C3415" i="1"/>
  <c r="B3415" i="1"/>
  <c r="A3415" i="1"/>
  <c r="H3414" i="1"/>
  <c r="G3414" i="1"/>
  <c r="F3414" i="1"/>
  <c r="E3414" i="1"/>
  <c r="D3414" i="1"/>
  <c r="C3414" i="1"/>
  <c r="B3414" i="1"/>
  <c r="A3414" i="1"/>
  <c r="H3413" i="1"/>
  <c r="G3413" i="1"/>
  <c r="F3413" i="1"/>
  <c r="E3413" i="1"/>
  <c r="D3413" i="1"/>
  <c r="C3413" i="1"/>
  <c r="B3413" i="1"/>
  <c r="A3413" i="1"/>
  <c r="H3412" i="1"/>
  <c r="G3412" i="1"/>
  <c r="F3412" i="1"/>
  <c r="E3412" i="1"/>
  <c r="D3412" i="1"/>
  <c r="C3412" i="1"/>
  <c r="B3412" i="1"/>
  <c r="A3412" i="1"/>
  <c r="H3411" i="1"/>
  <c r="G3411" i="1"/>
  <c r="F3411" i="1"/>
  <c r="E3411" i="1"/>
  <c r="D3411" i="1"/>
  <c r="C3411" i="1"/>
  <c r="B3411" i="1"/>
  <c r="A3411" i="1"/>
  <c r="H3410" i="1"/>
  <c r="G3410" i="1"/>
  <c r="F3410" i="1"/>
  <c r="E3410" i="1"/>
  <c r="D3410" i="1"/>
  <c r="C3410" i="1"/>
  <c r="B3410" i="1"/>
  <c r="A3410" i="1"/>
  <c r="H3409" i="1"/>
  <c r="G3409" i="1"/>
  <c r="F3409" i="1"/>
  <c r="E3409" i="1"/>
  <c r="D3409" i="1"/>
  <c r="C3409" i="1"/>
  <c r="B3409" i="1"/>
  <c r="A3409" i="1"/>
  <c r="H3408" i="1"/>
  <c r="G3408" i="1"/>
  <c r="F3408" i="1"/>
  <c r="E3408" i="1"/>
  <c r="D3408" i="1"/>
  <c r="C3408" i="1"/>
  <c r="B3408" i="1"/>
  <c r="A3408" i="1"/>
  <c r="H3407" i="1"/>
  <c r="G3407" i="1"/>
  <c r="F3407" i="1"/>
  <c r="E3407" i="1"/>
  <c r="D3407" i="1"/>
  <c r="C3407" i="1"/>
  <c r="B3407" i="1"/>
  <c r="A3407" i="1"/>
  <c r="H3406" i="1"/>
  <c r="G3406" i="1"/>
  <c r="F3406" i="1"/>
  <c r="E3406" i="1"/>
  <c r="D3406" i="1"/>
  <c r="C3406" i="1"/>
  <c r="B3406" i="1"/>
  <c r="A3406" i="1"/>
  <c r="H3405" i="1"/>
  <c r="G3405" i="1"/>
  <c r="F3405" i="1"/>
  <c r="E3405" i="1"/>
  <c r="D3405" i="1"/>
  <c r="C3405" i="1"/>
  <c r="B3405" i="1"/>
  <c r="A3405" i="1"/>
  <c r="H3404" i="1"/>
  <c r="G3404" i="1"/>
  <c r="F3404" i="1"/>
  <c r="E3404" i="1"/>
  <c r="D3404" i="1"/>
  <c r="C3404" i="1"/>
  <c r="B3404" i="1"/>
  <c r="A3404" i="1"/>
  <c r="H3403" i="1"/>
  <c r="G3403" i="1"/>
  <c r="F3403" i="1"/>
  <c r="E3403" i="1"/>
  <c r="D3403" i="1"/>
  <c r="C3403" i="1"/>
  <c r="B3403" i="1"/>
  <c r="A3403" i="1"/>
  <c r="H3402" i="1"/>
  <c r="G3402" i="1"/>
  <c r="F3402" i="1"/>
  <c r="E3402" i="1"/>
  <c r="D3402" i="1"/>
  <c r="C3402" i="1"/>
  <c r="B3402" i="1"/>
  <c r="A3402" i="1"/>
  <c r="H3401" i="1"/>
  <c r="G3401" i="1"/>
  <c r="F3401" i="1"/>
  <c r="E3401" i="1"/>
  <c r="D3401" i="1"/>
  <c r="C3401" i="1"/>
  <c r="B3401" i="1"/>
  <c r="A3401" i="1"/>
  <c r="H3400" i="1"/>
  <c r="G3400" i="1"/>
  <c r="F3400" i="1"/>
  <c r="E3400" i="1"/>
  <c r="D3400" i="1"/>
  <c r="C3400" i="1"/>
  <c r="B3400" i="1"/>
  <c r="A3400" i="1"/>
  <c r="H3399" i="1"/>
  <c r="G3399" i="1"/>
  <c r="F3399" i="1"/>
  <c r="E3399" i="1"/>
  <c r="D3399" i="1"/>
  <c r="C3399" i="1"/>
  <c r="B3399" i="1"/>
  <c r="A3399" i="1"/>
  <c r="H3398" i="1"/>
  <c r="G3398" i="1"/>
  <c r="F3398" i="1"/>
  <c r="E3398" i="1"/>
  <c r="D3398" i="1"/>
  <c r="C3398" i="1"/>
  <c r="B3398" i="1"/>
  <c r="A3398" i="1"/>
  <c r="H3397" i="1"/>
  <c r="G3397" i="1"/>
  <c r="F3397" i="1"/>
  <c r="E3397" i="1"/>
  <c r="D3397" i="1"/>
  <c r="C3397" i="1"/>
  <c r="B3397" i="1"/>
  <c r="A3397" i="1"/>
  <c r="H3396" i="1"/>
  <c r="G3396" i="1"/>
  <c r="F3396" i="1"/>
  <c r="E3396" i="1"/>
  <c r="D3396" i="1"/>
  <c r="C3396" i="1"/>
  <c r="B3396" i="1"/>
  <c r="A3396" i="1"/>
  <c r="H3395" i="1"/>
  <c r="G3395" i="1"/>
  <c r="F3395" i="1"/>
  <c r="E3395" i="1"/>
  <c r="D3395" i="1"/>
  <c r="C3395" i="1"/>
  <c r="B3395" i="1"/>
  <c r="A3395" i="1"/>
  <c r="H3394" i="1"/>
  <c r="G3394" i="1"/>
  <c r="F3394" i="1"/>
  <c r="E3394" i="1"/>
  <c r="D3394" i="1"/>
  <c r="C3394" i="1"/>
  <c r="B3394" i="1"/>
  <c r="A3394" i="1"/>
  <c r="H3393" i="1"/>
  <c r="G3393" i="1"/>
  <c r="F3393" i="1"/>
  <c r="E3393" i="1"/>
  <c r="D3393" i="1"/>
  <c r="C3393" i="1"/>
  <c r="B3393" i="1"/>
  <c r="A3393" i="1"/>
  <c r="H3392" i="1"/>
  <c r="G3392" i="1"/>
  <c r="F3392" i="1"/>
  <c r="E3392" i="1"/>
  <c r="D3392" i="1"/>
  <c r="C3392" i="1"/>
  <c r="B3392" i="1"/>
  <c r="A3392" i="1"/>
  <c r="H3391" i="1"/>
  <c r="G3391" i="1"/>
  <c r="F3391" i="1"/>
  <c r="E3391" i="1"/>
  <c r="D3391" i="1"/>
  <c r="C3391" i="1"/>
  <c r="B3391" i="1"/>
  <c r="A3391" i="1"/>
  <c r="H3390" i="1"/>
  <c r="G3390" i="1"/>
  <c r="F3390" i="1"/>
  <c r="E3390" i="1"/>
  <c r="D3390" i="1"/>
  <c r="C3390" i="1"/>
  <c r="B3390" i="1"/>
  <c r="A3390" i="1"/>
  <c r="H3389" i="1"/>
  <c r="G3389" i="1"/>
  <c r="F3389" i="1"/>
  <c r="E3389" i="1"/>
  <c r="D3389" i="1"/>
  <c r="C3389" i="1"/>
  <c r="B3389" i="1"/>
  <c r="A3389" i="1"/>
  <c r="H3388" i="1"/>
  <c r="G3388" i="1"/>
  <c r="F3388" i="1"/>
  <c r="E3388" i="1"/>
  <c r="D3388" i="1"/>
  <c r="C3388" i="1"/>
  <c r="B3388" i="1"/>
  <c r="A3388" i="1"/>
  <c r="H3387" i="1"/>
  <c r="G3387" i="1"/>
  <c r="F3387" i="1"/>
  <c r="E3387" i="1"/>
  <c r="D3387" i="1"/>
  <c r="C3387" i="1"/>
  <c r="B3387" i="1"/>
  <c r="A3387" i="1"/>
  <c r="H3386" i="1"/>
  <c r="G3386" i="1"/>
  <c r="F3386" i="1"/>
  <c r="E3386" i="1"/>
  <c r="D3386" i="1"/>
  <c r="C3386" i="1"/>
  <c r="B3386" i="1"/>
  <c r="A3386" i="1"/>
  <c r="H3385" i="1"/>
  <c r="G3385" i="1"/>
  <c r="F3385" i="1"/>
  <c r="E3385" i="1"/>
  <c r="D3385" i="1"/>
  <c r="C3385" i="1"/>
  <c r="B3385" i="1"/>
  <c r="A3385" i="1"/>
  <c r="H3384" i="1"/>
  <c r="G3384" i="1"/>
  <c r="F3384" i="1"/>
  <c r="E3384" i="1"/>
  <c r="D3384" i="1"/>
  <c r="C3384" i="1"/>
  <c r="B3384" i="1"/>
  <c r="A3384" i="1"/>
  <c r="H3383" i="1"/>
  <c r="G3383" i="1"/>
  <c r="F3383" i="1"/>
  <c r="E3383" i="1"/>
  <c r="D3383" i="1"/>
  <c r="C3383" i="1"/>
  <c r="B3383" i="1"/>
  <c r="A3383" i="1"/>
  <c r="H3382" i="1"/>
  <c r="G3382" i="1"/>
  <c r="F3382" i="1"/>
  <c r="E3382" i="1"/>
  <c r="D3382" i="1"/>
  <c r="C3382" i="1"/>
  <c r="B3382" i="1"/>
  <c r="A3382" i="1"/>
  <c r="H3381" i="1"/>
  <c r="G3381" i="1"/>
  <c r="F3381" i="1"/>
  <c r="E3381" i="1"/>
  <c r="D3381" i="1"/>
  <c r="C3381" i="1"/>
  <c r="B3381" i="1"/>
  <c r="A3381" i="1"/>
  <c r="H3380" i="1"/>
  <c r="G3380" i="1"/>
  <c r="F3380" i="1"/>
  <c r="E3380" i="1"/>
  <c r="D3380" i="1"/>
  <c r="C3380" i="1"/>
  <c r="B3380" i="1"/>
  <c r="A3380" i="1"/>
  <c r="H3379" i="1"/>
  <c r="G3379" i="1"/>
  <c r="F3379" i="1"/>
  <c r="E3379" i="1"/>
  <c r="D3379" i="1"/>
  <c r="C3379" i="1"/>
  <c r="B3379" i="1"/>
  <c r="A3379" i="1"/>
  <c r="H3378" i="1"/>
  <c r="G3378" i="1"/>
  <c r="F3378" i="1"/>
  <c r="E3378" i="1"/>
  <c r="D3378" i="1"/>
  <c r="C3378" i="1"/>
  <c r="B3378" i="1"/>
  <c r="A3378" i="1"/>
  <c r="H3377" i="1"/>
  <c r="G3377" i="1"/>
  <c r="F3377" i="1"/>
  <c r="E3377" i="1"/>
  <c r="D3377" i="1"/>
  <c r="C3377" i="1"/>
  <c r="B3377" i="1"/>
  <c r="A3377" i="1"/>
  <c r="H3376" i="1"/>
  <c r="G3376" i="1"/>
  <c r="F3376" i="1"/>
  <c r="E3376" i="1"/>
  <c r="D3376" i="1"/>
  <c r="C3376" i="1"/>
  <c r="B3376" i="1"/>
  <c r="A3376" i="1"/>
  <c r="H3375" i="1"/>
  <c r="G3375" i="1"/>
  <c r="F3375" i="1"/>
  <c r="E3375" i="1"/>
  <c r="D3375" i="1"/>
  <c r="C3375" i="1"/>
  <c r="B3375" i="1"/>
  <c r="A3375" i="1"/>
  <c r="H3374" i="1"/>
  <c r="G3374" i="1"/>
  <c r="F3374" i="1"/>
  <c r="E3374" i="1"/>
  <c r="D3374" i="1"/>
  <c r="C3374" i="1"/>
  <c r="B3374" i="1"/>
  <c r="A3374" i="1"/>
  <c r="H3373" i="1"/>
  <c r="G3373" i="1"/>
  <c r="F3373" i="1"/>
  <c r="E3373" i="1"/>
  <c r="D3373" i="1"/>
  <c r="C3373" i="1"/>
  <c r="B3373" i="1"/>
  <c r="A3373" i="1"/>
  <c r="H3372" i="1"/>
  <c r="G3372" i="1"/>
  <c r="F3372" i="1"/>
  <c r="E3372" i="1"/>
  <c r="D3372" i="1"/>
  <c r="C3372" i="1"/>
  <c r="B3372" i="1"/>
  <c r="A3372" i="1"/>
  <c r="H3371" i="1"/>
  <c r="G3371" i="1"/>
  <c r="F3371" i="1"/>
  <c r="E3371" i="1"/>
  <c r="D3371" i="1"/>
  <c r="C3371" i="1"/>
  <c r="B3371" i="1"/>
  <c r="A3371" i="1"/>
  <c r="H3370" i="1"/>
  <c r="G3370" i="1"/>
  <c r="F3370" i="1"/>
  <c r="E3370" i="1"/>
  <c r="D3370" i="1"/>
  <c r="C3370" i="1"/>
  <c r="B3370" i="1"/>
  <c r="A3370" i="1"/>
  <c r="H3369" i="1"/>
  <c r="G3369" i="1"/>
  <c r="F3369" i="1"/>
  <c r="E3369" i="1"/>
  <c r="D3369" i="1"/>
  <c r="C3369" i="1"/>
  <c r="B3369" i="1"/>
  <c r="A3369" i="1"/>
  <c r="H3368" i="1"/>
  <c r="G3368" i="1"/>
  <c r="F3368" i="1"/>
  <c r="E3368" i="1"/>
  <c r="D3368" i="1"/>
  <c r="C3368" i="1"/>
  <c r="B3368" i="1"/>
  <c r="A3368" i="1"/>
  <c r="H3367" i="1"/>
  <c r="G3367" i="1"/>
  <c r="F3367" i="1"/>
  <c r="E3367" i="1"/>
  <c r="D3367" i="1"/>
  <c r="C3367" i="1"/>
  <c r="B3367" i="1"/>
  <c r="A3367" i="1"/>
  <c r="H3366" i="1"/>
  <c r="G3366" i="1"/>
  <c r="F3366" i="1"/>
  <c r="E3366" i="1"/>
  <c r="D3366" i="1"/>
  <c r="C3366" i="1"/>
  <c r="B3366" i="1"/>
  <c r="A3366" i="1"/>
  <c r="H3365" i="1"/>
  <c r="G3365" i="1"/>
  <c r="F3365" i="1"/>
  <c r="E3365" i="1"/>
  <c r="D3365" i="1"/>
  <c r="C3365" i="1"/>
  <c r="B3365" i="1"/>
  <c r="A3365" i="1"/>
  <c r="H3364" i="1"/>
  <c r="G3364" i="1"/>
  <c r="F3364" i="1"/>
  <c r="E3364" i="1"/>
  <c r="D3364" i="1"/>
  <c r="C3364" i="1"/>
  <c r="B3364" i="1"/>
  <c r="A3364" i="1"/>
  <c r="H3363" i="1"/>
  <c r="G3363" i="1"/>
  <c r="F3363" i="1"/>
  <c r="E3363" i="1"/>
  <c r="D3363" i="1"/>
  <c r="C3363" i="1"/>
  <c r="B3363" i="1"/>
  <c r="A3363" i="1"/>
  <c r="H3362" i="1"/>
  <c r="G3362" i="1"/>
  <c r="F3362" i="1"/>
  <c r="E3362" i="1"/>
  <c r="D3362" i="1"/>
  <c r="C3362" i="1"/>
  <c r="B3362" i="1"/>
  <c r="A3362" i="1"/>
  <c r="H3361" i="1"/>
  <c r="G3361" i="1"/>
  <c r="F3361" i="1"/>
  <c r="E3361" i="1"/>
  <c r="D3361" i="1"/>
  <c r="C3361" i="1"/>
  <c r="B3361" i="1"/>
  <c r="A3361" i="1"/>
  <c r="H3360" i="1"/>
  <c r="G3360" i="1"/>
  <c r="F3360" i="1"/>
  <c r="E3360" i="1"/>
  <c r="D3360" i="1"/>
  <c r="C3360" i="1"/>
  <c r="B3360" i="1"/>
  <c r="A3360" i="1"/>
  <c r="H3359" i="1"/>
  <c r="G3359" i="1"/>
  <c r="F3359" i="1"/>
  <c r="E3359" i="1"/>
  <c r="D3359" i="1"/>
  <c r="C3359" i="1"/>
  <c r="B3359" i="1"/>
  <c r="A3359" i="1"/>
  <c r="H3358" i="1"/>
  <c r="G3358" i="1"/>
  <c r="F3358" i="1"/>
  <c r="E3358" i="1"/>
  <c r="D3358" i="1"/>
  <c r="C3358" i="1"/>
  <c r="B3358" i="1"/>
  <c r="A3358" i="1"/>
  <c r="H3357" i="1"/>
  <c r="G3357" i="1"/>
  <c r="F3357" i="1"/>
  <c r="E3357" i="1"/>
  <c r="D3357" i="1"/>
  <c r="C3357" i="1"/>
  <c r="B3357" i="1"/>
  <c r="A3357" i="1"/>
  <c r="H3356" i="1"/>
  <c r="G3356" i="1"/>
  <c r="F3356" i="1"/>
  <c r="E3356" i="1"/>
  <c r="D3356" i="1"/>
  <c r="C3356" i="1"/>
  <c r="B3356" i="1"/>
  <c r="A3356" i="1"/>
  <c r="H3355" i="1"/>
  <c r="G3355" i="1"/>
  <c r="F3355" i="1"/>
  <c r="E3355" i="1"/>
  <c r="D3355" i="1"/>
  <c r="C3355" i="1"/>
  <c r="B3355" i="1"/>
  <c r="A3355" i="1"/>
  <c r="H3354" i="1"/>
  <c r="G3354" i="1"/>
  <c r="F3354" i="1"/>
  <c r="E3354" i="1"/>
  <c r="D3354" i="1"/>
  <c r="C3354" i="1"/>
  <c r="B3354" i="1"/>
  <c r="A3354" i="1"/>
  <c r="H3353" i="1"/>
  <c r="G3353" i="1"/>
  <c r="F3353" i="1"/>
  <c r="E3353" i="1"/>
  <c r="D3353" i="1"/>
  <c r="C3353" i="1"/>
  <c r="B3353" i="1"/>
  <c r="A3353" i="1"/>
  <c r="H3352" i="1"/>
  <c r="G3352" i="1"/>
  <c r="F3352" i="1"/>
  <c r="E3352" i="1"/>
  <c r="D3352" i="1"/>
  <c r="C3352" i="1"/>
  <c r="B3352" i="1"/>
  <c r="A3352" i="1"/>
  <c r="H3351" i="1"/>
  <c r="G3351" i="1"/>
  <c r="F3351" i="1"/>
  <c r="E3351" i="1"/>
  <c r="D3351" i="1"/>
  <c r="C3351" i="1"/>
  <c r="B3351" i="1"/>
  <c r="A3351" i="1"/>
  <c r="H3350" i="1"/>
  <c r="G3350" i="1"/>
  <c r="F3350" i="1"/>
  <c r="E3350" i="1"/>
  <c r="D3350" i="1"/>
  <c r="C3350" i="1"/>
  <c r="B3350" i="1"/>
  <c r="A3350" i="1"/>
  <c r="H3349" i="1"/>
  <c r="G3349" i="1"/>
  <c r="F3349" i="1"/>
  <c r="E3349" i="1"/>
  <c r="D3349" i="1"/>
  <c r="C3349" i="1"/>
  <c r="B3349" i="1"/>
  <c r="A3349" i="1"/>
  <c r="H3348" i="1"/>
  <c r="G3348" i="1"/>
  <c r="F3348" i="1"/>
  <c r="E3348" i="1"/>
  <c r="D3348" i="1"/>
  <c r="C3348" i="1"/>
  <c r="B3348" i="1"/>
  <c r="A3348" i="1"/>
  <c r="H3347" i="1"/>
  <c r="G3347" i="1"/>
  <c r="F3347" i="1"/>
  <c r="E3347" i="1"/>
  <c r="D3347" i="1"/>
  <c r="C3347" i="1"/>
  <c r="B3347" i="1"/>
  <c r="A3347" i="1"/>
  <c r="H3346" i="1"/>
  <c r="G3346" i="1"/>
  <c r="F3346" i="1"/>
  <c r="E3346" i="1"/>
  <c r="D3346" i="1"/>
  <c r="C3346" i="1"/>
  <c r="B3346" i="1"/>
  <c r="A3346" i="1"/>
  <c r="H3345" i="1"/>
  <c r="G3345" i="1"/>
  <c r="F3345" i="1"/>
  <c r="E3345" i="1"/>
  <c r="D3345" i="1"/>
  <c r="C3345" i="1"/>
  <c r="B3345" i="1"/>
  <c r="A3345" i="1"/>
  <c r="H3344" i="1"/>
  <c r="G3344" i="1"/>
  <c r="F3344" i="1"/>
  <c r="E3344" i="1"/>
  <c r="D3344" i="1"/>
  <c r="C3344" i="1"/>
  <c r="B3344" i="1"/>
  <c r="A3344" i="1"/>
  <c r="H3343" i="1"/>
  <c r="G3343" i="1"/>
  <c r="F3343" i="1"/>
  <c r="E3343" i="1"/>
  <c r="D3343" i="1"/>
  <c r="C3343" i="1"/>
  <c r="B3343" i="1"/>
  <c r="A3343" i="1"/>
  <c r="H3342" i="1"/>
  <c r="G3342" i="1"/>
  <c r="F3342" i="1"/>
  <c r="E3342" i="1"/>
  <c r="D3342" i="1"/>
  <c r="C3342" i="1"/>
  <c r="B3342" i="1"/>
  <c r="A3342" i="1"/>
  <c r="H3341" i="1"/>
  <c r="G3341" i="1"/>
  <c r="F3341" i="1"/>
  <c r="E3341" i="1"/>
  <c r="D3341" i="1"/>
  <c r="C3341" i="1"/>
  <c r="B3341" i="1"/>
  <c r="A3341" i="1"/>
  <c r="H3340" i="1"/>
  <c r="G3340" i="1"/>
  <c r="F3340" i="1"/>
  <c r="E3340" i="1"/>
  <c r="D3340" i="1"/>
  <c r="C3340" i="1"/>
  <c r="B3340" i="1"/>
  <c r="A3340" i="1"/>
  <c r="H3339" i="1"/>
  <c r="G3339" i="1"/>
  <c r="F3339" i="1"/>
  <c r="E3339" i="1"/>
  <c r="D3339" i="1"/>
  <c r="C3339" i="1"/>
  <c r="B3339" i="1"/>
  <c r="A3339" i="1"/>
  <c r="H3338" i="1"/>
  <c r="G3338" i="1"/>
  <c r="F3338" i="1"/>
  <c r="E3338" i="1"/>
  <c r="D3338" i="1"/>
  <c r="C3338" i="1"/>
  <c r="B3338" i="1"/>
  <c r="A3338" i="1"/>
  <c r="H3337" i="1"/>
  <c r="G3337" i="1"/>
  <c r="F3337" i="1"/>
  <c r="E3337" i="1"/>
  <c r="D3337" i="1"/>
  <c r="C3337" i="1"/>
  <c r="B3337" i="1"/>
  <c r="A3337" i="1"/>
  <c r="H3336" i="1"/>
  <c r="G3336" i="1"/>
  <c r="F3336" i="1"/>
  <c r="E3336" i="1"/>
  <c r="D3336" i="1"/>
  <c r="C3336" i="1"/>
  <c r="B3336" i="1"/>
  <c r="A3336" i="1"/>
  <c r="H3335" i="1"/>
  <c r="G3335" i="1"/>
  <c r="F3335" i="1"/>
  <c r="E3335" i="1"/>
  <c r="D3335" i="1"/>
  <c r="C3335" i="1"/>
  <c r="B3335" i="1"/>
  <c r="A3335" i="1"/>
  <c r="H3334" i="1"/>
  <c r="G3334" i="1"/>
  <c r="F3334" i="1"/>
  <c r="E3334" i="1"/>
  <c r="D3334" i="1"/>
  <c r="C3334" i="1"/>
  <c r="B3334" i="1"/>
  <c r="A3334" i="1"/>
  <c r="H3333" i="1"/>
  <c r="G3333" i="1"/>
  <c r="F3333" i="1"/>
  <c r="E3333" i="1"/>
  <c r="D3333" i="1"/>
  <c r="C3333" i="1"/>
  <c r="B3333" i="1"/>
  <c r="A3333" i="1"/>
  <c r="H3332" i="1"/>
  <c r="G3332" i="1"/>
  <c r="F3332" i="1"/>
  <c r="E3332" i="1"/>
  <c r="D3332" i="1"/>
  <c r="C3332" i="1"/>
  <c r="B3332" i="1"/>
  <c r="A3332" i="1"/>
  <c r="H3331" i="1"/>
  <c r="G3331" i="1"/>
  <c r="F3331" i="1"/>
  <c r="E3331" i="1"/>
  <c r="D3331" i="1"/>
  <c r="C3331" i="1"/>
  <c r="B3331" i="1"/>
  <c r="A3331" i="1"/>
  <c r="H3330" i="1"/>
  <c r="G3330" i="1"/>
  <c r="F3330" i="1"/>
  <c r="E3330" i="1"/>
  <c r="D3330" i="1"/>
  <c r="C3330" i="1"/>
  <c r="B3330" i="1"/>
  <c r="A3330" i="1"/>
  <c r="H3329" i="1"/>
  <c r="G3329" i="1"/>
  <c r="F3329" i="1"/>
  <c r="E3329" i="1"/>
  <c r="D3329" i="1"/>
  <c r="C3329" i="1"/>
  <c r="B3329" i="1"/>
  <c r="A3329" i="1"/>
  <c r="H3328" i="1"/>
  <c r="G3328" i="1"/>
  <c r="F3328" i="1"/>
  <c r="E3328" i="1"/>
  <c r="D3328" i="1"/>
  <c r="C3328" i="1"/>
  <c r="B3328" i="1"/>
  <c r="A3328" i="1"/>
  <c r="H3327" i="1"/>
  <c r="G3327" i="1"/>
  <c r="F3327" i="1"/>
  <c r="E3327" i="1"/>
  <c r="D3327" i="1"/>
  <c r="C3327" i="1"/>
  <c r="B3327" i="1"/>
  <c r="A3327" i="1"/>
  <c r="H3326" i="1"/>
  <c r="G3326" i="1"/>
  <c r="F3326" i="1"/>
  <c r="E3326" i="1"/>
  <c r="D3326" i="1"/>
  <c r="C3326" i="1"/>
  <c r="B3326" i="1"/>
  <c r="A3326" i="1"/>
  <c r="H3325" i="1"/>
  <c r="G3325" i="1"/>
  <c r="F3325" i="1"/>
  <c r="E3325" i="1"/>
  <c r="D3325" i="1"/>
  <c r="C3325" i="1"/>
  <c r="B3325" i="1"/>
  <c r="A3325" i="1"/>
  <c r="H3324" i="1"/>
  <c r="G3324" i="1"/>
  <c r="F3324" i="1"/>
  <c r="E3324" i="1"/>
  <c r="D3324" i="1"/>
  <c r="C3324" i="1"/>
  <c r="B3324" i="1"/>
  <c r="A3324" i="1"/>
  <c r="H3323" i="1"/>
  <c r="G3323" i="1"/>
  <c r="F3323" i="1"/>
  <c r="E3323" i="1"/>
  <c r="D3323" i="1"/>
  <c r="C3323" i="1"/>
  <c r="B3323" i="1"/>
  <c r="A3323" i="1"/>
  <c r="H3322" i="1"/>
  <c r="G3322" i="1"/>
  <c r="F3322" i="1"/>
  <c r="E3322" i="1"/>
  <c r="D3322" i="1"/>
  <c r="C3322" i="1"/>
  <c r="B3322" i="1"/>
  <c r="A3322" i="1"/>
  <c r="H3321" i="1"/>
  <c r="G3321" i="1"/>
  <c r="F3321" i="1"/>
  <c r="E3321" i="1"/>
  <c r="D3321" i="1"/>
  <c r="C3321" i="1"/>
  <c r="B3321" i="1"/>
  <c r="A3321" i="1"/>
  <c r="H3320" i="1"/>
  <c r="G3320" i="1"/>
  <c r="F3320" i="1"/>
  <c r="E3320" i="1"/>
  <c r="D3320" i="1"/>
  <c r="C3320" i="1"/>
  <c r="B3320" i="1"/>
  <c r="A3320" i="1"/>
  <c r="H3319" i="1"/>
  <c r="G3319" i="1"/>
  <c r="F3319" i="1"/>
  <c r="E3319" i="1"/>
  <c r="D3319" i="1"/>
  <c r="C3319" i="1"/>
  <c r="B3319" i="1"/>
  <c r="A3319" i="1"/>
  <c r="H3318" i="1"/>
  <c r="G3318" i="1"/>
  <c r="F3318" i="1"/>
  <c r="E3318" i="1"/>
  <c r="D3318" i="1"/>
  <c r="C3318" i="1"/>
  <c r="B3318" i="1"/>
  <c r="A3318" i="1"/>
  <c r="H3317" i="1"/>
  <c r="G3317" i="1"/>
  <c r="F3317" i="1"/>
  <c r="E3317" i="1"/>
  <c r="D3317" i="1"/>
  <c r="C3317" i="1"/>
  <c r="B3317" i="1"/>
  <c r="A3317" i="1"/>
  <c r="H3316" i="1"/>
  <c r="G3316" i="1"/>
  <c r="F3316" i="1"/>
  <c r="E3316" i="1"/>
  <c r="D3316" i="1"/>
  <c r="C3316" i="1"/>
  <c r="B3316" i="1"/>
  <c r="A3316" i="1"/>
  <c r="H3315" i="1"/>
  <c r="G3315" i="1"/>
  <c r="F3315" i="1"/>
  <c r="E3315" i="1"/>
  <c r="D3315" i="1"/>
  <c r="C3315" i="1"/>
  <c r="B3315" i="1"/>
  <c r="A3315" i="1"/>
  <c r="H3314" i="1"/>
  <c r="G3314" i="1"/>
  <c r="F3314" i="1"/>
  <c r="E3314" i="1"/>
  <c r="D3314" i="1"/>
  <c r="C3314" i="1"/>
  <c r="B3314" i="1"/>
  <c r="A3314" i="1"/>
  <c r="H3313" i="1"/>
  <c r="G3313" i="1"/>
  <c r="F3313" i="1"/>
  <c r="E3313" i="1"/>
  <c r="D3313" i="1"/>
  <c r="C3313" i="1"/>
  <c r="B3313" i="1"/>
  <c r="A3313" i="1"/>
  <c r="H3312" i="1"/>
  <c r="G3312" i="1"/>
  <c r="F3312" i="1"/>
  <c r="E3312" i="1"/>
  <c r="D3312" i="1"/>
  <c r="C3312" i="1"/>
  <c r="B3312" i="1"/>
  <c r="A3312" i="1"/>
  <c r="H3311" i="1"/>
  <c r="G3311" i="1"/>
  <c r="F3311" i="1"/>
  <c r="E3311" i="1"/>
  <c r="D3311" i="1"/>
  <c r="C3311" i="1"/>
  <c r="B3311" i="1"/>
  <c r="A3311" i="1"/>
  <c r="H3310" i="1"/>
  <c r="G3310" i="1"/>
  <c r="F3310" i="1"/>
  <c r="E3310" i="1"/>
  <c r="D3310" i="1"/>
  <c r="C3310" i="1"/>
  <c r="B3310" i="1"/>
  <c r="A3310" i="1"/>
  <c r="H3309" i="1"/>
  <c r="G3309" i="1"/>
  <c r="F3309" i="1"/>
  <c r="E3309" i="1"/>
  <c r="D3309" i="1"/>
  <c r="C3309" i="1"/>
  <c r="B3309" i="1"/>
  <c r="A3309" i="1"/>
  <c r="H3308" i="1"/>
  <c r="G3308" i="1"/>
  <c r="F3308" i="1"/>
  <c r="E3308" i="1"/>
  <c r="D3308" i="1"/>
  <c r="C3308" i="1"/>
  <c r="B3308" i="1"/>
  <c r="A3308" i="1"/>
  <c r="H3307" i="1"/>
  <c r="G3307" i="1"/>
  <c r="F3307" i="1"/>
  <c r="E3307" i="1"/>
  <c r="D3307" i="1"/>
  <c r="C3307" i="1"/>
  <c r="B3307" i="1"/>
  <c r="A3307" i="1"/>
  <c r="H3306" i="1"/>
  <c r="G3306" i="1"/>
  <c r="F3306" i="1"/>
  <c r="E3306" i="1"/>
  <c r="D3306" i="1"/>
  <c r="C3306" i="1"/>
  <c r="B3306" i="1"/>
  <c r="A3306" i="1"/>
  <c r="H3305" i="1"/>
  <c r="G3305" i="1"/>
  <c r="F3305" i="1"/>
  <c r="E3305" i="1"/>
  <c r="D3305" i="1"/>
  <c r="C3305" i="1"/>
  <c r="B3305" i="1"/>
  <c r="A3305" i="1"/>
  <c r="H3304" i="1"/>
  <c r="G3304" i="1"/>
  <c r="F3304" i="1"/>
  <c r="E3304" i="1"/>
  <c r="D3304" i="1"/>
  <c r="C3304" i="1"/>
  <c r="B3304" i="1"/>
  <c r="A3304" i="1"/>
  <c r="H3303" i="1"/>
  <c r="G3303" i="1"/>
  <c r="F3303" i="1"/>
  <c r="E3303" i="1"/>
  <c r="D3303" i="1"/>
  <c r="C3303" i="1"/>
  <c r="B3303" i="1"/>
  <c r="A3303" i="1"/>
  <c r="H3302" i="1"/>
  <c r="G3302" i="1"/>
  <c r="F3302" i="1"/>
  <c r="E3302" i="1"/>
  <c r="D3302" i="1"/>
  <c r="C3302" i="1"/>
  <c r="B3302" i="1"/>
  <c r="A3302" i="1"/>
  <c r="H3301" i="1"/>
  <c r="G3301" i="1"/>
  <c r="F3301" i="1"/>
  <c r="E3301" i="1"/>
  <c r="D3301" i="1"/>
  <c r="C3301" i="1"/>
  <c r="B3301" i="1"/>
  <c r="A3301" i="1"/>
  <c r="H3300" i="1"/>
  <c r="G3300" i="1"/>
  <c r="F3300" i="1"/>
  <c r="E3300" i="1"/>
  <c r="D3300" i="1"/>
  <c r="C3300" i="1"/>
  <c r="B3300" i="1"/>
  <c r="A3300" i="1"/>
  <c r="H3299" i="1"/>
  <c r="G3299" i="1"/>
  <c r="F3299" i="1"/>
  <c r="E3299" i="1"/>
  <c r="D3299" i="1"/>
  <c r="C3299" i="1"/>
  <c r="B3299" i="1"/>
  <c r="A3299" i="1"/>
  <c r="H3298" i="1"/>
  <c r="G3298" i="1"/>
  <c r="F3298" i="1"/>
  <c r="E3298" i="1"/>
  <c r="D3298" i="1"/>
  <c r="C3298" i="1"/>
  <c r="B3298" i="1"/>
  <c r="A3298" i="1"/>
  <c r="H3297" i="1"/>
  <c r="G3297" i="1"/>
  <c r="F3297" i="1"/>
  <c r="E3297" i="1"/>
  <c r="D3297" i="1"/>
  <c r="C3297" i="1"/>
  <c r="B3297" i="1"/>
  <c r="A3297" i="1"/>
  <c r="H3296" i="1"/>
  <c r="G3296" i="1"/>
  <c r="F3296" i="1"/>
  <c r="E3296" i="1"/>
  <c r="D3296" i="1"/>
  <c r="C3296" i="1"/>
  <c r="B3296" i="1"/>
  <c r="A3296" i="1"/>
  <c r="H3295" i="1"/>
  <c r="G3295" i="1"/>
  <c r="F3295" i="1"/>
  <c r="E3295" i="1"/>
  <c r="D3295" i="1"/>
  <c r="C3295" i="1"/>
  <c r="B3295" i="1"/>
  <c r="A3295" i="1"/>
  <c r="H3294" i="1"/>
  <c r="G3294" i="1"/>
  <c r="F3294" i="1"/>
  <c r="E3294" i="1"/>
  <c r="D3294" i="1"/>
  <c r="C3294" i="1"/>
  <c r="B3294" i="1"/>
  <c r="A3294" i="1"/>
  <c r="H3293" i="1"/>
  <c r="G3293" i="1"/>
  <c r="F3293" i="1"/>
  <c r="E3293" i="1"/>
  <c r="D3293" i="1"/>
  <c r="C3293" i="1"/>
  <c r="B3293" i="1"/>
  <c r="A3293" i="1"/>
  <c r="H3292" i="1"/>
  <c r="G3292" i="1"/>
  <c r="F3292" i="1"/>
  <c r="E3292" i="1"/>
  <c r="D3292" i="1"/>
  <c r="C3292" i="1"/>
  <c r="B3292" i="1"/>
  <c r="A3292" i="1"/>
  <c r="H3291" i="1"/>
  <c r="G3291" i="1"/>
  <c r="F3291" i="1"/>
  <c r="E3291" i="1"/>
  <c r="D3291" i="1"/>
  <c r="C3291" i="1"/>
  <c r="B3291" i="1"/>
  <c r="A3291" i="1"/>
  <c r="H3290" i="1"/>
  <c r="G3290" i="1"/>
  <c r="F3290" i="1"/>
  <c r="E3290" i="1"/>
  <c r="D3290" i="1"/>
  <c r="C3290" i="1"/>
  <c r="B3290" i="1"/>
  <c r="A3290" i="1"/>
  <c r="H3289" i="1"/>
  <c r="G3289" i="1"/>
  <c r="F3289" i="1"/>
  <c r="E3289" i="1"/>
  <c r="D3289" i="1"/>
  <c r="C3289" i="1"/>
  <c r="B3289" i="1"/>
  <c r="A3289" i="1"/>
  <c r="H3288" i="1"/>
  <c r="G3288" i="1"/>
  <c r="F3288" i="1"/>
  <c r="E3288" i="1"/>
  <c r="D3288" i="1"/>
  <c r="C3288" i="1"/>
  <c r="B3288" i="1"/>
  <c r="A3288" i="1"/>
  <c r="H3287" i="1"/>
  <c r="G3287" i="1"/>
  <c r="F3287" i="1"/>
  <c r="E3287" i="1"/>
  <c r="D3287" i="1"/>
  <c r="C3287" i="1"/>
  <c r="B3287" i="1"/>
  <c r="A3287" i="1"/>
  <c r="H3286" i="1"/>
  <c r="G3286" i="1"/>
  <c r="F3286" i="1"/>
  <c r="E3286" i="1"/>
  <c r="D3286" i="1"/>
  <c r="C3286" i="1"/>
  <c r="B3286" i="1"/>
  <c r="A3286" i="1"/>
  <c r="H3285" i="1"/>
  <c r="G3285" i="1"/>
  <c r="F3285" i="1"/>
  <c r="E3285" i="1"/>
  <c r="D3285" i="1"/>
  <c r="C3285" i="1"/>
  <c r="B3285" i="1"/>
  <c r="A3285" i="1"/>
  <c r="H3284" i="1"/>
  <c r="G3284" i="1"/>
  <c r="F3284" i="1"/>
  <c r="E3284" i="1"/>
  <c r="D3284" i="1"/>
  <c r="C3284" i="1"/>
  <c r="B3284" i="1"/>
  <c r="A3284" i="1"/>
  <c r="H3283" i="1"/>
  <c r="G3283" i="1"/>
  <c r="F3283" i="1"/>
  <c r="E3283" i="1"/>
  <c r="D3283" i="1"/>
  <c r="C3283" i="1"/>
  <c r="B3283" i="1"/>
  <c r="A3283" i="1"/>
  <c r="H3282" i="1"/>
  <c r="G3282" i="1"/>
  <c r="F3282" i="1"/>
  <c r="E3282" i="1"/>
  <c r="D3282" i="1"/>
  <c r="C3282" i="1"/>
  <c r="B3282" i="1"/>
  <c r="A3282" i="1"/>
  <c r="H3281" i="1"/>
  <c r="G3281" i="1"/>
  <c r="F3281" i="1"/>
  <c r="E3281" i="1"/>
  <c r="D3281" i="1"/>
  <c r="C3281" i="1"/>
  <c r="B3281" i="1"/>
  <c r="A3281" i="1"/>
  <c r="H3280" i="1"/>
  <c r="G3280" i="1"/>
  <c r="F3280" i="1"/>
  <c r="E3280" i="1"/>
  <c r="D3280" i="1"/>
  <c r="C3280" i="1"/>
  <c r="B3280" i="1"/>
  <c r="A3280" i="1"/>
  <c r="H3279" i="1"/>
  <c r="G3279" i="1"/>
  <c r="F3279" i="1"/>
  <c r="E3279" i="1"/>
  <c r="D3279" i="1"/>
  <c r="C3279" i="1"/>
  <c r="B3279" i="1"/>
  <c r="A3279" i="1"/>
  <c r="H3278" i="1"/>
  <c r="G3278" i="1"/>
  <c r="F3278" i="1"/>
  <c r="E3278" i="1"/>
  <c r="D3278" i="1"/>
  <c r="C3278" i="1"/>
  <c r="B3278" i="1"/>
  <c r="A3278" i="1"/>
  <c r="H3277" i="1"/>
  <c r="G3277" i="1"/>
  <c r="F3277" i="1"/>
  <c r="E3277" i="1"/>
  <c r="D3277" i="1"/>
  <c r="C3277" i="1"/>
  <c r="B3277" i="1"/>
  <c r="A3277" i="1"/>
  <c r="H3276" i="1"/>
  <c r="G3276" i="1"/>
  <c r="F3276" i="1"/>
  <c r="E3276" i="1"/>
  <c r="D3276" i="1"/>
  <c r="C3276" i="1"/>
  <c r="B3276" i="1"/>
  <c r="A3276" i="1"/>
  <c r="H3275" i="1"/>
  <c r="G3275" i="1"/>
  <c r="F3275" i="1"/>
  <c r="E3275" i="1"/>
  <c r="D3275" i="1"/>
  <c r="C3275" i="1"/>
  <c r="B3275" i="1"/>
  <c r="A3275" i="1"/>
  <c r="H3274" i="1"/>
  <c r="G3274" i="1"/>
  <c r="F3274" i="1"/>
  <c r="E3274" i="1"/>
  <c r="D3274" i="1"/>
  <c r="C3274" i="1"/>
  <c r="B3274" i="1"/>
  <c r="A3274" i="1"/>
  <c r="H3273" i="1"/>
  <c r="G3273" i="1"/>
  <c r="F3273" i="1"/>
  <c r="E3273" i="1"/>
  <c r="D3273" i="1"/>
  <c r="C3273" i="1"/>
  <c r="B3273" i="1"/>
  <c r="A3273" i="1"/>
  <c r="H3272" i="1"/>
  <c r="G3272" i="1"/>
  <c r="F3272" i="1"/>
  <c r="E3272" i="1"/>
  <c r="D3272" i="1"/>
  <c r="C3272" i="1"/>
  <c r="B3272" i="1"/>
  <c r="A3272" i="1"/>
  <c r="H3271" i="1"/>
  <c r="G3271" i="1"/>
  <c r="F3271" i="1"/>
  <c r="E3271" i="1"/>
  <c r="D3271" i="1"/>
  <c r="C3271" i="1"/>
  <c r="B3271" i="1"/>
  <c r="A3271" i="1"/>
  <c r="H3270" i="1"/>
  <c r="G3270" i="1"/>
  <c r="F3270" i="1"/>
  <c r="E3270" i="1"/>
  <c r="D3270" i="1"/>
  <c r="C3270" i="1"/>
  <c r="B3270" i="1"/>
  <c r="A3270" i="1"/>
  <c r="H3269" i="1"/>
  <c r="G3269" i="1"/>
  <c r="F3269" i="1"/>
  <c r="E3269" i="1"/>
  <c r="D3269" i="1"/>
  <c r="C3269" i="1"/>
  <c r="B3269" i="1"/>
  <c r="A3269" i="1"/>
  <c r="H3268" i="1"/>
  <c r="G3268" i="1"/>
  <c r="F3268" i="1"/>
  <c r="E3268" i="1"/>
  <c r="D3268" i="1"/>
  <c r="C3268" i="1"/>
  <c r="B3268" i="1"/>
  <c r="A3268" i="1"/>
  <c r="H3267" i="1"/>
  <c r="G3267" i="1"/>
  <c r="F3267" i="1"/>
  <c r="E3267" i="1"/>
  <c r="D3267" i="1"/>
  <c r="C3267" i="1"/>
  <c r="B3267" i="1"/>
  <c r="A3267" i="1"/>
  <c r="H3266" i="1"/>
  <c r="G3266" i="1"/>
  <c r="F3266" i="1"/>
  <c r="E3266" i="1"/>
  <c r="D3266" i="1"/>
  <c r="C3266" i="1"/>
  <c r="B3266" i="1"/>
  <c r="A3266" i="1"/>
  <c r="H3265" i="1"/>
  <c r="G3265" i="1"/>
  <c r="F3265" i="1"/>
  <c r="E3265" i="1"/>
  <c r="D3265" i="1"/>
  <c r="C3265" i="1"/>
  <c r="B3265" i="1"/>
  <c r="A3265" i="1"/>
  <c r="H3264" i="1"/>
  <c r="G3264" i="1"/>
  <c r="F3264" i="1"/>
  <c r="E3264" i="1"/>
  <c r="D3264" i="1"/>
  <c r="C3264" i="1"/>
  <c r="B3264" i="1"/>
  <c r="A3264" i="1"/>
  <c r="H3263" i="1"/>
  <c r="G3263" i="1"/>
  <c r="F3263" i="1"/>
  <c r="E3263" i="1"/>
  <c r="D3263" i="1"/>
  <c r="C3263" i="1"/>
  <c r="B3263" i="1"/>
  <c r="A3263" i="1"/>
  <c r="H3262" i="1"/>
  <c r="G3262" i="1"/>
  <c r="F3262" i="1"/>
  <c r="E3262" i="1"/>
  <c r="D3262" i="1"/>
  <c r="C3262" i="1"/>
  <c r="B3262" i="1"/>
  <c r="A3262" i="1"/>
  <c r="H3261" i="1"/>
  <c r="G3261" i="1"/>
  <c r="F3261" i="1"/>
  <c r="E3261" i="1"/>
  <c r="D3261" i="1"/>
  <c r="C3261" i="1"/>
  <c r="B3261" i="1"/>
  <c r="A3261" i="1"/>
  <c r="H3260" i="1"/>
  <c r="G3260" i="1"/>
  <c r="F3260" i="1"/>
  <c r="E3260" i="1"/>
  <c r="D3260" i="1"/>
  <c r="C3260" i="1"/>
  <c r="B3260" i="1"/>
  <c r="A3260" i="1"/>
  <c r="H3259" i="1"/>
  <c r="G3259" i="1"/>
  <c r="F3259" i="1"/>
  <c r="E3259" i="1"/>
  <c r="D3259" i="1"/>
  <c r="C3259" i="1"/>
  <c r="B3259" i="1"/>
  <c r="A3259" i="1"/>
  <c r="H3258" i="1"/>
  <c r="G3258" i="1"/>
  <c r="F3258" i="1"/>
  <c r="E3258" i="1"/>
  <c r="D3258" i="1"/>
  <c r="C3258" i="1"/>
  <c r="B3258" i="1"/>
  <c r="A3258" i="1"/>
  <c r="H3257" i="1"/>
  <c r="G3257" i="1"/>
  <c r="F3257" i="1"/>
  <c r="E3257" i="1"/>
  <c r="D3257" i="1"/>
  <c r="C3257" i="1"/>
  <c r="B3257" i="1"/>
  <c r="A3257" i="1"/>
  <c r="H3256" i="1"/>
  <c r="G3256" i="1"/>
  <c r="F3256" i="1"/>
  <c r="E3256" i="1"/>
  <c r="D3256" i="1"/>
  <c r="C3256" i="1"/>
  <c r="B3256" i="1"/>
  <c r="A3256" i="1"/>
  <c r="H3255" i="1"/>
  <c r="G3255" i="1"/>
  <c r="F3255" i="1"/>
  <c r="E3255" i="1"/>
  <c r="D3255" i="1"/>
  <c r="C3255" i="1"/>
  <c r="B3255" i="1"/>
  <c r="A3255" i="1"/>
  <c r="H3254" i="1"/>
  <c r="G3254" i="1"/>
  <c r="F3254" i="1"/>
  <c r="E3254" i="1"/>
  <c r="D3254" i="1"/>
  <c r="C3254" i="1"/>
  <c r="B3254" i="1"/>
  <c r="A3254" i="1"/>
  <c r="H3253" i="1"/>
  <c r="G3253" i="1"/>
  <c r="F3253" i="1"/>
  <c r="E3253" i="1"/>
  <c r="D3253" i="1"/>
  <c r="C3253" i="1"/>
  <c r="B3253" i="1"/>
  <c r="A3253" i="1"/>
  <c r="H3252" i="1"/>
  <c r="G3252" i="1"/>
  <c r="F3252" i="1"/>
  <c r="E3252" i="1"/>
  <c r="D3252" i="1"/>
  <c r="C3252" i="1"/>
  <c r="B3252" i="1"/>
  <c r="A3252" i="1"/>
  <c r="H3251" i="1"/>
  <c r="G3251" i="1"/>
  <c r="F3251" i="1"/>
  <c r="E3251" i="1"/>
  <c r="D3251" i="1"/>
  <c r="C3251" i="1"/>
  <c r="B3251" i="1"/>
  <c r="A3251" i="1"/>
  <c r="H3250" i="1"/>
  <c r="G3250" i="1"/>
  <c r="F3250" i="1"/>
  <c r="E3250" i="1"/>
  <c r="D3250" i="1"/>
  <c r="C3250" i="1"/>
  <c r="B3250" i="1"/>
  <c r="A3250" i="1"/>
  <c r="H3249" i="1"/>
  <c r="G3249" i="1"/>
  <c r="F3249" i="1"/>
  <c r="E3249" i="1"/>
  <c r="D3249" i="1"/>
  <c r="C3249" i="1"/>
  <c r="B3249" i="1"/>
  <c r="A3249" i="1"/>
  <c r="H3248" i="1"/>
  <c r="G3248" i="1"/>
  <c r="F3248" i="1"/>
  <c r="E3248" i="1"/>
  <c r="D3248" i="1"/>
  <c r="C3248" i="1"/>
  <c r="B3248" i="1"/>
  <c r="A3248" i="1"/>
  <c r="H3247" i="1"/>
  <c r="G3247" i="1"/>
  <c r="F3247" i="1"/>
  <c r="E3247" i="1"/>
  <c r="D3247" i="1"/>
  <c r="C3247" i="1"/>
  <c r="B3247" i="1"/>
  <c r="A3247" i="1"/>
  <c r="H3246" i="1"/>
  <c r="G3246" i="1"/>
  <c r="F3246" i="1"/>
  <c r="E3246" i="1"/>
  <c r="D3246" i="1"/>
  <c r="C3246" i="1"/>
  <c r="B3246" i="1"/>
  <c r="A3246" i="1"/>
  <c r="H3245" i="1"/>
  <c r="G3245" i="1"/>
  <c r="F3245" i="1"/>
  <c r="E3245" i="1"/>
  <c r="D3245" i="1"/>
  <c r="C3245" i="1"/>
  <c r="B3245" i="1"/>
  <c r="A3245" i="1"/>
  <c r="H3244" i="1"/>
  <c r="G3244" i="1"/>
  <c r="F3244" i="1"/>
  <c r="E3244" i="1"/>
  <c r="D3244" i="1"/>
  <c r="C3244" i="1"/>
  <c r="B3244" i="1"/>
  <c r="A3244" i="1"/>
  <c r="H3243" i="1"/>
  <c r="G3243" i="1"/>
  <c r="F3243" i="1"/>
  <c r="E3243" i="1"/>
  <c r="D3243" i="1"/>
  <c r="C3243" i="1"/>
  <c r="B3243" i="1"/>
  <c r="A3243" i="1"/>
  <c r="H3242" i="1"/>
  <c r="G3242" i="1"/>
  <c r="F3242" i="1"/>
  <c r="E3242" i="1"/>
  <c r="D3242" i="1"/>
  <c r="C3242" i="1"/>
  <c r="B3242" i="1"/>
  <c r="A3242" i="1"/>
  <c r="H3241" i="1"/>
  <c r="G3241" i="1"/>
  <c r="F3241" i="1"/>
  <c r="E3241" i="1"/>
  <c r="D3241" i="1"/>
  <c r="C3241" i="1"/>
  <c r="B3241" i="1"/>
  <c r="A3241" i="1"/>
  <c r="H3240" i="1"/>
  <c r="G3240" i="1"/>
  <c r="F3240" i="1"/>
  <c r="E3240" i="1"/>
  <c r="D3240" i="1"/>
  <c r="C3240" i="1"/>
  <c r="B3240" i="1"/>
  <c r="A3240" i="1"/>
  <c r="H3239" i="1"/>
  <c r="G3239" i="1"/>
  <c r="F3239" i="1"/>
  <c r="E3239" i="1"/>
  <c r="D3239" i="1"/>
  <c r="C3239" i="1"/>
  <c r="B3239" i="1"/>
  <c r="A3239" i="1"/>
  <c r="H3238" i="1"/>
  <c r="G3238" i="1"/>
  <c r="F3238" i="1"/>
  <c r="E3238" i="1"/>
  <c r="D3238" i="1"/>
  <c r="C3238" i="1"/>
  <c r="B3238" i="1"/>
  <c r="A3238" i="1"/>
  <c r="H3237" i="1"/>
  <c r="G3237" i="1"/>
  <c r="F3237" i="1"/>
  <c r="E3237" i="1"/>
  <c r="D3237" i="1"/>
  <c r="C3237" i="1"/>
  <c r="B3237" i="1"/>
  <c r="A3237" i="1"/>
  <c r="H3236" i="1"/>
  <c r="G3236" i="1"/>
  <c r="F3236" i="1"/>
  <c r="E3236" i="1"/>
  <c r="D3236" i="1"/>
  <c r="C3236" i="1"/>
  <c r="B3236" i="1"/>
  <c r="A3236" i="1"/>
  <c r="H3235" i="1"/>
  <c r="G3235" i="1"/>
  <c r="F3235" i="1"/>
  <c r="E3235" i="1"/>
  <c r="D3235" i="1"/>
  <c r="C3235" i="1"/>
  <c r="B3235" i="1"/>
  <c r="A3235" i="1"/>
  <c r="H3234" i="1"/>
  <c r="G3234" i="1"/>
  <c r="F3234" i="1"/>
  <c r="E3234" i="1"/>
  <c r="D3234" i="1"/>
  <c r="C3234" i="1"/>
  <c r="B3234" i="1"/>
  <c r="A3234" i="1"/>
  <c r="H3233" i="1"/>
  <c r="G3233" i="1"/>
  <c r="F3233" i="1"/>
  <c r="E3233" i="1"/>
  <c r="D3233" i="1"/>
  <c r="C3233" i="1"/>
  <c r="B3233" i="1"/>
  <c r="A3233" i="1"/>
  <c r="H3232" i="1"/>
  <c r="G3232" i="1"/>
  <c r="F3232" i="1"/>
  <c r="E3232" i="1"/>
  <c r="D3232" i="1"/>
  <c r="C3232" i="1"/>
  <c r="B3232" i="1"/>
  <c r="A3232" i="1"/>
  <c r="H3231" i="1"/>
  <c r="G3231" i="1"/>
  <c r="F3231" i="1"/>
  <c r="E3231" i="1"/>
  <c r="D3231" i="1"/>
  <c r="C3231" i="1"/>
  <c r="B3231" i="1"/>
  <c r="A3231" i="1"/>
  <c r="H3230" i="1"/>
  <c r="G3230" i="1"/>
  <c r="F3230" i="1"/>
  <c r="E3230" i="1"/>
  <c r="D3230" i="1"/>
  <c r="C3230" i="1"/>
  <c r="B3230" i="1"/>
  <c r="A3230" i="1"/>
  <c r="H3229" i="1"/>
  <c r="G3229" i="1"/>
  <c r="F3229" i="1"/>
  <c r="E3229" i="1"/>
  <c r="D3229" i="1"/>
  <c r="C3229" i="1"/>
  <c r="B3229" i="1"/>
  <c r="A3229" i="1"/>
  <c r="H3228" i="1"/>
  <c r="G3228" i="1"/>
  <c r="F3228" i="1"/>
  <c r="E3228" i="1"/>
  <c r="D3228" i="1"/>
  <c r="C3228" i="1"/>
  <c r="B3228" i="1"/>
  <c r="A3228" i="1"/>
  <c r="H3227" i="1"/>
  <c r="G3227" i="1"/>
  <c r="F3227" i="1"/>
  <c r="E3227" i="1"/>
  <c r="D3227" i="1"/>
  <c r="C3227" i="1"/>
  <c r="B3227" i="1"/>
  <c r="A3227" i="1"/>
  <c r="H3226" i="1"/>
  <c r="G3226" i="1"/>
  <c r="F3226" i="1"/>
  <c r="E3226" i="1"/>
  <c r="D3226" i="1"/>
  <c r="C3226" i="1"/>
  <c r="B3226" i="1"/>
  <c r="A3226" i="1"/>
  <c r="H3225" i="1"/>
  <c r="G3225" i="1"/>
  <c r="F3225" i="1"/>
  <c r="E3225" i="1"/>
  <c r="D3225" i="1"/>
  <c r="C3225" i="1"/>
  <c r="B3225" i="1"/>
  <c r="A3225" i="1"/>
  <c r="H3224" i="1"/>
  <c r="G3224" i="1"/>
  <c r="F3224" i="1"/>
  <c r="E3224" i="1"/>
  <c r="D3224" i="1"/>
  <c r="C3224" i="1"/>
  <c r="B3224" i="1"/>
  <c r="A3224" i="1"/>
  <c r="H3223" i="1"/>
  <c r="G3223" i="1"/>
  <c r="F3223" i="1"/>
  <c r="E3223" i="1"/>
  <c r="D3223" i="1"/>
  <c r="C3223" i="1"/>
  <c r="B3223" i="1"/>
  <c r="A3223" i="1"/>
  <c r="H3222" i="1"/>
  <c r="G3222" i="1"/>
  <c r="F3222" i="1"/>
  <c r="E3222" i="1"/>
  <c r="D3222" i="1"/>
  <c r="C3222" i="1"/>
  <c r="B3222" i="1"/>
  <c r="A3222" i="1"/>
  <c r="H3221" i="1"/>
  <c r="G3221" i="1"/>
  <c r="F3221" i="1"/>
  <c r="E3221" i="1"/>
  <c r="D3221" i="1"/>
  <c r="C3221" i="1"/>
  <c r="B3221" i="1"/>
  <c r="A3221" i="1"/>
  <c r="H3220" i="1"/>
  <c r="G3220" i="1"/>
  <c r="F3220" i="1"/>
  <c r="E3220" i="1"/>
  <c r="D3220" i="1"/>
  <c r="C3220" i="1"/>
  <c r="B3220" i="1"/>
  <c r="A3220" i="1"/>
  <c r="H3219" i="1"/>
  <c r="G3219" i="1"/>
  <c r="F3219" i="1"/>
  <c r="E3219" i="1"/>
  <c r="D3219" i="1"/>
  <c r="C3219" i="1"/>
  <c r="B3219" i="1"/>
  <c r="A3219" i="1"/>
  <c r="H3218" i="1"/>
  <c r="G3218" i="1"/>
  <c r="F3218" i="1"/>
  <c r="E3218" i="1"/>
  <c r="D3218" i="1"/>
  <c r="C3218" i="1"/>
  <c r="B3218" i="1"/>
  <c r="A3218" i="1"/>
  <c r="H3217" i="1"/>
  <c r="G3217" i="1"/>
  <c r="F3217" i="1"/>
  <c r="E3217" i="1"/>
  <c r="D3217" i="1"/>
  <c r="C3217" i="1"/>
  <c r="B3217" i="1"/>
  <c r="A3217" i="1"/>
  <c r="H3216" i="1"/>
  <c r="G3216" i="1"/>
  <c r="F3216" i="1"/>
  <c r="E3216" i="1"/>
  <c r="D3216" i="1"/>
  <c r="C3216" i="1"/>
  <c r="B3216" i="1"/>
  <c r="A3216" i="1"/>
  <c r="H3215" i="1"/>
  <c r="G3215" i="1"/>
  <c r="F3215" i="1"/>
  <c r="E3215" i="1"/>
  <c r="D3215" i="1"/>
  <c r="C3215" i="1"/>
  <c r="B3215" i="1"/>
  <c r="A3215" i="1"/>
  <c r="H3214" i="1"/>
  <c r="G3214" i="1"/>
  <c r="F3214" i="1"/>
  <c r="E3214" i="1"/>
  <c r="D3214" i="1"/>
  <c r="C3214" i="1"/>
  <c r="B3214" i="1"/>
  <c r="A3214" i="1"/>
  <c r="H3213" i="1"/>
  <c r="G3213" i="1"/>
  <c r="F3213" i="1"/>
  <c r="E3213" i="1"/>
  <c r="D3213" i="1"/>
  <c r="C3213" i="1"/>
  <c r="B3213" i="1"/>
  <c r="A3213" i="1"/>
  <c r="H3212" i="1"/>
  <c r="G3212" i="1"/>
  <c r="F3212" i="1"/>
  <c r="E3212" i="1"/>
  <c r="D3212" i="1"/>
  <c r="C3212" i="1"/>
  <c r="B3212" i="1"/>
  <c r="A3212" i="1"/>
  <c r="H3211" i="1"/>
  <c r="G3211" i="1"/>
  <c r="F3211" i="1"/>
  <c r="E3211" i="1"/>
  <c r="D3211" i="1"/>
  <c r="C3211" i="1"/>
  <c r="B3211" i="1"/>
  <c r="A3211" i="1"/>
  <c r="H3210" i="1"/>
  <c r="G3210" i="1"/>
  <c r="F3210" i="1"/>
  <c r="E3210" i="1"/>
  <c r="D3210" i="1"/>
  <c r="C3210" i="1"/>
  <c r="B3210" i="1"/>
  <c r="A3210" i="1"/>
  <c r="H3209" i="1"/>
  <c r="G3209" i="1"/>
  <c r="F3209" i="1"/>
  <c r="E3209" i="1"/>
  <c r="D3209" i="1"/>
  <c r="C3209" i="1"/>
  <c r="B3209" i="1"/>
  <c r="A3209" i="1"/>
  <c r="H3208" i="1"/>
  <c r="G3208" i="1"/>
  <c r="F3208" i="1"/>
  <c r="E3208" i="1"/>
  <c r="D3208" i="1"/>
  <c r="C3208" i="1"/>
  <c r="B3208" i="1"/>
  <c r="A3208" i="1"/>
  <c r="H3207" i="1"/>
  <c r="G3207" i="1"/>
  <c r="F3207" i="1"/>
  <c r="E3207" i="1"/>
  <c r="D3207" i="1"/>
  <c r="C3207" i="1"/>
  <c r="B3207" i="1"/>
  <c r="A3207" i="1"/>
  <c r="H3206" i="1"/>
  <c r="G3206" i="1"/>
  <c r="F3206" i="1"/>
  <c r="E3206" i="1"/>
  <c r="D3206" i="1"/>
  <c r="C3206" i="1"/>
  <c r="B3206" i="1"/>
  <c r="A3206" i="1"/>
  <c r="H3205" i="1"/>
  <c r="G3205" i="1"/>
  <c r="F3205" i="1"/>
  <c r="E3205" i="1"/>
  <c r="D3205" i="1"/>
  <c r="C3205" i="1"/>
  <c r="B3205" i="1"/>
  <c r="A3205" i="1"/>
  <c r="H3204" i="1"/>
  <c r="G3204" i="1"/>
  <c r="F3204" i="1"/>
  <c r="E3204" i="1"/>
  <c r="D3204" i="1"/>
  <c r="C3204" i="1"/>
  <c r="B3204" i="1"/>
  <c r="A3204" i="1"/>
  <c r="H3203" i="1"/>
  <c r="G3203" i="1"/>
  <c r="F3203" i="1"/>
  <c r="E3203" i="1"/>
  <c r="D3203" i="1"/>
  <c r="C3203" i="1"/>
  <c r="B3203" i="1"/>
  <c r="A3203" i="1"/>
  <c r="H3202" i="1"/>
  <c r="G3202" i="1"/>
  <c r="F3202" i="1"/>
  <c r="E3202" i="1"/>
  <c r="D3202" i="1"/>
  <c r="C3202" i="1"/>
  <c r="B3202" i="1"/>
  <c r="A3202" i="1"/>
  <c r="H3201" i="1"/>
  <c r="G3201" i="1"/>
  <c r="F3201" i="1"/>
  <c r="E3201" i="1"/>
  <c r="D3201" i="1"/>
  <c r="C3201" i="1"/>
  <c r="B3201" i="1"/>
  <c r="A3201" i="1"/>
  <c r="H3200" i="1"/>
  <c r="G3200" i="1"/>
  <c r="F3200" i="1"/>
  <c r="E3200" i="1"/>
  <c r="D3200" i="1"/>
  <c r="C3200" i="1"/>
  <c r="B3200" i="1"/>
  <c r="A3200" i="1"/>
  <c r="H3199" i="1"/>
  <c r="G3199" i="1"/>
  <c r="F3199" i="1"/>
  <c r="E3199" i="1"/>
  <c r="D3199" i="1"/>
  <c r="C3199" i="1"/>
  <c r="B3199" i="1"/>
  <c r="A3199" i="1"/>
  <c r="H3198" i="1"/>
  <c r="G3198" i="1"/>
  <c r="F3198" i="1"/>
  <c r="E3198" i="1"/>
  <c r="D3198" i="1"/>
  <c r="C3198" i="1"/>
  <c r="B3198" i="1"/>
  <c r="A3198" i="1"/>
  <c r="H3197" i="1"/>
  <c r="G3197" i="1"/>
  <c r="F3197" i="1"/>
  <c r="E3197" i="1"/>
  <c r="D3197" i="1"/>
  <c r="C3197" i="1"/>
  <c r="B3197" i="1"/>
  <c r="A3197" i="1"/>
  <c r="H3196" i="1"/>
  <c r="G3196" i="1"/>
  <c r="F3196" i="1"/>
  <c r="E3196" i="1"/>
  <c r="D3196" i="1"/>
  <c r="C3196" i="1"/>
  <c r="B3196" i="1"/>
  <c r="A3196" i="1"/>
  <c r="H3195" i="1"/>
  <c r="G3195" i="1"/>
  <c r="F3195" i="1"/>
  <c r="E3195" i="1"/>
  <c r="D3195" i="1"/>
  <c r="C3195" i="1"/>
  <c r="B3195" i="1"/>
  <c r="A3195" i="1"/>
  <c r="H3194" i="1"/>
  <c r="G3194" i="1"/>
  <c r="F3194" i="1"/>
  <c r="E3194" i="1"/>
  <c r="D3194" i="1"/>
  <c r="C3194" i="1"/>
  <c r="B3194" i="1"/>
  <c r="A3194" i="1"/>
  <c r="H3193" i="1"/>
  <c r="G3193" i="1"/>
  <c r="F3193" i="1"/>
  <c r="E3193" i="1"/>
  <c r="D3193" i="1"/>
  <c r="C3193" i="1"/>
  <c r="B3193" i="1"/>
  <c r="A3193" i="1"/>
  <c r="H3192" i="1"/>
  <c r="G3192" i="1"/>
  <c r="F3192" i="1"/>
  <c r="E3192" i="1"/>
  <c r="D3192" i="1"/>
  <c r="C3192" i="1"/>
  <c r="B3192" i="1"/>
  <c r="A3192" i="1"/>
  <c r="H3191" i="1"/>
  <c r="G3191" i="1"/>
  <c r="F3191" i="1"/>
  <c r="E3191" i="1"/>
  <c r="D3191" i="1"/>
  <c r="C3191" i="1"/>
  <c r="B3191" i="1"/>
  <c r="A3191" i="1"/>
  <c r="H3190" i="1"/>
  <c r="G3190" i="1"/>
  <c r="F3190" i="1"/>
  <c r="E3190" i="1"/>
  <c r="D3190" i="1"/>
  <c r="C3190" i="1"/>
  <c r="B3190" i="1"/>
  <c r="A3190" i="1"/>
  <c r="H3189" i="1"/>
  <c r="G3189" i="1"/>
  <c r="F3189" i="1"/>
  <c r="E3189" i="1"/>
  <c r="D3189" i="1"/>
  <c r="C3189" i="1"/>
  <c r="B3189" i="1"/>
  <c r="A3189" i="1"/>
  <c r="H3188" i="1"/>
  <c r="G3188" i="1"/>
  <c r="F3188" i="1"/>
  <c r="E3188" i="1"/>
  <c r="D3188" i="1"/>
  <c r="C3188" i="1"/>
  <c r="B3188" i="1"/>
  <c r="A3188" i="1"/>
  <c r="H3187" i="1"/>
  <c r="G3187" i="1"/>
  <c r="F3187" i="1"/>
  <c r="E3187" i="1"/>
  <c r="D3187" i="1"/>
  <c r="C3187" i="1"/>
  <c r="B3187" i="1"/>
  <c r="A3187" i="1"/>
  <c r="H3186" i="1"/>
  <c r="G3186" i="1"/>
  <c r="F3186" i="1"/>
  <c r="E3186" i="1"/>
  <c r="D3186" i="1"/>
  <c r="C3186" i="1"/>
  <c r="B3186" i="1"/>
  <c r="A3186" i="1"/>
  <c r="H3185" i="1"/>
  <c r="G3185" i="1"/>
  <c r="F3185" i="1"/>
  <c r="E3185" i="1"/>
  <c r="D3185" i="1"/>
  <c r="C3185" i="1"/>
  <c r="B3185" i="1"/>
  <c r="A3185" i="1"/>
  <c r="H3184" i="1"/>
  <c r="G3184" i="1"/>
  <c r="F3184" i="1"/>
  <c r="E3184" i="1"/>
  <c r="D3184" i="1"/>
  <c r="C3184" i="1"/>
  <c r="B3184" i="1"/>
  <c r="A3184" i="1"/>
  <c r="H3183" i="1"/>
  <c r="G3183" i="1"/>
  <c r="F3183" i="1"/>
  <c r="E3183" i="1"/>
  <c r="D3183" i="1"/>
  <c r="C3183" i="1"/>
  <c r="B3183" i="1"/>
  <c r="A3183" i="1"/>
  <c r="H3182" i="1"/>
  <c r="G3182" i="1"/>
  <c r="F3182" i="1"/>
  <c r="E3182" i="1"/>
  <c r="D3182" i="1"/>
  <c r="C3182" i="1"/>
  <c r="B3182" i="1"/>
  <c r="A3182" i="1"/>
  <c r="H3181" i="1"/>
  <c r="G3181" i="1"/>
  <c r="F3181" i="1"/>
  <c r="E3181" i="1"/>
  <c r="D3181" i="1"/>
  <c r="C3181" i="1"/>
  <c r="B3181" i="1"/>
  <c r="A3181" i="1"/>
  <c r="H3180" i="1"/>
  <c r="G3180" i="1"/>
  <c r="F3180" i="1"/>
  <c r="E3180" i="1"/>
  <c r="D3180" i="1"/>
  <c r="C3180" i="1"/>
  <c r="B3180" i="1"/>
  <c r="A3180" i="1"/>
  <c r="H3179" i="1"/>
  <c r="G3179" i="1"/>
  <c r="F3179" i="1"/>
  <c r="E3179" i="1"/>
  <c r="D3179" i="1"/>
  <c r="C3179" i="1"/>
  <c r="B3179" i="1"/>
  <c r="A3179" i="1"/>
  <c r="H3178" i="1"/>
  <c r="G3178" i="1"/>
  <c r="F3178" i="1"/>
  <c r="E3178" i="1"/>
  <c r="D3178" i="1"/>
  <c r="C3178" i="1"/>
  <c r="B3178" i="1"/>
  <c r="A3178" i="1"/>
  <c r="H3177" i="1"/>
  <c r="G3177" i="1"/>
  <c r="F3177" i="1"/>
  <c r="E3177" i="1"/>
  <c r="D3177" i="1"/>
  <c r="C3177" i="1"/>
  <c r="B3177" i="1"/>
  <c r="A3177" i="1"/>
  <c r="H3176" i="1"/>
  <c r="G3176" i="1"/>
  <c r="F3176" i="1"/>
  <c r="E3176" i="1"/>
  <c r="D3176" i="1"/>
  <c r="C3176" i="1"/>
  <c r="B3176" i="1"/>
  <c r="A3176" i="1"/>
  <c r="H3175" i="1"/>
  <c r="G3175" i="1"/>
  <c r="F3175" i="1"/>
  <c r="E3175" i="1"/>
  <c r="D3175" i="1"/>
  <c r="C3175" i="1"/>
  <c r="B3175" i="1"/>
  <c r="A3175" i="1"/>
  <c r="H3174" i="1"/>
  <c r="G3174" i="1"/>
  <c r="F3174" i="1"/>
  <c r="E3174" i="1"/>
  <c r="D3174" i="1"/>
  <c r="C3174" i="1"/>
  <c r="B3174" i="1"/>
  <c r="A3174" i="1"/>
  <c r="H3173" i="1"/>
  <c r="G3173" i="1"/>
  <c r="F3173" i="1"/>
  <c r="E3173" i="1"/>
  <c r="D3173" i="1"/>
  <c r="C3173" i="1"/>
  <c r="B3173" i="1"/>
  <c r="A3173" i="1"/>
  <c r="H3172" i="1"/>
  <c r="G3172" i="1"/>
  <c r="F3172" i="1"/>
  <c r="E3172" i="1"/>
  <c r="D3172" i="1"/>
  <c r="C3172" i="1"/>
  <c r="B3172" i="1"/>
  <c r="A3172" i="1"/>
  <c r="H3171" i="1"/>
  <c r="G3171" i="1"/>
  <c r="F3171" i="1"/>
  <c r="E3171" i="1"/>
  <c r="D3171" i="1"/>
  <c r="C3171" i="1"/>
  <c r="B3171" i="1"/>
  <c r="A3171" i="1"/>
  <c r="H3170" i="1"/>
  <c r="G3170" i="1"/>
  <c r="F3170" i="1"/>
  <c r="E3170" i="1"/>
  <c r="D3170" i="1"/>
  <c r="C3170" i="1"/>
  <c r="B3170" i="1"/>
  <c r="A3170" i="1"/>
  <c r="H3169" i="1"/>
  <c r="G3169" i="1"/>
  <c r="F3169" i="1"/>
  <c r="E3169" i="1"/>
  <c r="D3169" i="1"/>
  <c r="C3169" i="1"/>
  <c r="B3169" i="1"/>
  <c r="A3169" i="1"/>
  <c r="H3168" i="1"/>
  <c r="G3168" i="1"/>
  <c r="F3168" i="1"/>
  <c r="E3168" i="1"/>
  <c r="D3168" i="1"/>
  <c r="C3168" i="1"/>
  <c r="B3168" i="1"/>
  <c r="A3168" i="1"/>
  <c r="H3167" i="1"/>
  <c r="G3167" i="1"/>
  <c r="F3167" i="1"/>
  <c r="E3167" i="1"/>
  <c r="D3167" i="1"/>
  <c r="C3167" i="1"/>
  <c r="B3167" i="1"/>
  <c r="A3167" i="1"/>
  <c r="H3166" i="1"/>
  <c r="G3166" i="1"/>
  <c r="F3166" i="1"/>
  <c r="E3166" i="1"/>
  <c r="D3166" i="1"/>
  <c r="C3166" i="1"/>
  <c r="B3166" i="1"/>
  <c r="A3166" i="1"/>
  <c r="H3165" i="1"/>
  <c r="G3165" i="1"/>
  <c r="F3165" i="1"/>
  <c r="E3165" i="1"/>
  <c r="D3165" i="1"/>
  <c r="C3165" i="1"/>
  <c r="B3165" i="1"/>
  <c r="A3165" i="1"/>
  <c r="H3164" i="1"/>
  <c r="G3164" i="1"/>
  <c r="F3164" i="1"/>
  <c r="E3164" i="1"/>
  <c r="D3164" i="1"/>
  <c r="C3164" i="1"/>
  <c r="B3164" i="1"/>
  <c r="A3164" i="1"/>
  <c r="H3163" i="1"/>
  <c r="G3163" i="1"/>
  <c r="F3163" i="1"/>
  <c r="E3163" i="1"/>
  <c r="D3163" i="1"/>
  <c r="C3163" i="1"/>
  <c r="B3163" i="1"/>
  <c r="A3163" i="1"/>
  <c r="H3162" i="1"/>
  <c r="G3162" i="1"/>
  <c r="F3162" i="1"/>
  <c r="E3162" i="1"/>
  <c r="D3162" i="1"/>
  <c r="C3162" i="1"/>
  <c r="B3162" i="1"/>
  <c r="A3162" i="1"/>
  <c r="H3161" i="1"/>
  <c r="G3161" i="1"/>
  <c r="F3161" i="1"/>
  <c r="E3161" i="1"/>
  <c r="D3161" i="1"/>
  <c r="C3161" i="1"/>
  <c r="B3161" i="1"/>
  <c r="A3161" i="1"/>
  <c r="H3160" i="1"/>
  <c r="G3160" i="1"/>
  <c r="F3160" i="1"/>
  <c r="E3160" i="1"/>
  <c r="D3160" i="1"/>
  <c r="C3160" i="1"/>
  <c r="B3160" i="1"/>
  <c r="A3160" i="1"/>
  <c r="H3159" i="1"/>
  <c r="G3159" i="1"/>
  <c r="F3159" i="1"/>
  <c r="E3159" i="1"/>
  <c r="D3159" i="1"/>
  <c r="C3159" i="1"/>
  <c r="B3159" i="1"/>
  <c r="A3159" i="1"/>
  <c r="H3158" i="1"/>
  <c r="G3158" i="1"/>
  <c r="F3158" i="1"/>
  <c r="E3158" i="1"/>
  <c r="D3158" i="1"/>
  <c r="C3158" i="1"/>
  <c r="B3158" i="1"/>
  <c r="A3158" i="1"/>
  <c r="H3157" i="1"/>
  <c r="G3157" i="1"/>
  <c r="F3157" i="1"/>
  <c r="E3157" i="1"/>
  <c r="D3157" i="1"/>
  <c r="C3157" i="1"/>
  <c r="B3157" i="1"/>
  <c r="A3157" i="1"/>
  <c r="H3156" i="1"/>
  <c r="G3156" i="1"/>
  <c r="F3156" i="1"/>
  <c r="E3156" i="1"/>
  <c r="D3156" i="1"/>
  <c r="C3156" i="1"/>
  <c r="B3156" i="1"/>
  <c r="A3156" i="1"/>
  <c r="H3155" i="1"/>
  <c r="G3155" i="1"/>
  <c r="F3155" i="1"/>
  <c r="E3155" i="1"/>
  <c r="D3155" i="1"/>
  <c r="C3155" i="1"/>
  <c r="B3155" i="1"/>
  <c r="A3155" i="1"/>
  <c r="H3154" i="1"/>
  <c r="G3154" i="1"/>
  <c r="F3154" i="1"/>
  <c r="E3154" i="1"/>
  <c r="D3154" i="1"/>
  <c r="C3154" i="1"/>
  <c r="B3154" i="1"/>
  <c r="A3154" i="1"/>
  <c r="H3153" i="1"/>
  <c r="G3153" i="1"/>
  <c r="F3153" i="1"/>
  <c r="E3153" i="1"/>
  <c r="D3153" i="1"/>
  <c r="C3153" i="1"/>
  <c r="B3153" i="1"/>
  <c r="A3153" i="1"/>
  <c r="H3152" i="1"/>
  <c r="G3152" i="1"/>
  <c r="F3152" i="1"/>
  <c r="E3152" i="1"/>
  <c r="D3152" i="1"/>
  <c r="C3152" i="1"/>
  <c r="B3152" i="1"/>
  <c r="A3152" i="1"/>
  <c r="H3151" i="1"/>
  <c r="G3151" i="1"/>
  <c r="F3151" i="1"/>
  <c r="E3151" i="1"/>
  <c r="D3151" i="1"/>
  <c r="C3151" i="1"/>
  <c r="B3151" i="1"/>
  <c r="A3151" i="1"/>
  <c r="H3150" i="1"/>
  <c r="G3150" i="1"/>
  <c r="F3150" i="1"/>
  <c r="E3150" i="1"/>
  <c r="D3150" i="1"/>
  <c r="C3150" i="1"/>
  <c r="B3150" i="1"/>
  <c r="A3150" i="1"/>
  <c r="H3149" i="1"/>
  <c r="G3149" i="1"/>
  <c r="F3149" i="1"/>
  <c r="E3149" i="1"/>
  <c r="D3149" i="1"/>
  <c r="C3149" i="1"/>
  <c r="B3149" i="1"/>
  <c r="A3149" i="1"/>
  <c r="H3148" i="1"/>
  <c r="G3148" i="1"/>
  <c r="F3148" i="1"/>
  <c r="E3148" i="1"/>
  <c r="D3148" i="1"/>
  <c r="C3148" i="1"/>
  <c r="B3148" i="1"/>
  <c r="A3148" i="1"/>
  <c r="H3147" i="1"/>
  <c r="G3147" i="1"/>
  <c r="F3147" i="1"/>
  <c r="E3147" i="1"/>
  <c r="D3147" i="1"/>
  <c r="C3147" i="1"/>
  <c r="B3147" i="1"/>
  <c r="A3147" i="1"/>
  <c r="H3146" i="1"/>
  <c r="G3146" i="1"/>
  <c r="F3146" i="1"/>
  <c r="E3146" i="1"/>
  <c r="D3146" i="1"/>
  <c r="C3146" i="1"/>
  <c r="B3146" i="1"/>
  <c r="A3146" i="1"/>
  <c r="H3145" i="1"/>
  <c r="G3145" i="1"/>
  <c r="F3145" i="1"/>
  <c r="E3145" i="1"/>
  <c r="D3145" i="1"/>
  <c r="C3145" i="1"/>
  <c r="B3145" i="1"/>
  <c r="A3145" i="1"/>
  <c r="H3144" i="1"/>
  <c r="G3144" i="1"/>
  <c r="F3144" i="1"/>
  <c r="E3144" i="1"/>
  <c r="D3144" i="1"/>
  <c r="C3144" i="1"/>
  <c r="B3144" i="1"/>
  <c r="A3144" i="1"/>
  <c r="H3143" i="1"/>
  <c r="G3143" i="1"/>
  <c r="F3143" i="1"/>
  <c r="E3143" i="1"/>
  <c r="D3143" i="1"/>
  <c r="C3143" i="1"/>
  <c r="B3143" i="1"/>
  <c r="A3143" i="1"/>
  <c r="H3142" i="1"/>
  <c r="G3142" i="1"/>
  <c r="F3142" i="1"/>
  <c r="E3142" i="1"/>
  <c r="D3142" i="1"/>
  <c r="C3142" i="1"/>
  <c r="B3142" i="1"/>
  <c r="A3142" i="1"/>
  <c r="H3141" i="1"/>
  <c r="G3141" i="1"/>
  <c r="F3141" i="1"/>
  <c r="E3141" i="1"/>
  <c r="D3141" i="1"/>
  <c r="C3141" i="1"/>
  <c r="B3141" i="1"/>
  <c r="A3141" i="1"/>
  <c r="H3140" i="1"/>
  <c r="G3140" i="1"/>
  <c r="F3140" i="1"/>
  <c r="E3140" i="1"/>
  <c r="D3140" i="1"/>
  <c r="C3140" i="1"/>
  <c r="B3140" i="1"/>
  <c r="A3140" i="1"/>
  <c r="H3139" i="1"/>
  <c r="G3139" i="1"/>
  <c r="F3139" i="1"/>
  <c r="E3139" i="1"/>
  <c r="D3139" i="1"/>
  <c r="C3139" i="1"/>
  <c r="B3139" i="1"/>
  <c r="A3139" i="1"/>
  <c r="H3138" i="1"/>
  <c r="G3138" i="1"/>
  <c r="F3138" i="1"/>
  <c r="E3138" i="1"/>
  <c r="D3138" i="1"/>
  <c r="C3138" i="1"/>
  <c r="B3138" i="1"/>
  <c r="A3138" i="1"/>
  <c r="H3137" i="1"/>
  <c r="G3137" i="1"/>
  <c r="F3137" i="1"/>
  <c r="E3137" i="1"/>
  <c r="D3137" i="1"/>
  <c r="C3137" i="1"/>
  <c r="B3137" i="1"/>
  <c r="A3137" i="1"/>
  <c r="H3136" i="1"/>
  <c r="G3136" i="1"/>
  <c r="F3136" i="1"/>
  <c r="E3136" i="1"/>
  <c r="D3136" i="1"/>
  <c r="C3136" i="1"/>
  <c r="B3136" i="1"/>
  <c r="A3136" i="1"/>
  <c r="H3135" i="1"/>
  <c r="G3135" i="1"/>
  <c r="F3135" i="1"/>
  <c r="E3135" i="1"/>
  <c r="D3135" i="1"/>
  <c r="C3135" i="1"/>
  <c r="B3135" i="1"/>
  <c r="A3135" i="1"/>
  <c r="H3134" i="1"/>
  <c r="G3134" i="1"/>
  <c r="F3134" i="1"/>
  <c r="E3134" i="1"/>
  <c r="D3134" i="1"/>
  <c r="C3134" i="1"/>
  <c r="B3134" i="1"/>
  <c r="A3134" i="1"/>
  <c r="H3133" i="1"/>
  <c r="G3133" i="1"/>
  <c r="F3133" i="1"/>
  <c r="E3133" i="1"/>
  <c r="D3133" i="1"/>
  <c r="C3133" i="1"/>
  <c r="B3133" i="1"/>
  <c r="A3133" i="1"/>
  <c r="H3132" i="1"/>
  <c r="G3132" i="1"/>
  <c r="F3132" i="1"/>
  <c r="E3132" i="1"/>
  <c r="D3132" i="1"/>
  <c r="C3132" i="1"/>
  <c r="B3132" i="1"/>
  <c r="A3132" i="1"/>
  <c r="H3131" i="1"/>
  <c r="G3131" i="1"/>
  <c r="F3131" i="1"/>
  <c r="E3131" i="1"/>
  <c r="D3131" i="1"/>
  <c r="C3131" i="1"/>
  <c r="B3131" i="1"/>
  <c r="A3131" i="1"/>
  <c r="H3130" i="1"/>
  <c r="G3130" i="1"/>
  <c r="F3130" i="1"/>
  <c r="E3130" i="1"/>
  <c r="D3130" i="1"/>
  <c r="C3130" i="1"/>
  <c r="B3130" i="1"/>
  <c r="A3130" i="1"/>
  <c r="H3129" i="1"/>
  <c r="G3129" i="1"/>
  <c r="F3129" i="1"/>
  <c r="E3129" i="1"/>
  <c r="D3129" i="1"/>
  <c r="C3129" i="1"/>
  <c r="B3129" i="1"/>
  <c r="A3129" i="1"/>
  <c r="H3128" i="1"/>
  <c r="G3128" i="1"/>
  <c r="F3128" i="1"/>
  <c r="E3128" i="1"/>
  <c r="D3128" i="1"/>
  <c r="C3128" i="1"/>
  <c r="B3128" i="1"/>
  <c r="A3128" i="1"/>
  <c r="H3127" i="1"/>
  <c r="G3127" i="1"/>
  <c r="F3127" i="1"/>
  <c r="E3127" i="1"/>
  <c r="D3127" i="1"/>
  <c r="C3127" i="1"/>
  <c r="B3127" i="1"/>
  <c r="A3127" i="1"/>
  <c r="H3126" i="1"/>
  <c r="G3126" i="1"/>
  <c r="F3126" i="1"/>
  <c r="E3126" i="1"/>
  <c r="D3126" i="1"/>
  <c r="C3126" i="1"/>
  <c r="B3126" i="1"/>
  <c r="A3126" i="1"/>
  <c r="H3125" i="1"/>
  <c r="G3125" i="1"/>
  <c r="F3125" i="1"/>
  <c r="E3125" i="1"/>
  <c r="D3125" i="1"/>
  <c r="C3125" i="1"/>
  <c r="B3125" i="1"/>
  <c r="A3125" i="1"/>
  <c r="H3124" i="1"/>
  <c r="G3124" i="1"/>
  <c r="F3124" i="1"/>
  <c r="E3124" i="1"/>
  <c r="D3124" i="1"/>
  <c r="C3124" i="1"/>
  <c r="B3124" i="1"/>
  <c r="A3124" i="1"/>
  <c r="H3123" i="1"/>
  <c r="G3123" i="1"/>
  <c r="F3123" i="1"/>
  <c r="E3123" i="1"/>
  <c r="D3123" i="1"/>
  <c r="C3123" i="1"/>
  <c r="B3123" i="1"/>
  <c r="A3123" i="1"/>
  <c r="H3122" i="1"/>
  <c r="G3122" i="1"/>
  <c r="F3122" i="1"/>
  <c r="E3122" i="1"/>
  <c r="D3122" i="1"/>
  <c r="C3122" i="1"/>
  <c r="B3122" i="1"/>
  <c r="A3122" i="1"/>
  <c r="H3121" i="1"/>
  <c r="G3121" i="1"/>
  <c r="F3121" i="1"/>
  <c r="E3121" i="1"/>
  <c r="D3121" i="1"/>
  <c r="C3121" i="1"/>
  <c r="B3121" i="1"/>
  <c r="A3121" i="1"/>
  <c r="H3120" i="1"/>
  <c r="G3120" i="1"/>
  <c r="F3120" i="1"/>
  <c r="E3120" i="1"/>
  <c r="D3120" i="1"/>
  <c r="C3120" i="1"/>
  <c r="B3120" i="1"/>
  <c r="A3120" i="1"/>
  <c r="H3119" i="1"/>
  <c r="G3119" i="1"/>
  <c r="F3119" i="1"/>
  <c r="E3119" i="1"/>
  <c r="D3119" i="1"/>
  <c r="C3119" i="1"/>
  <c r="B3119" i="1"/>
  <c r="A3119" i="1"/>
  <c r="H3118" i="1"/>
  <c r="G3118" i="1"/>
  <c r="F3118" i="1"/>
  <c r="E3118" i="1"/>
  <c r="D3118" i="1"/>
  <c r="C3118" i="1"/>
  <c r="B3118" i="1"/>
  <c r="A3118" i="1"/>
  <c r="H3117" i="1"/>
  <c r="G3117" i="1"/>
  <c r="F3117" i="1"/>
  <c r="E3117" i="1"/>
  <c r="D3117" i="1"/>
  <c r="C3117" i="1"/>
  <c r="B3117" i="1"/>
  <c r="A3117" i="1"/>
  <c r="H3116" i="1"/>
  <c r="G3116" i="1"/>
  <c r="F3116" i="1"/>
  <c r="E3116" i="1"/>
  <c r="D3116" i="1"/>
  <c r="C3116" i="1"/>
  <c r="B3116" i="1"/>
  <c r="A3116" i="1"/>
  <c r="H3115" i="1"/>
  <c r="G3115" i="1"/>
  <c r="F3115" i="1"/>
  <c r="E3115" i="1"/>
  <c r="D3115" i="1"/>
  <c r="C3115" i="1"/>
  <c r="B3115" i="1"/>
  <c r="A3115" i="1"/>
  <c r="H3114" i="1"/>
  <c r="G3114" i="1"/>
  <c r="F3114" i="1"/>
  <c r="E3114" i="1"/>
  <c r="D3114" i="1"/>
  <c r="C3114" i="1"/>
  <c r="B3114" i="1"/>
  <c r="A3114" i="1"/>
  <c r="H3113" i="1"/>
  <c r="G3113" i="1"/>
  <c r="F3113" i="1"/>
  <c r="E3113" i="1"/>
  <c r="D3113" i="1"/>
  <c r="C3113" i="1"/>
  <c r="B3113" i="1"/>
  <c r="A3113" i="1"/>
  <c r="H3112" i="1"/>
  <c r="G3112" i="1"/>
  <c r="F3112" i="1"/>
  <c r="E3112" i="1"/>
  <c r="D3112" i="1"/>
  <c r="C3112" i="1"/>
  <c r="B3112" i="1"/>
  <c r="A3112" i="1"/>
  <c r="H3111" i="1"/>
  <c r="G3111" i="1"/>
  <c r="F3111" i="1"/>
  <c r="E3111" i="1"/>
  <c r="D3111" i="1"/>
  <c r="C3111" i="1"/>
  <c r="B3111" i="1"/>
  <c r="A3111" i="1"/>
  <c r="H3110" i="1"/>
  <c r="G3110" i="1"/>
  <c r="F3110" i="1"/>
  <c r="E3110" i="1"/>
  <c r="D3110" i="1"/>
  <c r="C3110" i="1"/>
  <c r="B3110" i="1"/>
  <c r="A3110" i="1"/>
  <c r="H3109" i="1"/>
  <c r="G3109" i="1"/>
  <c r="F3109" i="1"/>
  <c r="E3109" i="1"/>
  <c r="D3109" i="1"/>
  <c r="C3109" i="1"/>
  <c r="B3109" i="1"/>
  <c r="A3109" i="1"/>
  <c r="H3108" i="1"/>
  <c r="G3108" i="1"/>
  <c r="F3108" i="1"/>
  <c r="E3108" i="1"/>
  <c r="D3108" i="1"/>
  <c r="C3108" i="1"/>
  <c r="B3108" i="1"/>
  <c r="A3108" i="1"/>
  <c r="H3107" i="1"/>
  <c r="G3107" i="1"/>
  <c r="F3107" i="1"/>
  <c r="E3107" i="1"/>
  <c r="D3107" i="1"/>
  <c r="C3107" i="1"/>
  <c r="B3107" i="1"/>
  <c r="A3107" i="1"/>
  <c r="H3106" i="1"/>
  <c r="G3106" i="1"/>
  <c r="F3106" i="1"/>
  <c r="E3106" i="1"/>
  <c r="D3106" i="1"/>
  <c r="C3106" i="1"/>
  <c r="B3106" i="1"/>
  <c r="A3106" i="1"/>
  <c r="H3105" i="1"/>
  <c r="G3105" i="1"/>
  <c r="F3105" i="1"/>
  <c r="E3105" i="1"/>
  <c r="D3105" i="1"/>
  <c r="C3105" i="1"/>
  <c r="B3105" i="1"/>
  <c r="A3105" i="1"/>
  <c r="H3104" i="1"/>
  <c r="G3104" i="1"/>
  <c r="F3104" i="1"/>
  <c r="E3104" i="1"/>
  <c r="D3104" i="1"/>
  <c r="C3104" i="1"/>
  <c r="B3104" i="1"/>
  <c r="A3104" i="1"/>
  <c r="H3103" i="1"/>
  <c r="G3103" i="1"/>
  <c r="F3103" i="1"/>
  <c r="E3103" i="1"/>
  <c r="D3103" i="1"/>
  <c r="C3103" i="1"/>
  <c r="B3103" i="1"/>
  <c r="A3103" i="1"/>
  <c r="H3102" i="1"/>
  <c r="G3102" i="1"/>
  <c r="F3102" i="1"/>
  <c r="E3102" i="1"/>
  <c r="D3102" i="1"/>
  <c r="C3102" i="1"/>
  <c r="B3102" i="1"/>
  <c r="A3102" i="1"/>
  <c r="H3101" i="1"/>
  <c r="G3101" i="1"/>
  <c r="F3101" i="1"/>
  <c r="E3101" i="1"/>
  <c r="D3101" i="1"/>
  <c r="C3101" i="1"/>
  <c r="B3101" i="1"/>
  <c r="A3101" i="1"/>
  <c r="H3100" i="1"/>
  <c r="G3100" i="1"/>
  <c r="F3100" i="1"/>
  <c r="E3100" i="1"/>
  <c r="D3100" i="1"/>
  <c r="C3100" i="1"/>
  <c r="B3100" i="1"/>
  <c r="A3100" i="1"/>
  <c r="H3099" i="1"/>
  <c r="G3099" i="1"/>
  <c r="F3099" i="1"/>
  <c r="E3099" i="1"/>
  <c r="D3099" i="1"/>
  <c r="C3099" i="1"/>
  <c r="B3099" i="1"/>
  <c r="A3099" i="1"/>
  <c r="H3098" i="1"/>
  <c r="G3098" i="1"/>
  <c r="F3098" i="1"/>
  <c r="E3098" i="1"/>
  <c r="D3098" i="1"/>
  <c r="C3098" i="1"/>
  <c r="B3098" i="1"/>
  <c r="A3098" i="1"/>
  <c r="H3097" i="1"/>
  <c r="G3097" i="1"/>
  <c r="F3097" i="1"/>
  <c r="E3097" i="1"/>
  <c r="D3097" i="1"/>
  <c r="C3097" i="1"/>
  <c r="B3097" i="1"/>
  <c r="A3097" i="1"/>
  <c r="H3096" i="1"/>
  <c r="G3096" i="1"/>
  <c r="F3096" i="1"/>
  <c r="E3096" i="1"/>
  <c r="D3096" i="1"/>
  <c r="C3096" i="1"/>
  <c r="B3096" i="1"/>
  <c r="A3096" i="1"/>
  <c r="H3095" i="1"/>
  <c r="G3095" i="1"/>
  <c r="F3095" i="1"/>
  <c r="E3095" i="1"/>
  <c r="D3095" i="1"/>
  <c r="C3095" i="1"/>
  <c r="B3095" i="1"/>
  <c r="A3095" i="1"/>
  <c r="H3094" i="1"/>
  <c r="G3094" i="1"/>
  <c r="F3094" i="1"/>
  <c r="E3094" i="1"/>
  <c r="D3094" i="1"/>
  <c r="C3094" i="1"/>
  <c r="B3094" i="1"/>
  <c r="A3094" i="1"/>
  <c r="H3093" i="1"/>
  <c r="G3093" i="1"/>
  <c r="F3093" i="1"/>
  <c r="E3093" i="1"/>
  <c r="D3093" i="1"/>
  <c r="C3093" i="1"/>
  <c r="B3093" i="1"/>
  <c r="A3093" i="1"/>
  <c r="H3092" i="1"/>
  <c r="G3092" i="1"/>
  <c r="F3092" i="1"/>
  <c r="E3092" i="1"/>
  <c r="D3092" i="1"/>
  <c r="C3092" i="1"/>
  <c r="B3092" i="1"/>
  <c r="A3092" i="1"/>
  <c r="H3091" i="1"/>
  <c r="G3091" i="1"/>
  <c r="F3091" i="1"/>
  <c r="E3091" i="1"/>
  <c r="D3091" i="1"/>
  <c r="C3091" i="1"/>
  <c r="B3091" i="1"/>
  <c r="A3091" i="1"/>
  <c r="H3090" i="1"/>
  <c r="G3090" i="1"/>
  <c r="F3090" i="1"/>
  <c r="E3090" i="1"/>
  <c r="D3090" i="1"/>
  <c r="C3090" i="1"/>
  <c r="B3090" i="1"/>
  <c r="A3090" i="1"/>
  <c r="H3089" i="1"/>
  <c r="G3089" i="1"/>
  <c r="F3089" i="1"/>
  <c r="E3089" i="1"/>
  <c r="D3089" i="1"/>
  <c r="C3089" i="1"/>
  <c r="B3089" i="1"/>
  <c r="A3089" i="1"/>
  <c r="H3088" i="1"/>
  <c r="G3088" i="1"/>
  <c r="F3088" i="1"/>
  <c r="E3088" i="1"/>
  <c r="D3088" i="1"/>
  <c r="C3088" i="1"/>
  <c r="B3088" i="1"/>
  <c r="A3088" i="1"/>
  <c r="H3087" i="1"/>
  <c r="G3087" i="1"/>
  <c r="F3087" i="1"/>
  <c r="E3087" i="1"/>
  <c r="D3087" i="1"/>
  <c r="C3087" i="1"/>
  <c r="B3087" i="1"/>
  <c r="A3087" i="1"/>
  <c r="H3086" i="1"/>
  <c r="G3086" i="1"/>
  <c r="F3086" i="1"/>
  <c r="E3086" i="1"/>
  <c r="D3086" i="1"/>
  <c r="C3086" i="1"/>
  <c r="B3086" i="1"/>
  <c r="A3086" i="1"/>
  <c r="H3085" i="1"/>
  <c r="G3085" i="1"/>
  <c r="F3085" i="1"/>
  <c r="E3085" i="1"/>
  <c r="D3085" i="1"/>
  <c r="C3085" i="1"/>
  <c r="B3085" i="1"/>
  <c r="A3085" i="1"/>
  <c r="H3084" i="1"/>
  <c r="G3084" i="1"/>
  <c r="F3084" i="1"/>
  <c r="E3084" i="1"/>
  <c r="D3084" i="1"/>
  <c r="C3084" i="1"/>
  <c r="B3084" i="1"/>
  <c r="A3084" i="1"/>
  <c r="H3083" i="1"/>
  <c r="G3083" i="1"/>
  <c r="F3083" i="1"/>
  <c r="E3083" i="1"/>
  <c r="D3083" i="1"/>
  <c r="C3083" i="1"/>
  <c r="B3083" i="1"/>
  <c r="A3083" i="1"/>
  <c r="H3082" i="1"/>
  <c r="G3082" i="1"/>
  <c r="F3082" i="1"/>
  <c r="E3082" i="1"/>
  <c r="D3082" i="1"/>
  <c r="C3082" i="1"/>
  <c r="B3082" i="1"/>
  <c r="A3082" i="1"/>
  <c r="H3081" i="1"/>
  <c r="G3081" i="1"/>
  <c r="F3081" i="1"/>
  <c r="E3081" i="1"/>
  <c r="D3081" i="1"/>
  <c r="C3081" i="1"/>
  <c r="B3081" i="1"/>
  <c r="A3081" i="1"/>
  <c r="H3080" i="1"/>
  <c r="G3080" i="1"/>
  <c r="F3080" i="1"/>
  <c r="E3080" i="1"/>
  <c r="D3080" i="1"/>
  <c r="C3080" i="1"/>
  <c r="B3080" i="1"/>
  <c r="A3080" i="1"/>
  <c r="H3079" i="1"/>
  <c r="G3079" i="1"/>
  <c r="F3079" i="1"/>
  <c r="E3079" i="1"/>
  <c r="D3079" i="1"/>
  <c r="C3079" i="1"/>
  <c r="B3079" i="1"/>
  <c r="A3079" i="1"/>
  <c r="H3078" i="1"/>
  <c r="G3078" i="1"/>
  <c r="F3078" i="1"/>
  <c r="E3078" i="1"/>
  <c r="D3078" i="1"/>
  <c r="C3078" i="1"/>
  <c r="B3078" i="1"/>
  <c r="A3078" i="1"/>
  <c r="H3077" i="1"/>
  <c r="G3077" i="1"/>
  <c r="F3077" i="1"/>
  <c r="E3077" i="1"/>
  <c r="D3077" i="1"/>
  <c r="C3077" i="1"/>
  <c r="B3077" i="1"/>
  <c r="A3077" i="1"/>
  <c r="H3076" i="1"/>
  <c r="G3076" i="1"/>
  <c r="F3076" i="1"/>
  <c r="E3076" i="1"/>
  <c r="D3076" i="1"/>
  <c r="C3076" i="1"/>
  <c r="B3076" i="1"/>
  <c r="A3076" i="1"/>
  <c r="H3075" i="1"/>
  <c r="G3075" i="1"/>
  <c r="F3075" i="1"/>
  <c r="E3075" i="1"/>
  <c r="D3075" i="1"/>
  <c r="C3075" i="1"/>
  <c r="B3075" i="1"/>
  <c r="A3075" i="1"/>
  <c r="H3074" i="1"/>
  <c r="G3074" i="1"/>
  <c r="F3074" i="1"/>
  <c r="E3074" i="1"/>
  <c r="D3074" i="1"/>
  <c r="C3074" i="1"/>
  <c r="B3074" i="1"/>
  <c r="A3074" i="1"/>
  <c r="H3073" i="1"/>
  <c r="G3073" i="1"/>
  <c r="F3073" i="1"/>
  <c r="E3073" i="1"/>
  <c r="D3073" i="1"/>
  <c r="C3073" i="1"/>
  <c r="B3073" i="1"/>
  <c r="A3073" i="1"/>
  <c r="H3072" i="1"/>
  <c r="G3072" i="1"/>
  <c r="F3072" i="1"/>
  <c r="E3072" i="1"/>
  <c r="D3072" i="1"/>
  <c r="C3072" i="1"/>
  <c r="B3072" i="1"/>
  <c r="A3072" i="1"/>
  <c r="H3071" i="1"/>
  <c r="G3071" i="1"/>
  <c r="F3071" i="1"/>
  <c r="E3071" i="1"/>
  <c r="D3071" i="1"/>
  <c r="C3071" i="1"/>
  <c r="B3071" i="1"/>
  <c r="A3071" i="1"/>
  <c r="H3070" i="1"/>
  <c r="G3070" i="1"/>
  <c r="F3070" i="1"/>
  <c r="E3070" i="1"/>
  <c r="D3070" i="1"/>
  <c r="C3070" i="1"/>
  <c r="B3070" i="1"/>
  <c r="A3070" i="1"/>
  <c r="H3069" i="1"/>
  <c r="G3069" i="1"/>
  <c r="F3069" i="1"/>
  <c r="E3069" i="1"/>
  <c r="D3069" i="1"/>
  <c r="C3069" i="1"/>
  <c r="B3069" i="1"/>
  <c r="A3069" i="1"/>
  <c r="H3068" i="1"/>
  <c r="G3068" i="1"/>
  <c r="F3068" i="1"/>
  <c r="E3068" i="1"/>
  <c r="D3068" i="1"/>
  <c r="C3068" i="1"/>
  <c r="B3068" i="1"/>
  <c r="A3068" i="1"/>
  <c r="H3067" i="1"/>
  <c r="G3067" i="1"/>
  <c r="F3067" i="1"/>
  <c r="E3067" i="1"/>
  <c r="D3067" i="1"/>
  <c r="C3067" i="1"/>
  <c r="B3067" i="1"/>
  <c r="A3067" i="1"/>
  <c r="H3066" i="1"/>
  <c r="G3066" i="1"/>
  <c r="F3066" i="1"/>
  <c r="E3066" i="1"/>
  <c r="D3066" i="1"/>
  <c r="C3066" i="1"/>
  <c r="B3066" i="1"/>
  <c r="A3066" i="1"/>
  <c r="H3065" i="1"/>
  <c r="G3065" i="1"/>
  <c r="F3065" i="1"/>
  <c r="E3065" i="1"/>
  <c r="D3065" i="1"/>
  <c r="C3065" i="1"/>
  <c r="B3065" i="1"/>
  <c r="A3065" i="1"/>
  <c r="H3064" i="1"/>
  <c r="G3064" i="1"/>
  <c r="F3064" i="1"/>
  <c r="E3064" i="1"/>
  <c r="D3064" i="1"/>
  <c r="C3064" i="1"/>
  <c r="B3064" i="1"/>
  <c r="A3064" i="1"/>
  <c r="H3063" i="1"/>
  <c r="G3063" i="1"/>
  <c r="F3063" i="1"/>
  <c r="E3063" i="1"/>
  <c r="D3063" i="1"/>
  <c r="C3063" i="1"/>
  <c r="B3063" i="1"/>
  <c r="A3063" i="1"/>
  <c r="H3062" i="1"/>
  <c r="G3062" i="1"/>
  <c r="F3062" i="1"/>
  <c r="E3062" i="1"/>
  <c r="D3062" i="1"/>
  <c r="C3062" i="1"/>
  <c r="B3062" i="1"/>
  <c r="A3062" i="1"/>
  <c r="H3061" i="1"/>
  <c r="G3061" i="1"/>
  <c r="F3061" i="1"/>
  <c r="E3061" i="1"/>
  <c r="D3061" i="1"/>
  <c r="C3061" i="1"/>
  <c r="B3061" i="1"/>
  <c r="A3061" i="1"/>
  <c r="H3060" i="1"/>
  <c r="G3060" i="1"/>
  <c r="F3060" i="1"/>
  <c r="E3060" i="1"/>
  <c r="D3060" i="1"/>
  <c r="C3060" i="1"/>
  <c r="B3060" i="1"/>
  <c r="A3060" i="1"/>
  <c r="H3059" i="1"/>
  <c r="G3059" i="1"/>
  <c r="F3059" i="1"/>
  <c r="E3059" i="1"/>
  <c r="D3059" i="1"/>
  <c r="C3059" i="1"/>
  <c r="B3059" i="1"/>
  <c r="A3059" i="1"/>
  <c r="H3058" i="1"/>
  <c r="G3058" i="1"/>
  <c r="F3058" i="1"/>
  <c r="E3058" i="1"/>
  <c r="D3058" i="1"/>
  <c r="C3058" i="1"/>
  <c r="B3058" i="1"/>
  <c r="A3058" i="1"/>
  <c r="H3057" i="1"/>
  <c r="G3057" i="1"/>
  <c r="F3057" i="1"/>
  <c r="E3057" i="1"/>
  <c r="D3057" i="1"/>
  <c r="C3057" i="1"/>
  <c r="B3057" i="1"/>
  <c r="A3057" i="1"/>
  <c r="H3056" i="1"/>
  <c r="G3056" i="1"/>
  <c r="F3056" i="1"/>
  <c r="E3056" i="1"/>
  <c r="D3056" i="1"/>
  <c r="C3056" i="1"/>
  <c r="B3056" i="1"/>
  <c r="A3056" i="1"/>
  <c r="H3055" i="1"/>
  <c r="G3055" i="1"/>
  <c r="F3055" i="1"/>
  <c r="E3055" i="1"/>
  <c r="D3055" i="1"/>
  <c r="C3055" i="1"/>
  <c r="B3055" i="1"/>
  <c r="A3055" i="1"/>
  <c r="H3054" i="1"/>
  <c r="G3054" i="1"/>
  <c r="F3054" i="1"/>
  <c r="E3054" i="1"/>
  <c r="D3054" i="1"/>
  <c r="C3054" i="1"/>
  <c r="B3054" i="1"/>
  <c r="A3054" i="1"/>
  <c r="H3053" i="1"/>
  <c r="G3053" i="1"/>
  <c r="F3053" i="1"/>
  <c r="E3053" i="1"/>
  <c r="D3053" i="1"/>
  <c r="C3053" i="1"/>
  <c r="B3053" i="1"/>
  <c r="A3053" i="1"/>
  <c r="H3052" i="1"/>
  <c r="G3052" i="1"/>
  <c r="F3052" i="1"/>
  <c r="E3052" i="1"/>
  <c r="D3052" i="1"/>
  <c r="C3052" i="1"/>
  <c r="B3052" i="1"/>
  <c r="A3052" i="1"/>
  <c r="H3051" i="1"/>
  <c r="G3051" i="1"/>
  <c r="F3051" i="1"/>
  <c r="E3051" i="1"/>
  <c r="D3051" i="1"/>
  <c r="C3051" i="1"/>
  <c r="B3051" i="1"/>
  <c r="A3051" i="1"/>
  <c r="H3050" i="1"/>
  <c r="G3050" i="1"/>
  <c r="F3050" i="1"/>
  <c r="E3050" i="1"/>
  <c r="D3050" i="1"/>
  <c r="C3050" i="1"/>
  <c r="B3050" i="1"/>
  <c r="A3050" i="1"/>
  <c r="H3049" i="1"/>
  <c r="G3049" i="1"/>
  <c r="F3049" i="1"/>
  <c r="E3049" i="1"/>
  <c r="D3049" i="1"/>
  <c r="C3049" i="1"/>
  <c r="B3049" i="1"/>
  <c r="A3049" i="1"/>
  <c r="H3048" i="1"/>
  <c r="G3048" i="1"/>
  <c r="F3048" i="1"/>
  <c r="E3048" i="1"/>
  <c r="D3048" i="1"/>
  <c r="C3048" i="1"/>
  <c r="B3048" i="1"/>
  <c r="A3048" i="1"/>
  <c r="H3047" i="1"/>
  <c r="G3047" i="1"/>
  <c r="F3047" i="1"/>
  <c r="E3047" i="1"/>
  <c r="D3047" i="1"/>
  <c r="C3047" i="1"/>
  <c r="B3047" i="1"/>
  <c r="A3047" i="1"/>
  <c r="H3046" i="1"/>
  <c r="G3046" i="1"/>
  <c r="F3046" i="1"/>
  <c r="E3046" i="1"/>
  <c r="D3046" i="1"/>
  <c r="C3046" i="1"/>
  <c r="B3046" i="1"/>
  <c r="A3046" i="1"/>
  <c r="H3045" i="1"/>
  <c r="G3045" i="1"/>
  <c r="F3045" i="1"/>
  <c r="E3045" i="1"/>
  <c r="D3045" i="1"/>
  <c r="C3045" i="1"/>
  <c r="B3045" i="1"/>
  <c r="A3045" i="1"/>
  <c r="H3044" i="1"/>
  <c r="G3044" i="1"/>
  <c r="F3044" i="1"/>
  <c r="E3044" i="1"/>
  <c r="D3044" i="1"/>
  <c r="C3044" i="1"/>
  <c r="B3044" i="1"/>
  <c r="A3044" i="1"/>
  <c r="H3043" i="1"/>
  <c r="G3043" i="1"/>
  <c r="F3043" i="1"/>
  <c r="E3043" i="1"/>
  <c r="D3043" i="1"/>
  <c r="C3043" i="1"/>
  <c r="B3043" i="1"/>
  <c r="A3043" i="1"/>
  <c r="H3042" i="1"/>
  <c r="G3042" i="1"/>
  <c r="F3042" i="1"/>
  <c r="E3042" i="1"/>
  <c r="D3042" i="1"/>
  <c r="C3042" i="1"/>
  <c r="B3042" i="1"/>
  <c r="A3042" i="1"/>
  <c r="H3041" i="1"/>
  <c r="G3041" i="1"/>
  <c r="F3041" i="1"/>
  <c r="E3041" i="1"/>
  <c r="D3041" i="1"/>
  <c r="C3041" i="1"/>
  <c r="B3041" i="1"/>
  <c r="A3041" i="1"/>
  <c r="H3040" i="1"/>
  <c r="G3040" i="1"/>
  <c r="F3040" i="1"/>
  <c r="E3040" i="1"/>
  <c r="D3040" i="1"/>
  <c r="C3040" i="1"/>
  <c r="B3040" i="1"/>
  <c r="A3040" i="1"/>
  <c r="H3039" i="1"/>
  <c r="G3039" i="1"/>
  <c r="F3039" i="1"/>
  <c r="E3039" i="1"/>
  <c r="D3039" i="1"/>
  <c r="C3039" i="1"/>
  <c r="B3039" i="1"/>
  <c r="A3039" i="1"/>
  <c r="H3038" i="1"/>
  <c r="G3038" i="1"/>
  <c r="F3038" i="1"/>
  <c r="E3038" i="1"/>
  <c r="D3038" i="1"/>
  <c r="C3038" i="1"/>
  <c r="B3038" i="1"/>
  <c r="A3038" i="1"/>
  <c r="H3037" i="1"/>
  <c r="G3037" i="1"/>
  <c r="F3037" i="1"/>
  <c r="E3037" i="1"/>
  <c r="D3037" i="1"/>
  <c r="C3037" i="1"/>
  <c r="B3037" i="1"/>
  <c r="A3037" i="1"/>
  <c r="H3036" i="1"/>
  <c r="G3036" i="1"/>
  <c r="F3036" i="1"/>
  <c r="E3036" i="1"/>
  <c r="D3036" i="1"/>
  <c r="C3036" i="1"/>
  <c r="B3036" i="1"/>
  <c r="A3036" i="1"/>
  <c r="H3035" i="1"/>
  <c r="G3035" i="1"/>
  <c r="F3035" i="1"/>
  <c r="E3035" i="1"/>
  <c r="D3035" i="1"/>
  <c r="C3035" i="1"/>
  <c r="B3035" i="1"/>
  <c r="A3035" i="1"/>
  <c r="H3034" i="1"/>
  <c r="G3034" i="1"/>
  <c r="F3034" i="1"/>
  <c r="E3034" i="1"/>
  <c r="D3034" i="1"/>
  <c r="C3034" i="1"/>
  <c r="B3034" i="1"/>
  <c r="A3034" i="1"/>
  <c r="H3033" i="1"/>
  <c r="G3033" i="1"/>
  <c r="F3033" i="1"/>
  <c r="E3033" i="1"/>
  <c r="D3033" i="1"/>
  <c r="C3033" i="1"/>
  <c r="B3033" i="1"/>
  <c r="A3033" i="1"/>
  <c r="H3032" i="1"/>
  <c r="G3032" i="1"/>
  <c r="F3032" i="1"/>
  <c r="E3032" i="1"/>
  <c r="D3032" i="1"/>
  <c r="C3032" i="1"/>
  <c r="B3032" i="1"/>
  <c r="A3032" i="1"/>
  <c r="H3031" i="1"/>
  <c r="G3031" i="1"/>
  <c r="F3031" i="1"/>
  <c r="E3031" i="1"/>
  <c r="D3031" i="1"/>
  <c r="C3031" i="1"/>
  <c r="B3031" i="1"/>
  <c r="A3031" i="1"/>
  <c r="H3030" i="1"/>
  <c r="G3030" i="1"/>
  <c r="F3030" i="1"/>
  <c r="E3030" i="1"/>
  <c r="D3030" i="1"/>
  <c r="C3030" i="1"/>
  <c r="B3030" i="1"/>
  <c r="A3030" i="1"/>
  <c r="H3029" i="1"/>
  <c r="G3029" i="1"/>
  <c r="F3029" i="1"/>
  <c r="E3029" i="1"/>
  <c r="D3029" i="1"/>
  <c r="C3029" i="1"/>
  <c r="B3029" i="1"/>
  <c r="A3029" i="1"/>
  <c r="H3028" i="1"/>
  <c r="G3028" i="1"/>
  <c r="F3028" i="1"/>
  <c r="E3028" i="1"/>
  <c r="D3028" i="1"/>
  <c r="C3028" i="1"/>
  <c r="B3028" i="1"/>
  <c r="A3028" i="1"/>
  <c r="H3027" i="1"/>
  <c r="G3027" i="1"/>
  <c r="F3027" i="1"/>
  <c r="E3027" i="1"/>
  <c r="D3027" i="1"/>
  <c r="C3027" i="1"/>
  <c r="B3027" i="1"/>
  <c r="A3027" i="1"/>
  <c r="H3026" i="1"/>
  <c r="G3026" i="1"/>
  <c r="F3026" i="1"/>
  <c r="E3026" i="1"/>
  <c r="D3026" i="1"/>
  <c r="C3026" i="1"/>
  <c r="B3026" i="1"/>
  <c r="A3026" i="1"/>
  <c r="H3025" i="1"/>
  <c r="G3025" i="1"/>
  <c r="F3025" i="1"/>
  <c r="E3025" i="1"/>
  <c r="D3025" i="1"/>
  <c r="C3025" i="1"/>
  <c r="B3025" i="1"/>
  <c r="A3025" i="1"/>
  <c r="H3024" i="1"/>
  <c r="G3024" i="1"/>
  <c r="F3024" i="1"/>
  <c r="E3024" i="1"/>
  <c r="D3024" i="1"/>
  <c r="C3024" i="1"/>
  <c r="B3024" i="1"/>
  <c r="A3024" i="1"/>
  <c r="H3023" i="1"/>
  <c r="G3023" i="1"/>
  <c r="F3023" i="1"/>
  <c r="E3023" i="1"/>
  <c r="D3023" i="1"/>
  <c r="C3023" i="1"/>
  <c r="B3023" i="1"/>
  <c r="A3023" i="1"/>
  <c r="H3022" i="1"/>
  <c r="G3022" i="1"/>
  <c r="F3022" i="1"/>
  <c r="E3022" i="1"/>
  <c r="D3022" i="1"/>
  <c r="C3022" i="1"/>
  <c r="B3022" i="1"/>
  <c r="A3022" i="1"/>
  <c r="H3021" i="1"/>
  <c r="G3021" i="1"/>
  <c r="F3021" i="1"/>
  <c r="E3021" i="1"/>
  <c r="D3021" i="1"/>
  <c r="C3021" i="1"/>
  <c r="B3021" i="1"/>
  <c r="A3021" i="1"/>
  <c r="H3020" i="1"/>
  <c r="G3020" i="1"/>
  <c r="F3020" i="1"/>
  <c r="E3020" i="1"/>
  <c r="D3020" i="1"/>
  <c r="C3020" i="1"/>
  <c r="B3020" i="1"/>
  <c r="A3020" i="1"/>
  <c r="H3019" i="1"/>
  <c r="G3019" i="1"/>
  <c r="F3019" i="1"/>
  <c r="E3019" i="1"/>
  <c r="D3019" i="1"/>
  <c r="C3019" i="1"/>
  <c r="B3019" i="1"/>
  <c r="A3019" i="1"/>
  <c r="H3018" i="1"/>
  <c r="G3018" i="1"/>
  <c r="F3018" i="1"/>
  <c r="E3018" i="1"/>
  <c r="D3018" i="1"/>
  <c r="C3018" i="1"/>
  <c r="B3018" i="1"/>
  <c r="A3018" i="1"/>
  <c r="H3017" i="1"/>
  <c r="G3017" i="1"/>
  <c r="F3017" i="1"/>
  <c r="E3017" i="1"/>
  <c r="D3017" i="1"/>
  <c r="C3017" i="1"/>
  <c r="B3017" i="1"/>
  <c r="A3017" i="1"/>
  <c r="H3016" i="1"/>
  <c r="G3016" i="1"/>
  <c r="F3016" i="1"/>
  <c r="E3016" i="1"/>
  <c r="D3016" i="1"/>
  <c r="C3016" i="1"/>
  <c r="B3016" i="1"/>
  <c r="A3016" i="1"/>
  <c r="H3015" i="1"/>
  <c r="G3015" i="1"/>
  <c r="F3015" i="1"/>
  <c r="E3015" i="1"/>
  <c r="D3015" i="1"/>
  <c r="C3015" i="1"/>
  <c r="B3015" i="1"/>
  <c r="A3015" i="1"/>
  <c r="H3014" i="1"/>
  <c r="G3014" i="1"/>
  <c r="F3014" i="1"/>
  <c r="E3014" i="1"/>
  <c r="D3014" i="1"/>
  <c r="C3014" i="1"/>
  <c r="B3014" i="1"/>
  <c r="A3014" i="1"/>
  <c r="H3013" i="1"/>
  <c r="G3013" i="1"/>
  <c r="F3013" i="1"/>
  <c r="E3013" i="1"/>
  <c r="D3013" i="1"/>
  <c r="C3013" i="1"/>
  <c r="B3013" i="1"/>
  <c r="A3013" i="1"/>
  <c r="H3012" i="1"/>
  <c r="G3012" i="1"/>
  <c r="F3012" i="1"/>
  <c r="E3012" i="1"/>
  <c r="D3012" i="1"/>
  <c r="C3012" i="1"/>
  <c r="B3012" i="1"/>
  <c r="A3012" i="1"/>
  <c r="H3011" i="1"/>
  <c r="G3011" i="1"/>
  <c r="F3011" i="1"/>
  <c r="E3011" i="1"/>
  <c r="D3011" i="1"/>
  <c r="C3011" i="1"/>
  <c r="B3011" i="1"/>
  <c r="A3011" i="1"/>
  <c r="H3010" i="1"/>
  <c r="G3010" i="1"/>
  <c r="F3010" i="1"/>
  <c r="E3010" i="1"/>
  <c r="D3010" i="1"/>
  <c r="C3010" i="1"/>
  <c r="B3010" i="1"/>
  <c r="A3010" i="1"/>
  <c r="H3009" i="1"/>
  <c r="G3009" i="1"/>
  <c r="F3009" i="1"/>
  <c r="E3009" i="1"/>
  <c r="D3009" i="1"/>
  <c r="C3009" i="1"/>
  <c r="B3009" i="1"/>
  <c r="A3009" i="1"/>
  <c r="H3008" i="1"/>
  <c r="G3008" i="1"/>
  <c r="F3008" i="1"/>
  <c r="E3008" i="1"/>
  <c r="D3008" i="1"/>
  <c r="C3008" i="1"/>
  <c r="B3008" i="1"/>
  <c r="A3008" i="1"/>
  <c r="H3007" i="1"/>
  <c r="G3007" i="1"/>
  <c r="F3007" i="1"/>
  <c r="E3007" i="1"/>
  <c r="D3007" i="1"/>
  <c r="C3007" i="1"/>
  <c r="B3007" i="1"/>
  <c r="A3007" i="1"/>
  <c r="H3006" i="1"/>
  <c r="G3006" i="1"/>
  <c r="F3006" i="1"/>
  <c r="E3006" i="1"/>
  <c r="D3006" i="1"/>
  <c r="C3006" i="1"/>
  <c r="B3006" i="1"/>
  <c r="A3006" i="1"/>
  <c r="H3005" i="1"/>
  <c r="G3005" i="1"/>
  <c r="F3005" i="1"/>
  <c r="E3005" i="1"/>
  <c r="D3005" i="1"/>
  <c r="C3005" i="1"/>
  <c r="B3005" i="1"/>
  <c r="A3005" i="1"/>
  <c r="H3004" i="1"/>
  <c r="G3004" i="1"/>
  <c r="F3004" i="1"/>
  <c r="E3004" i="1"/>
  <c r="D3004" i="1"/>
  <c r="C3004" i="1"/>
  <c r="B3004" i="1"/>
  <c r="A3004" i="1"/>
  <c r="H3003" i="1"/>
  <c r="G3003" i="1"/>
  <c r="F3003" i="1"/>
  <c r="E3003" i="1"/>
  <c r="D3003" i="1"/>
  <c r="C3003" i="1"/>
  <c r="B3003" i="1"/>
  <c r="A3003" i="1"/>
  <c r="H3002" i="1"/>
  <c r="G3002" i="1"/>
  <c r="F3002" i="1"/>
  <c r="E3002" i="1"/>
  <c r="D3002" i="1"/>
  <c r="C3002" i="1"/>
  <c r="B3002" i="1"/>
  <c r="A3002" i="1"/>
  <c r="H3001" i="1"/>
  <c r="G3001" i="1"/>
  <c r="F3001" i="1"/>
  <c r="E3001" i="1"/>
  <c r="D3001" i="1"/>
  <c r="C3001" i="1"/>
  <c r="B3001" i="1"/>
  <c r="A3001" i="1"/>
  <c r="H3000" i="1"/>
  <c r="G3000" i="1"/>
  <c r="F3000" i="1"/>
  <c r="E3000" i="1"/>
  <c r="D3000" i="1"/>
  <c r="C3000" i="1"/>
  <c r="B3000" i="1"/>
  <c r="A3000" i="1"/>
  <c r="H2999" i="1"/>
  <c r="G2999" i="1"/>
  <c r="F2999" i="1"/>
  <c r="E2999" i="1"/>
  <c r="D2999" i="1"/>
  <c r="C2999" i="1"/>
  <c r="B2999" i="1"/>
  <c r="A2999" i="1"/>
  <c r="H2998" i="1"/>
  <c r="G2998" i="1"/>
  <c r="F2998" i="1"/>
  <c r="E2998" i="1"/>
  <c r="D2998" i="1"/>
  <c r="C2998" i="1"/>
  <c r="B2998" i="1"/>
  <c r="A2998" i="1"/>
  <c r="H2997" i="1"/>
  <c r="G2997" i="1"/>
  <c r="F2997" i="1"/>
  <c r="E2997" i="1"/>
  <c r="D2997" i="1"/>
  <c r="C2997" i="1"/>
  <c r="B2997" i="1"/>
  <c r="A2997" i="1"/>
  <c r="H2996" i="1"/>
  <c r="G2996" i="1"/>
  <c r="F2996" i="1"/>
  <c r="E2996" i="1"/>
  <c r="D2996" i="1"/>
  <c r="C2996" i="1"/>
  <c r="B2996" i="1"/>
  <c r="A2996" i="1"/>
  <c r="H2995" i="1"/>
  <c r="G2995" i="1"/>
  <c r="F2995" i="1"/>
  <c r="E2995" i="1"/>
  <c r="D2995" i="1"/>
  <c r="C2995" i="1"/>
  <c r="B2995" i="1"/>
  <c r="A2995" i="1"/>
  <c r="H2994" i="1"/>
  <c r="G2994" i="1"/>
  <c r="F2994" i="1"/>
  <c r="E2994" i="1"/>
  <c r="D2994" i="1"/>
  <c r="C2994" i="1"/>
  <c r="B2994" i="1"/>
  <c r="A2994" i="1"/>
  <c r="H2993" i="1"/>
  <c r="G2993" i="1"/>
  <c r="F2993" i="1"/>
  <c r="E2993" i="1"/>
  <c r="D2993" i="1"/>
  <c r="C2993" i="1"/>
  <c r="B2993" i="1"/>
  <c r="A2993" i="1"/>
  <c r="H2992" i="1"/>
  <c r="G2992" i="1"/>
  <c r="F2992" i="1"/>
  <c r="E2992" i="1"/>
  <c r="D2992" i="1"/>
  <c r="C2992" i="1"/>
  <c r="B2992" i="1"/>
  <c r="A2992" i="1"/>
  <c r="H2991" i="1"/>
  <c r="G2991" i="1"/>
  <c r="F2991" i="1"/>
  <c r="E2991" i="1"/>
  <c r="D2991" i="1"/>
  <c r="C2991" i="1"/>
  <c r="B2991" i="1"/>
  <c r="A2991" i="1"/>
  <c r="H2990" i="1"/>
  <c r="G2990" i="1"/>
  <c r="F2990" i="1"/>
  <c r="E2990" i="1"/>
  <c r="D2990" i="1"/>
  <c r="C2990" i="1"/>
  <c r="B2990" i="1"/>
  <c r="A2990" i="1"/>
  <c r="H2989" i="1"/>
  <c r="G2989" i="1"/>
  <c r="F2989" i="1"/>
  <c r="E2989" i="1"/>
  <c r="D2989" i="1"/>
  <c r="C2989" i="1"/>
  <c r="B2989" i="1"/>
  <c r="A2989" i="1"/>
  <c r="H2988" i="1"/>
  <c r="G2988" i="1"/>
  <c r="F2988" i="1"/>
  <c r="E2988" i="1"/>
  <c r="D2988" i="1"/>
  <c r="C2988" i="1"/>
  <c r="B2988" i="1"/>
  <c r="A2988" i="1"/>
  <c r="H2987" i="1"/>
  <c r="G2987" i="1"/>
  <c r="F2987" i="1"/>
  <c r="E2987" i="1"/>
  <c r="D2987" i="1"/>
  <c r="C2987" i="1"/>
  <c r="B2987" i="1"/>
  <c r="A2987" i="1"/>
  <c r="H2986" i="1"/>
  <c r="G2986" i="1"/>
  <c r="F2986" i="1"/>
  <c r="E2986" i="1"/>
  <c r="D2986" i="1"/>
  <c r="C2986" i="1"/>
  <c r="B2986" i="1"/>
  <c r="A2986" i="1"/>
  <c r="H2985" i="1"/>
  <c r="G2985" i="1"/>
  <c r="F2985" i="1"/>
  <c r="E2985" i="1"/>
  <c r="D2985" i="1"/>
  <c r="C2985" i="1"/>
  <c r="B2985" i="1"/>
  <c r="A2985" i="1"/>
  <c r="H2984" i="1"/>
  <c r="G2984" i="1"/>
  <c r="F2984" i="1"/>
  <c r="E2984" i="1"/>
  <c r="D2984" i="1"/>
  <c r="C2984" i="1"/>
  <c r="B2984" i="1"/>
  <c r="A2984" i="1"/>
  <c r="H2983" i="1"/>
  <c r="G2983" i="1"/>
  <c r="F2983" i="1"/>
  <c r="E2983" i="1"/>
  <c r="D2983" i="1"/>
  <c r="C2983" i="1"/>
  <c r="B2983" i="1"/>
  <c r="A2983" i="1"/>
  <c r="H2982" i="1"/>
  <c r="G2982" i="1"/>
  <c r="F2982" i="1"/>
  <c r="E2982" i="1"/>
  <c r="D2982" i="1"/>
  <c r="C2982" i="1"/>
  <c r="B2982" i="1"/>
  <c r="A2982" i="1"/>
  <c r="H2981" i="1"/>
  <c r="G2981" i="1"/>
  <c r="F2981" i="1"/>
  <c r="E2981" i="1"/>
  <c r="D2981" i="1"/>
  <c r="C2981" i="1"/>
  <c r="B2981" i="1"/>
  <c r="A2981" i="1"/>
  <c r="H2980" i="1"/>
  <c r="G2980" i="1"/>
  <c r="F2980" i="1"/>
  <c r="E2980" i="1"/>
  <c r="D2980" i="1"/>
  <c r="C2980" i="1"/>
  <c r="B2980" i="1"/>
  <c r="A2980" i="1"/>
  <c r="H2979" i="1"/>
  <c r="G2979" i="1"/>
  <c r="F2979" i="1"/>
  <c r="E2979" i="1"/>
  <c r="D2979" i="1"/>
  <c r="C2979" i="1"/>
  <c r="B2979" i="1"/>
  <c r="A2979" i="1"/>
  <c r="H2978" i="1"/>
  <c r="G2978" i="1"/>
  <c r="F2978" i="1"/>
  <c r="E2978" i="1"/>
  <c r="D2978" i="1"/>
  <c r="C2978" i="1"/>
  <c r="B2978" i="1"/>
  <c r="A2978" i="1"/>
  <c r="H2977" i="1"/>
  <c r="G2977" i="1"/>
  <c r="F2977" i="1"/>
  <c r="E2977" i="1"/>
  <c r="D2977" i="1"/>
  <c r="C2977" i="1"/>
  <c r="B2977" i="1"/>
  <c r="A2977" i="1"/>
  <c r="H2976" i="1"/>
  <c r="G2976" i="1"/>
  <c r="F2976" i="1"/>
  <c r="E2976" i="1"/>
  <c r="D2976" i="1"/>
  <c r="C2976" i="1"/>
  <c r="B2976" i="1"/>
  <c r="A2976" i="1"/>
  <c r="H2975" i="1"/>
  <c r="G2975" i="1"/>
  <c r="F2975" i="1"/>
  <c r="E2975" i="1"/>
  <c r="D2975" i="1"/>
  <c r="C2975" i="1"/>
  <c r="B2975" i="1"/>
  <c r="A2975" i="1"/>
  <c r="H2974" i="1"/>
  <c r="G2974" i="1"/>
  <c r="F2974" i="1"/>
  <c r="E2974" i="1"/>
  <c r="D2974" i="1"/>
  <c r="C2974" i="1"/>
  <c r="B2974" i="1"/>
  <c r="A2974" i="1"/>
  <c r="H2973" i="1"/>
  <c r="G2973" i="1"/>
  <c r="F2973" i="1"/>
  <c r="E2973" i="1"/>
  <c r="D2973" i="1"/>
  <c r="C2973" i="1"/>
  <c r="B2973" i="1"/>
  <c r="A2973" i="1"/>
  <c r="H2972" i="1"/>
  <c r="G2972" i="1"/>
  <c r="F2972" i="1"/>
  <c r="E2972" i="1"/>
  <c r="D2972" i="1"/>
  <c r="C2972" i="1"/>
  <c r="B2972" i="1"/>
  <c r="A2972" i="1"/>
  <c r="H2971" i="1"/>
  <c r="G2971" i="1"/>
  <c r="F2971" i="1"/>
  <c r="E2971" i="1"/>
  <c r="D2971" i="1"/>
  <c r="C2971" i="1"/>
  <c r="B2971" i="1"/>
  <c r="A2971" i="1"/>
  <c r="H2970" i="1"/>
  <c r="G2970" i="1"/>
  <c r="F2970" i="1"/>
  <c r="E2970" i="1"/>
  <c r="D2970" i="1"/>
  <c r="C2970" i="1"/>
  <c r="B2970" i="1"/>
  <c r="A2970" i="1"/>
  <c r="H2969" i="1"/>
  <c r="G2969" i="1"/>
  <c r="F2969" i="1"/>
  <c r="E2969" i="1"/>
  <c r="D2969" i="1"/>
  <c r="C2969" i="1"/>
  <c r="B2969" i="1"/>
  <c r="A2969" i="1"/>
  <c r="H2968" i="1"/>
  <c r="G2968" i="1"/>
  <c r="F2968" i="1"/>
  <c r="E2968" i="1"/>
  <c r="D2968" i="1"/>
  <c r="C2968" i="1"/>
  <c r="B2968" i="1"/>
  <c r="A2968" i="1"/>
  <c r="H2967" i="1"/>
  <c r="G2967" i="1"/>
  <c r="F2967" i="1"/>
  <c r="E2967" i="1"/>
  <c r="D2967" i="1"/>
  <c r="C2967" i="1"/>
  <c r="B2967" i="1"/>
  <c r="A2967" i="1"/>
  <c r="H2966" i="1"/>
  <c r="G2966" i="1"/>
  <c r="F2966" i="1"/>
  <c r="E2966" i="1"/>
  <c r="D2966" i="1"/>
  <c r="C2966" i="1"/>
  <c r="B2966" i="1"/>
  <c r="A2966" i="1"/>
  <c r="H2965" i="1"/>
  <c r="G2965" i="1"/>
  <c r="F2965" i="1"/>
  <c r="E2965" i="1"/>
  <c r="D2965" i="1"/>
  <c r="C2965" i="1"/>
  <c r="B2965" i="1"/>
  <c r="A2965" i="1"/>
  <c r="H2964" i="1"/>
  <c r="G2964" i="1"/>
  <c r="F2964" i="1"/>
  <c r="E2964" i="1"/>
  <c r="D2964" i="1"/>
  <c r="C2964" i="1"/>
  <c r="B2964" i="1"/>
  <c r="A2964" i="1"/>
  <c r="H2963" i="1"/>
  <c r="G2963" i="1"/>
  <c r="F2963" i="1"/>
  <c r="E2963" i="1"/>
  <c r="D2963" i="1"/>
  <c r="C2963" i="1"/>
  <c r="B2963" i="1"/>
  <c r="A2963" i="1"/>
  <c r="H2962" i="1"/>
  <c r="G2962" i="1"/>
  <c r="F2962" i="1"/>
  <c r="E2962" i="1"/>
  <c r="D2962" i="1"/>
  <c r="C2962" i="1"/>
  <c r="B2962" i="1"/>
  <c r="A2962" i="1"/>
  <c r="H2961" i="1"/>
  <c r="G2961" i="1"/>
  <c r="F2961" i="1"/>
  <c r="E2961" i="1"/>
  <c r="D2961" i="1"/>
  <c r="C2961" i="1"/>
  <c r="B2961" i="1"/>
  <c r="A2961" i="1"/>
  <c r="H2960" i="1"/>
  <c r="G2960" i="1"/>
  <c r="F2960" i="1"/>
  <c r="E2960" i="1"/>
  <c r="D2960" i="1"/>
  <c r="C2960" i="1"/>
  <c r="B2960" i="1"/>
  <c r="A2960" i="1"/>
  <c r="H2959" i="1"/>
  <c r="G2959" i="1"/>
  <c r="F2959" i="1"/>
  <c r="E2959" i="1"/>
  <c r="D2959" i="1"/>
  <c r="C2959" i="1"/>
  <c r="B2959" i="1"/>
  <c r="A2959" i="1"/>
  <c r="H2958" i="1"/>
  <c r="G2958" i="1"/>
  <c r="F2958" i="1"/>
  <c r="E2958" i="1"/>
  <c r="D2958" i="1"/>
  <c r="C2958" i="1"/>
  <c r="B2958" i="1"/>
  <c r="A2958" i="1"/>
  <c r="H2957" i="1"/>
  <c r="G2957" i="1"/>
  <c r="F2957" i="1"/>
  <c r="E2957" i="1"/>
  <c r="D2957" i="1"/>
  <c r="C2957" i="1"/>
  <c r="B2957" i="1"/>
  <c r="A2957" i="1"/>
  <c r="H2956" i="1"/>
  <c r="G2956" i="1"/>
  <c r="F2956" i="1"/>
  <c r="E2956" i="1"/>
  <c r="D2956" i="1"/>
  <c r="C2956" i="1"/>
  <c r="B2956" i="1"/>
  <c r="A2956" i="1"/>
  <c r="H2955" i="1"/>
  <c r="G2955" i="1"/>
  <c r="F2955" i="1"/>
  <c r="E2955" i="1"/>
  <c r="D2955" i="1"/>
  <c r="C2955" i="1"/>
  <c r="B2955" i="1"/>
  <c r="A2955" i="1"/>
  <c r="H2954" i="1"/>
  <c r="G2954" i="1"/>
  <c r="F2954" i="1"/>
  <c r="E2954" i="1"/>
  <c r="D2954" i="1"/>
  <c r="C2954" i="1"/>
  <c r="B2954" i="1"/>
  <c r="A2954" i="1"/>
  <c r="H2953" i="1"/>
  <c r="G2953" i="1"/>
  <c r="F2953" i="1"/>
  <c r="E2953" i="1"/>
  <c r="D2953" i="1"/>
  <c r="C2953" i="1"/>
  <c r="B2953" i="1"/>
  <c r="A2953" i="1"/>
  <c r="H2952" i="1"/>
  <c r="G2952" i="1"/>
  <c r="F2952" i="1"/>
  <c r="E2952" i="1"/>
  <c r="D2952" i="1"/>
  <c r="C2952" i="1"/>
  <c r="B2952" i="1"/>
  <c r="A2952" i="1"/>
  <c r="H2951" i="1"/>
  <c r="G2951" i="1"/>
  <c r="F2951" i="1"/>
  <c r="E2951" i="1"/>
  <c r="D2951" i="1"/>
  <c r="C2951" i="1"/>
  <c r="B2951" i="1"/>
  <c r="A2951" i="1"/>
  <c r="H2950" i="1"/>
  <c r="G2950" i="1"/>
  <c r="F2950" i="1"/>
  <c r="E2950" i="1"/>
  <c r="D2950" i="1"/>
  <c r="C2950" i="1"/>
  <c r="B2950" i="1"/>
  <c r="A2950" i="1"/>
  <c r="H2949" i="1"/>
  <c r="G2949" i="1"/>
  <c r="F2949" i="1"/>
  <c r="E2949" i="1"/>
  <c r="D2949" i="1"/>
  <c r="C2949" i="1"/>
  <c r="B2949" i="1"/>
  <c r="A2949" i="1"/>
  <c r="H2948" i="1"/>
  <c r="G2948" i="1"/>
  <c r="F2948" i="1"/>
  <c r="E2948" i="1"/>
  <c r="D2948" i="1"/>
  <c r="C2948" i="1"/>
  <c r="B2948" i="1"/>
  <c r="A2948" i="1"/>
  <c r="H2947" i="1"/>
  <c r="G2947" i="1"/>
  <c r="F2947" i="1"/>
  <c r="E2947" i="1"/>
  <c r="D2947" i="1"/>
  <c r="C2947" i="1"/>
  <c r="B2947" i="1"/>
  <c r="A2947" i="1"/>
  <c r="H2946" i="1"/>
  <c r="G2946" i="1"/>
  <c r="F2946" i="1"/>
  <c r="E2946" i="1"/>
  <c r="D2946" i="1"/>
  <c r="C2946" i="1"/>
  <c r="B2946" i="1"/>
  <c r="A2946" i="1"/>
  <c r="H2945" i="1"/>
  <c r="G2945" i="1"/>
  <c r="F2945" i="1"/>
  <c r="E2945" i="1"/>
  <c r="D2945" i="1"/>
  <c r="C2945" i="1"/>
  <c r="B2945" i="1"/>
  <c r="A2945" i="1"/>
  <c r="H2944" i="1"/>
  <c r="G2944" i="1"/>
  <c r="F2944" i="1"/>
  <c r="E2944" i="1"/>
  <c r="D2944" i="1"/>
  <c r="C2944" i="1"/>
  <c r="B2944" i="1"/>
  <c r="A2944" i="1"/>
  <c r="H2943" i="1"/>
  <c r="G2943" i="1"/>
  <c r="F2943" i="1"/>
  <c r="E2943" i="1"/>
  <c r="D2943" i="1"/>
  <c r="C2943" i="1"/>
  <c r="B2943" i="1"/>
  <c r="A2943" i="1"/>
  <c r="H2942" i="1"/>
  <c r="G2942" i="1"/>
  <c r="F2942" i="1"/>
  <c r="E2942" i="1"/>
  <c r="D2942" i="1"/>
  <c r="C2942" i="1"/>
  <c r="B2942" i="1"/>
  <c r="A2942" i="1"/>
  <c r="H2941" i="1"/>
  <c r="G2941" i="1"/>
  <c r="F2941" i="1"/>
  <c r="E2941" i="1"/>
  <c r="D2941" i="1"/>
  <c r="C2941" i="1"/>
  <c r="B2941" i="1"/>
  <c r="A2941" i="1"/>
  <c r="H2940" i="1"/>
  <c r="G2940" i="1"/>
  <c r="F2940" i="1"/>
  <c r="E2940" i="1"/>
  <c r="D2940" i="1"/>
  <c r="C2940" i="1"/>
  <c r="B2940" i="1"/>
  <c r="A2940" i="1"/>
  <c r="H2939" i="1"/>
  <c r="G2939" i="1"/>
  <c r="F2939" i="1"/>
  <c r="E2939" i="1"/>
  <c r="D2939" i="1"/>
  <c r="C2939" i="1"/>
  <c r="B2939" i="1"/>
  <c r="A2939" i="1"/>
  <c r="H2938" i="1"/>
  <c r="G2938" i="1"/>
  <c r="F2938" i="1"/>
  <c r="E2938" i="1"/>
  <c r="D2938" i="1"/>
  <c r="C2938" i="1"/>
  <c r="B2938" i="1"/>
  <c r="A2938" i="1"/>
  <c r="H2937" i="1"/>
  <c r="G2937" i="1"/>
  <c r="F2937" i="1"/>
  <c r="E2937" i="1"/>
  <c r="D2937" i="1"/>
  <c r="C2937" i="1"/>
  <c r="B2937" i="1"/>
  <c r="A2937" i="1"/>
  <c r="H2936" i="1"/>
  <c r="G2936" i="1"/>
  <c r="F2936" i="1"/>
  <c r="E2936" i="1"/>
  <c r="D2936" i="1"/>
  <c r="C2936" i="1"/>
  <c r="B2936" i="1"/>
  <c r="A2936" i="1"/>
  <c r="H2935" i="1"/>
  <c r="G2935" i="1"/>
  <c r="F2935" i="1"/>
  <c r="E2935" i="1"/>
  <c r="D2935" i="1"/>
  <c r="C2935" i="1"/>
  <c r="B2935" i="1"/>
  <c r="A2935" i="1"/>
  <c r="H2934" i="1"/>
  <c r="G2934" i="1"/>
  <c r="F2934" i="1"/>
  <c r="E2934" i="1"/>
  <c r="D2934" i="1"/>
  <c r="C2934" i="1"/>
  <c r="B2934" i="1"/>
  <c r="A2934" i="1"/>
  <c r="H2933" i="1"/>
  <c r="G2933" i="1"/>
  <c r="F2933" i="1"/>
  <c r="E2933" i="1"/>
  <c r="D2933" i="1"/>
  <c r="C2933" i="1"/>
  <c r="B2933" i="1"/>
  <c r="A2933" i="1"/>
  <c r="H2932" i="1"/>
  <c r="G2932" i="1"/>
  <c r="F2932" i="1"/>
  <c r="E2932" i="1"/>
  <c r="D2932" i="1"/>
  <c r="C2932" i="1"/>
  <c r="B2932" i="1"/>
  <c r="A2932" i="1"/>
  <c r="H2931" i="1"/>
  <c r="G2931" i="1"/>
  <c r="F2931" i="1"/>
  <c r="E2931" i="1"/>
  <c r="D2931" i="1"/>
  <c r="C2931" i="1"/>
  <c r="B2931" i="1"/>
  <c r="A2931" i="1"/>
  <c r="H2930" i="1"/>
  <c r="G2930" i="1"/>
  <c r="F2930" i="1"/>
  <c r="E2930" i="1"/>
  <c r="D2930" i="1"/>
  <c r="C2930" i="1"/>
  <c r="B2930" i="1"/>
  <c r="A2930" i="1"/>
  <c r="H2929" i="1"/>
  <c r="G2929" i="1"/>
  <c r="F2929" i="1"/>
  <c r="E2929" i="1"/>
  <c r="D2929" i="1"/>
  <c r="C2929" i="1"/>
  <c r="B2929" i="1"/>
  <c r="A2929" i="1"/>
  <c r="H2928" i="1"/>
  <c r="G2928" i="1"/>
  <c r="F2928" i="1"/>
  <c r="E2928" i="1"/>
  <c r="D2928" i="1"/>
  <c r="C2928" i="1"/>
  <c r="B2928" i="1"/>
  <c r="A2928" i="1"/>
  <c r="H2927" i="1"/>
  <c r="G2927" i="1"/>
  <c r="F2927" i="1"/>
  <c r="E2927" i="1"/>
  <c r="D2927" i="1"/>
  <c r="C2927" i="1"/>
  <c r="B2927" i="1"/>
  <c r="A2927" i="1"/>
  <c r="H2926" i="1"/>
  <c r="G2926" i="1"/>
  <c r="F2926" i="1"/>
  <c r="E2926" i="1"/>
  <c r="D2926" i="1"/>
  <c r="C2926" i="1"/>
  <c r="B2926" i="1"/>
  <c r="A2926" i="1"/>
  <c r="H2925" i="1"/>
  <c r="G2925" i="1"/>
  <c r="F2925" i="1"/>
  <c r="E2925" i="1"/>
  <c r="D2925" i="1"/>
  <c r="C2925" i="1"/>
  <c r="B2925" i="1"/>
  <c r="A2925" i="1"/>
  <c r="H2924" i="1"/>
  <c r="G2924" i="1"/>
  <c r="F2924" i="1"/>
  <c r="E2924" i="1"/>
  <c r="D2924" i="1"/>
  <c r="C2924" i="1"/>
  <c r="B2924" i="1"/>
  <c r="A2924" i="1"/>
  <c r="H2923" i="1"/>
  <c r="G2923" i="1"/>
  <c r="F2923" i="1"/>
  <c r="E2923" i="1"/>
  <c r="D2923" i="1"/>
  <c r="C2923" i="1"/>
  <c r="B2923" i="1"/>
  <c r="A2923" i="1"/>
  <c r="H2922" i="1"/>
  <c r="G2922" i="1"/>
  <c r="F2922" i="1"/>
  <c r="E2922" i="1"/>
  <c r="D2922" i="1"/>
  <c r="C2922" i="1"/>
  <c r="B2922" i="1"/>
  <c r="A2922" i="1"/>
  <c r="H2921" i="1"/>
  <c r="G2921" i="1"/>
  <c r="F2921" i="1"/>
  <c r="E2921" i="1"/>
  <c r="D2921" i="1"/>
  <c r="C2921" i="1"/>
  <c r="B2921" i="1"/>
  <c r="A2921" i="1"/>
  <c r="H2920" i="1"/>
  <c r="G2920" i="1"/>
  <c r="F2920" i="1"/>
  <c r="E2920" i="1"/>
  <c r="D2920" i="1"/>
  <c r="C2920" i="1"/>
  <c r="B2920" i="1"/>
  <c r="A2920" i="1"/>
  <c r="H2919" i="1"/>
  <c r="G2919" i="1"/>
  <c r="F2919" i="1"/>
  <c r="E2919" i="1"/>
  <c r="D2919" i="1"/>
  <c r="C2919" i="1"/>
  <c r="B2919" i="1"/>
  <c r="A2919" i="1"/>
  <c r="H2918" i="1"/>
  <c r="G2918" i="1"/>
  <c r="F2918" i="1"/>
  <c r="E2918" i="1"/>
  <c r="D2918" i="1"/>
  <c r="C2918" i="1"/>
  <c r="B2918" i="1"/>
  <c r="A2918" i="1"/>
  <c r="H2917" i="1"/>
  <c r="G2917" i="1"/>
  <c r="F2917" i="1"/>
  <c r="E2917" i="1"/>
  <c r="D2917" i="1"/>
  <c r="C2917" i="1"/>
  <c r="B2917" i="1"/>
  <c r="A2917" i="1"/>
  <c r="H2916" i="1"/>
  <c r="G2916" i="1"/>
  <c r="F2916" i="1"/>
  <c r="E2916" i="1"/>
  <c r="D2916" i="1"/>
  <c r="C2916" i="1"/>
  <c r="B2916" i="1"/>
  <c r="A2916" i="1"/>
  <c r="H2915" i="1"/>
  <c r="G2915" i="1"/>
  <c r="F2915" i="1"/>
  <c r="E2915" i="1"/>
  <c r="D2915" i="1"/>
  <c r="C2915" i="1"/>
  <c r="B2915" i="1"/>
  <c r="A2915" i="1"/>
  <c r="H2914" i="1"/>
  <c r="G2914" i="1"/>
  <c r="F2914" i="1"/>
  <c r="E2914" i="1"/>
  <c r="D2914" i="1"/>
  <c r="C2914" i="1"/>
  <c r="B2914" i="1"/>
  <c r="A2914" i="1"/>
  <c r="H2913" i="1"/>
  <c r="G2913" i="1"/>
  <c r="F2913" i="1"/>
  <c r="E2913" i="1"/>
  <c r="D2913" i="1"/>
  <c r="C2913" i="1"/>
  <c r="B2913" i="1"/>
  <c r="A2913" i="1"/>
  <c r="H2912" i="1"/>
  <c r="G2912" i="1"/>
  <c r="F2912" i="1"/>
  <c r="E2912" i="1"/>
  <c r="D2912" i="1"/>
  <c r="C2912" i="1"/>
  <c r="B2912" i="1"/>
  <c r="A2912" i="1"/>
  <c r="H2911" i="1"/>
  <c r="G2911" i="1"/>
  <c r="F2911" i="1"/>
  <c r="E2911" i="1"/>
  <c r="D2911" i="1"/>
  <c r="C2911" i="1"/>
  <c r="B2911" i="1"/>
  <c r="A2911" i="1"/>
  <c r="H2910" i="1"/>
  <c r="G2910" i="1"/>
  <c r="F2910" i="1"/>
  <c r="E2910" i="1"/>
  <c r="D2910" i="1"/>
  <c r="C2910" i="1"/>
  <c r="B2910" i="1"/>
  <c r="A2910" i="1"/>
  <c r="H2909" i="1"/>
  <c r="G2909" i="1"/>
  <c r="F2909" i="1"/>
  <c r="E2909" i="1"/>
  <c r="D2909" i="1"/>
  <c r="C2909" i="1"/>
  <c r="B2909" i="1"/>
  <c r="A2909" i="1"/>
  <c r="H2908" i="1"/>
  <c r="G2908" i="1"/>
  <c r="F2908" i="1"/>
  <c r="E2908" i="1"/>
  <c r="D2908" i="1"/>
  <c r="C2908" i="1"/>
  <c r="B2908" i="1"/>
  <c r="A2908" i="1"/>
  <c r="H2907" i="1"/>
  <c r="G2907" i="1"/>
  <c r="F2907" i="1"/>
  <c r="E2907" i="1"/>
  <c r="D2907" i="1"/>
  <c r="C2907" i="1"/>
  <c r="B2907" i="1"/>
  <c r="A2907" i="1"/>
  <c r="H2906" i="1"/>
  <c r="G2906" i="1"/>
  <c r="F2906" i="1"/>
  <c r="E2906" i="1"/>
  <c r="D2906" i="1"/>
  <c r="C2906" i="1"/>
  <c r="B2906" i="1"/>
  <c r="A2906" i="1"/>
  <c r="H2905" i="1"/>
  <c r="G2905" i="1"/>
  <c r="F2905" i="1"/>
  <c r="E2905" i="1"/>
  <c r="D2905" i="1"/>
  <c r="C2905" i="1"/>
  <c r="B2905" i="1"/>
  <c r="A2905" i="1"/>
  <c r="H2904" i="1"/>
  <c r="G2904" i="1"/>
  <c r="F2904" i="1"/>
  <c r="E2904" i="1"/>
  <c r="D2904" i="1"/>
  <c r="C2904" i="1"/>
  <c r="B2904" i="1"/>
  <c r="A2904" i="1"/>
  <c r="H2903" i="1"/>
  <c r="G2903" i="1"/>
  <c r="F2903" i="1"/>
  <c r="E2903" i="1"/>
  <c r="D2903" i="1"/>
  <c r="C2903" i="1"/>
  <c r="B2903" i="1"/>
  <c r="A2903" i="1"/>
  <c r="H2902" i="1"/>
  <c r="G2902" i="1"/>
  <c r="F2902" i="1"/>
  <c r="E2902" i="1"/>
  <c r="D2902" i="1"/>
  <c r="C2902" i="1"/>
  <c r="B2902" i="1"/>
  <c r="A2902" i="1"/>
  <c r="H2901" i="1"/>
  <c r="G2901" i="1"/>
  <c r="F2901" i="1"/>
  <c r="E2901" i="1"/>
  <c r="D2901" i="1"/>
  <c r="C2901" i="1"/>
  <c r="B2901" i="1"/>
  <c r="A2901" i="1"/>
  <c r="H2900" i="1"/>
  <c r="G2900" i="1"/>
  <c r="F2900" i="1"/>
  <c r="E2900" i="1"/>
  <c r="D2900" i="1"/>
  <c r="C2900" i="1"/>
  <c r="B2900" i="1"/>
  <c r="A2900" i="1"/>
  <c r="H2899" i="1"/>
  <c r="G2899" i="1"/>
  <c r="F2899" i="1"/>
  <c r="E2899" i="1"/>
  <c r="D2899" i="1"/>
  <c r="C2899" i="1"/>
  <c r="B2899" i="1"/>
  <c r="A2899" i="1"/>
  <c r="H2898" i="1"/>
  <c r="G2898" i="1"/>
  <c r="F2898" i="1"/>
  <c r="E2898" i="1"/>
  <c r="D2898" i="1"/>
  <c r="C2898" i="1"/>
  <c r="B2898" i="1"/>
  <c r="A2898" i="1"/>
  <c r="H2897" i="1"/>
  <c r="G2897" i="1"/>
  <c r="F2897" i="1"/>
  <c r="E2897" i="1"/>
  <c r="D2897" i="1"/>
  <c r="C2897" i="1"/>
  <c r="B2897" i="1"/>
  <c r="A2897" i="1"/>
  <c r="H2896" i="1"/>
  <c r="G2896" i="1"/>
  <c r="F2896" i="1"/>
  <c r="E2896" i="1"/>
  <c r="D2896" i="1"/>
  <c r="C2896" i="1"/>
  <c r="B2896" i="1"/>
  <c r="A2896" i="1"/>
  <c r="H2895" i="1"/>
  <c r="G2895" i="1"/>
  <c r="F2895" i="1"/>
  <c r="E2895" i="1"/>
  <c r="D2895" i="1"/>
  <c r="C2895" i="1"/>
  <c r="B2895" i="1"/>
  <c r="A2895" i="1"/>
  <c r="H2894" i="1"/>
  <c r="G2894" i="1"/>
  <c r="F2894" i="1"/>
  <c r="E2894" i="1"/>
  <c r="D2894" i="1"/>
  <c r="C2894" i="1"/>
  <c r="B2894" i="1"/>
  <c r="A2894" i="1"/>
  <c r="H2893" i="1"/>
  <c r="G2893" i="1"/>
  <c r="F2893" i="1"/>
  <c r="E2893" i="1"/>
  <c r="D2893" i="1"/>
  <c r="C2893" i="1"/>
  <c r="B2893" i="1"/>
  <c r="A2893" i="1"/>
  <c r="H2892" i="1"/>
  <c r="G2892" i="1"/>
  <c r="F2892" i="1"/>
  <c r="E2892" i="1"/>
  <c r="D2892" i="1"/>
  <c r="C2892" i="1"/>
  <c r="B2892" i="1"/>
  <c r="A2892" i="1"/>
  <c r="H2891" i="1"/>
  <c r="G2891" i="1"/>
  <c r="F2891" i="1"/>
  <c r="E2891" i="1"/>
  <c r="D2891" i="1"/>
  <c r="C2891" i="1"/>
  <c r="B2891" i="1"/>
  <c r="A2891" i="1"/>
  <c r="H2890" i="1"/>
  <c r="G2890" i="1"/>
  <c r="F2890" i="1"/>
  <c r="E2890" i="1"/>
  <c r="D2890" i="1"/>
  <c r="C2890" i="1"/>
  <c r="B2890" i="1"/>
  <c r="A2890" i="1"/>
  <c r="H2889" i="1"/>
  <c r="G2889" i="1"/>
  <c r="F2889" i="1"/>
  <c r="E2889" i="1"/>
  <c r="D2889" i="1"/>
  <c r="C2889" i="1"/>
  <c r="B2889" i="1"/>
  <c r="A2889" i="1"/>
  <c r="H2888" i="1"/>
  <c r="G2888" i="1"/>
  <c r="F2888" i="1"/>
  <c r="E2888" i="1"/>
  <c r="D2888" i="1"/>
  <c r="C2888" i="1"/>
  <c r="B2888" i="1"/>
  <c r="A2888" i="1"/>
  <c r="H2887" i="1"/>
  <c r="G2887" i="1"/>
  <c r="F2887" i="1"/>
  <c r="E2887" i="1"/>
  <c r="D2887" i="1"/>
  <c r="C2887" i="1"/>
  <c r="B2887" i="1"/>
  <c r="A2887" i="1"/>
  <c r="H2886" i="1"/>
  <c r="G2886" i="1"/>
  <c r="F2886" i="1"/>
  <c r="E2886" i="1"/>
  <c r="D2886" i="1"/>
  <c r="C2886" i="1"/>
  <c r="B2886" i="1"/>
  <c r="A2886" i="1"/>
  <c r="H2885" i="1"/>
  <c r="G2885" i="1"/>
  <c r="F2885" i="1"/>
  <c r="E2885" i="1"/>
  <c r="D2885" i="1"/>
  <c r="C2885" i="1"/>
  <c r="B2885" i="1"/>
  <c r="A2885" i="1"/>
  <c r="H2884" i="1"/>
  <c r="G2884" i="1"/>
  <c r="F2884" i="1"/>
  <c r="E2884" i="1"/>
  <c r="D2884" i="1"/>
  <c r="C2884" i="1"/>
  <c r="B2884" i="1"/>
  <c r="A2884" i="1"/>
  <c r="H2883" i="1"/>
  <c r="G2883" i="1"/>
  <c r="F2883" i="1"/>
  <c r="E2883" i="1"/>
  <c r="D2883" i="1"/>
  <c r="C2883" i="1"/>
  <c r="B2883" i="1"/>
  <c r="A2883" i="1"/>
  <c r="H2882" i="1"/>
  <c r="G2882" i="1"/>
  <c r="F2882" i="1"/>
  <c r="E2882" i="1"/>
  <c r="D2882" i="1"/>
  <c r="C2882" i="1"/>
  <c r="B2882" i="1"/>
  <c r="A2882" i="1"/>
  <c r="H2881" i="1"/>
  <c r="G2881" i="1"/>
  <c r="F2881" i="1"/>
  <c r="E2881" i="1"/>
  <c r="D2881" i="1"/>
  <c r="C2881" i="1"/>
  <c r="B2881" i="1"/>
  <c r="A2881" i="1"/>
  <c r="H2880" i="1"/>
  <c r="G2880" i="1"/>
  <c r="F2880" i="1"/>
  <c r="E2880" i="1"/>
  <c r="D2880" i="1"/>
  <c r="C2880" i="1"/>
  <c r="B2880" i="1"/>
  <c r="A2880" i="1"/>
  <c r="H2879" i="1"/>
  <c r="G2879" i="1"/>
  <c r="F2879" i="1"/>
  <c r="E2879" i="1"/>
  <c r="D2879" i="1"/>
  <c r="C2879" i="1"/>
  <c r="B2879" i="1"/>
  <c r="A2879" i="1"/>
  <c r="H2878" i="1"/>
  <c r="G2878" i="1"/>
  <c r="F2878" i="1"/>
  <c r="E2878" i="1"/>
  <c r="D2878" i="1"/>
  <c r="C2878" i="1"/>
  <c r="B2878" i="1"/>
  <c r="A2878" i="1"/>
  <c r="H2877" i="1"/>
  <c r="G2877" i="1"/>
  <c r="F2877" i="1"/>
  <c r="E2877" i="1"/>
  <c r="D2877" i="1"/>
  <c r="C2877" i="1"/>
  <c r="B2877" i="1"/>
  <c r="A2877" i="1"/>
  <c r="H2876" i="1"/>
  <c r="G2876" i="1"/>
  <c r="F2876" i="1"/>
  <c r="E2876" i="1"/>
  <c r="D2876" i="1"/>
  <c r="C2876" i="1"/>
  <c r="B2876" i="1"/>
  <c r="A2876" i="1"/>
  <c r="H2875" i="1"/>
  <c r="G2875" i="1"/>
  <c r="F2875" i="1"/>
  <c r="E2875" i="1"/>
  <c r="D2875" i="1"/>
  <c r="C2875" i="1"/>
  <c r="B2875" i="1"/>
  <c r="A2875" i="1"/>
  <c r="H2874" i="1"/>
  <c r="G2874" i="1"/>
  <c r="F2874" i="1"/>
  <c r="E2874" i="1"/>
  <c r="D2874" i="1"/>
  <c r="C2874" i="1"/>
  <c r="B2874" i="1"/>
  <c r="A2874" i="1"/>
  <c r="H2873" i="1"/>
  <c r="G2873" i="1"/>
  <c r="F2873" i="1"/>
  <c r="E2873" i="1"/>
  <c r="D2873" i="1"/>
  <c r="C2873" i="1"/>
  <c r="B2873" i="1"/>
  <c r="A2873" i="1"/>
  <c r="H2872" i="1"/>
  <c r="G2872" i="1"/>
  <c r="F2872" i="1"/>
  <c r="E2872" i="1"/>
  <c r="D2872" i="1"/>
  <c r="C2872" i="1"/>
  <c r="B2872" i="1"/>
  <c r="A2872" i="1"/>
  <c r="H2871" i="1"/>
  <c r="G2871" i="1"/>
  <c r="F2871" i="1"/>
  <c r="E2871" i="1"/>
  <c r="D2871" i="1"/>
  <c r="C2871" i="1"/>
  <c r="B2871" i="1"/>
  <c r="A2871" i="1"/>
  <c r="H2870" i="1"/>
  <c r="G2870" i="1"/>
  <c r="F2870" i="1"/>
  <c r="E2870" i="1"/>
  <c r="D2870" i="1"/>
  <c r="C2870" i="1"/>
  <c r="B2870" i="1"/>
  <c r="A2870" i="1"/>
  <c r="H2869" i="1"/>
  <c r="G2869" i="1"/>
  <c r="F2869" i="1"/>
  <c r="E2869" i="1"/>
  <c r="D2869" i="1"/>
  <c r="C2869" i="1"/>
  <c r="B2869" i="1"/>
  <c r="A2869" i="1"/>
  <c r="H2868" i="1"/>
  <c r="G2868" i="1"/>
  <c r="F2868" i="1"/>
  <c r="E2868" i="1"/>
  <c r="D2868" i="1"/>
  <c r="C2868" i="1"/>
  <c r="B2868" i="1"/>
  <c r="A2868" i="1"/>
  <c r="H2867" i="1"/>
  <c r="G2867" i="1"/>
  <c r="F2867" i="1"/>
  <c r="E2867" i="1"/>
  <c r="D2867" i="1"/>
  <c r="C2867" i="1"/>
  <c r="B2867" i="1"/>
  <c r="A2867" i="1"/>
  <c r="H2866" i="1"/>
  <c r="G2866" i="1"/>
  <c r="F2866" i="1"/>
  <c r="E2866" i="1"/>
  <c r="D2866" i="1"/>
  <c r="C2866" i="1"/>
  <c r="B2866" i="1"/>
  <c r="A2866" i="1"/>
  <c r="H2865" i="1"/>
  <c r="G2865" i="1"/>
  <c r="F2865" i="1"/>
  <c r="E2865" i="1"/>
  <c r="D2865" i="1"/>
  <c r="C2865" i="1"/>
  <c r="B2865" i="1"/>
  <c r="A2865" i="1"/>
  <c r="H2864" i="1"/>
  <c r="G2864" i="1"/>
  <c r="F2864" i="1"/>
  <c r="E2864" i="1"/>
  <c r="D2864" i="1"/>
  <c r="C2864" i="1"/>
  <c r="B2864" i="1"/>
  <c r="A2864" i="1"/>
  <c r="H2863" i="1"/>
  <c r="G2863" i="1"/>
  <c r="F2863" i="1"/>
  <c r="E2863" i="1"/>
  <c r="D2863" i="1"/>
  <c r="C2863" i="1"/>
  <c r="B2863" i="1"/>
  <c r="A2863" i="1"/>
  <c r="H2862" i="1"/>
  <c r="G2862" i="1"/>
  <c r="F2862" i="1"/>
  <c r="E2862" i="1"/>
  <c r="D2862" i="1"/>
  <c r="C2862" i="1"/>
  <c r="B2862" i="1"/>
  <c r="A2862" i="1"/>
  <c r="H2861" i="1"/>
  <c r="G2861" i="1"/>
  <c r="F2861" i="1"/>
  <c r="E2861" i="1"/>
  <c r="D2861" i="1"/>
  <c r="C2861" i="1"/>
  <c r="B2861" i="1"/>
  <c r="A2861" i="1"/>
  <c r="H2860" i="1"/>
  <c r="G2860" i="1"/>
  <c r="F2860" i="1"/>
  <c r="E2860" i="1"/>
  <c r="D2860" i="1"/>
  <c r="C2860" i="1"/>
  <c r="B2860" i="1"/>
  <c r="A2860" i="1"/>
  <c r="H2859" i="1"/>
  <c r="G2859" i="1"/>
  <c r="F2859" i="1"/>
  <c r="E2859" i="1"/>
  <c r="D2859" i="1"/>
  <c r="C2859" i="1"/>
  <c r="B2859" i="1"/>
  <c r="A2859" i="1"/>
  <c r="H2858" i="1"/>
  <c r="G2858" i="1"/>
  <c r="F2858" i="1"/>
  <c r="E2858" i="1"/>
  <c r="D2858" i="1"/>
  <c r="C2858" i="1"/>
  <c r="B2858" i="1"/>
  <c r="A2858" i="1"/>
  <c r="H2857" i="1"/>
  <c r="G2857" i="1"/>
  <c r="F2857" i="1"/>
  <c r="E2857" i="1"/>
  <c r="D2857" i="1"/>
  <c r="C2857" i="1"/>
  <c r="B2857" i="1"/>
  <c r="A2857" i="1"/>
  <c r="H2856" i="1"/>
  <c r="G2856" i="1"/>
  <c r="F2856" i="1"/>
  <c r="E2856" i="1"/>
  <c r="D2856" i="1"/>
  <c r="C2856" i="1"/>
  <c r="B2856" i="1"/>
  <c r="A2856" i="1"/>
  <c r="H2855" i="1"/>
  <c r="G2855" i="1"/>
  <c r="F2855" i="1"/>
  <c r="E2855" i="1"/>
  <c r="D2855" i="1"/>
  <c r="C2855" i="1"/>
  <c r="B2855" i="1"/>
  <c r="A2855" i="1"/>
  <c r="H2854" i="1"/>
  <c r="G2854" i="1"/>
  <c r="F2854" i="1"/>
  <c r="E2854" i="1"/>
  <c r="D2854" i="1"/>
  <c r="C2854" i="1"/>
  <c r="B2854" i="1"/>
  <c r="A2854" i="1"/>
  <c r="H2853" i="1"/>
  <c r="G2853" i="1"/>
  <c r="F2853" i="1"/>
  <c r="E2853" i="1"/>
  <c r="D2853" i="1"/>
  <c r="C2853" i="1"/>
  <c r="B2853" i="1"/>
  <c r="A2853" i="1"/>
  <c r="H2852" i="1"/>
  <c r="G2852" i="1"/>
  <c r="F2852" i="1"/>
  <c r="E2852" i="1"/>
  <c r="D2852" i="1"/>
  <c r="C2852" i="1"/>
  <c r="B2852" i="1"/>
  <c r="A2852" i="1"/>
  <c r="H2851" i="1"/>
  <c r="G2851" i="1"/>
  <c r="F2851" i="1"/>
  <c r="E2851" i="1"/>
  <c r="D2851" i="1"/>
  <c r="C2851" i="1"/>
  <c r="B2851" i="1"/>
  <c r="A2851" i="1"/>
  <c r="H2850" i="1"/>
  <c r="G2850" i="1"/>
  <c r="F2850" i="1"/>
  <c r="E2850" i="1"/>
  <c r="D2850" i="1"/>
  <c r="C2850" i="1"/>
  <c r="B2850" i="1"/>
  <c r="A2850" i="1"/>
  <c r="H2849" i="1"/>
  <c r="G2849" i="1"/>
  <c r="F2849" i="1"/>
  <c r="E2849" i="1"/>
  <c r="D2849" i="1"/>
  <c r="C2849" i="1"/>
  <c r="B2849" i="1"/>
  <c r="A2849" i="1"/>
  <c r="H2848" i="1"/>
  <c r="G2848" i="1"/>
  <c r="F2848" i="1"/>
  <c r="E2848" i="1"/>
  <c r="D2848" i="1"/>
  <c r="C2848" i="1"/>
  <c r="B2848" i="1"/>
  <c r="A2848" i="1"/>
  <c r="H2847" i="1"/>
  <c r="G2847" i="1"/>
  <c r="F2847" i="1"/>
  <c r="E2847" i="1"/>
  <c r="D2847" i="1"/>
  <c r="C2847" i="1"/>
  <c r="B2847" i="1"/>
  <c r="A2847" i="1"/>
  <c r="H2846" i="1"/>
  <c r="G2846" i="1"/>
  <c r="F2846" i="1"/>
  <c r="E2846" i="1"/>
  <c r="D2846" i="1"/>
  <c r="C2846" i="1"/>
  <c r="B2846" i="1"/>
  <c r="A2846" i="1"/>
  <c r="H2845" i="1"/>
  <c r="G2845" i="1"/>
  <c r="F2845" i="1"/>
  <c r="E2845" i="1"/>
  <c r="D2845" i="1"/>
  <c r="C2845" i="1"/>
  <c r="B2845" i="1"/>
  <c r="A2845" i="1"/>
  <c r="H2844" i="1"/>
  <c r="G2844" i="1"/>
  <c r="F2844" i="1"/>
  <c r="E2844" i="1"/>
  <c r="D2844" i="1"/>
  <c r="C2844" i="1"/>
  <c r="B2844" i="1"/>
  <c r="A2844" i="1"/>
  <c r="H2843" i="1"/>
  <c r="G2843" i="1"/>
  <c r="F2843" i="1"/>
  <c r="E2843" i="1"/>
  <c r="D2843" i="1"/>
  <c r="C2843" i="1"/>
  <c r="B2843" i="1"/>
  <c r="A2843" i="1"/>
  <c r="H2842" i="1"/>
  <c r="G2842" i="1"/>
  <c r="F2842" i="1"/>
  <c r="E2842" i="1"/>
  <c r="D2842" i="1"/>
  <c r="C2842" i="1"/>
  <c r="B2842" i="1"/>
  <c r="A2842" i="1"/>
  <c r="H2841" i="1"/>
  <c r="G2841" i="1"/>
  <c r="F2841" i="1"/>
  <c r="E2841" i="1"/>
  <c r="D2841" i="1"/>
  <c r="C2841" i="1"/>
  <c r="B2841" i="1"/>
  <c r="A2841" i="1"/>
  <c r="H2840" i="1"/>
  <c r="G2840" i="1"/>
  <c r="F2840" i="1"/>
  <c r="E2840" i="1"/>
  <c r="D2840" i="1"/>
  <c r="C2840" i="1"/>
  <c r="B2840" i="1"/>
  <c r="A2840" i="1"/>
  <c r="H2839" i="1"/>
  <c r="G2839" i="1"/>
  <c r="F2839" i="1"/>
  <c r="E2839" i="1"/>
  <c r="D2839" i="1"/>
  <c r="C2839" i="1"/>
  <c r="B2839" i="1"/>
  <c r="A2839" i="1"/>
  <c r="H2838" i="1"/>
  <c r="G2838" i="1"/>
  <c r="F2838" i="1"/>
  <c r="E2838" i="1"/>
  <c r="D2838" i="1"/>
  <c r="C2838" i="1"/>
  <c r="B2838" i="1"/>
  <c r="A2838" i="1"/>
  <c r="H2837" i="1"/>
  <c r="G2837" i="1"/>
  <c r="F2837" i="1"/>
  <c r="E2837" i="1"/>
  <c r="D2837" i="1"/>
  <c r="C2837" i="1"/>
  <c r="B2837" i="1"/>
  <c r="A2837" i="1"/>
  <c r="H2836" i="1"/>
  <c r="G2836" i="1"/>
  <c r="F2836" i="1"/>
  <c r="E2836" i="1"/>
  <c r="D2836" i="1"/>
  <c r="C2836" i="1"/>
  <c r="B2836" i="1"/>
  <c r="A2836" i="1"/>
  <c r="H2835" i="1"/>
  <c r="G2835" i="1"/>
  <c r="F2835" i="1"/>
  <c r="E2835" i="1"/>
  <c r="D2835" i="1"/>
  <c r="C2835" i="1"/>
  <c r="B2835" i="1"/>
  <c r="A2835" i="1"/>
  <c r="H2834" i="1"/>
  <c r="G2834" i="1"/>
  <c r="F2834" i="1"/>
  <c r="E2834" i="1"/>
  <c r="D2834" i="1"/>
  <c r="C2834" i="1"/>
  <c r="B2834" i="1"/>
  <c r="A2834" i="1"/>
  <c r="H2833" i="1"/>
  <c r="G2833" i="1"/>
  <c r="F2833" i="1"/>
  <c r="E2833" i="1"/>
  <c r="D2833" i="1"/>
  <c r="C2833" i="1"/>
  <c r="B2833" i="1"/>
  <c r="A2833" i="1"/>
  <c r="H2832" i="1"/>
  <c r="G2832" i="1"/>
  <c r="F2832" i="1"/>
  <c r="E2832" i="1"/>
  <c r="D2832" i="1"/>
  <c r="C2832" i="1"/>
  <c r="B2832" i="1"/>
  <c r="A2832" i="1"/>
  <c r="H2831" i="1"/>
  <c r="G2831" i="1"/>
  <c r="F2831" i="1"/>
  <c r="E2831" i="1"/>
  <c r="D2831" i="1"/>
  <c r="C2831" i="1"/>
  <c r="B2831" i="1"/>
  <c r="A2831" i="1"/>
  <c r="H2830" i="1"/>
  <c r="G2830" i="1"/>
  <c r="F2830" i="1"/>
  <c r="E2830" i="1"/>
  <c r="D2830" i="1"/>
  <c r="C2830" i="1"/>
  <c r="B2830" i="1"/>
  <c r="A2830" i="1"/>
  <c r="H2829" i="1"/>
  <c r="G2829" i="1"/>
  <c r="F2829" i="1"/>
  <c r="E2829" i="1"/>
  <c r="D2829" i="1"/>
  <c r="C2829" i="1"/>
  <c r="B2829" i="1"/>
  <c r="A2829" i="1"/>
  <c r="H2828" i="1"/>
  <c r="G2828" i="1"/>
  <c r="F2828" i="1"/>
  <c r="E2828" i="1"/>
  <c r="D2828" i="1"/>
  <c r="C2828" i="1"/>
  <c r="B2828" i="1"/>
  <c r="A2828" i="1"/>
  <c r="H2827" i="1"/>
  <c r="G2827" i="1"/>
  <c r="F2827" i="1"/>
  <c r="E2827" i="1"/>
  <c r="D2827" i="1"/>
  <c r="C2827" i="1"/>
  <c r="B2827" i="1"/>
  <c r="A2827" i="1"/>
  <c r="H2826" i="1"/>
  <c r="G2826" i="1"/>
  <c r="F2826" i="1"/>
  <c r="E2826" i="1"/>
  <c r="D2826" i="1"/>
  <c r="C2826" i="1"/>
  <c r="B2826" i="1"/>
  <c r="A2826" i="1"/>
  <c r="H2825" i="1"/>
  <c r="G2825" i="1"/>
  <c r="F2825" i="1"/>
  <c r="E2825" i="1"/>
  <c r="D2825" i="1"/>
  <c r="C2825" i="1"/>
  <c r="B2825" i="1"/>
  <c r="A2825" i="1"/>
  <c r="H2824" i="1"/>
  <c r="G2824" i="1"/>
  <c r="F2824" i="1"/>
  <c r="E2824" i="1"/>
  <c r="D2824" i="1"/>
  <c r="C2824" i="1"/>
  <c r="B2824" i="1"/>
  <c r="A2824" i="1"/>
  <c r="H2823" i="1"/>
  <c r="G2823" i="1"/>
  <c r="F2823" i="1"/>
  <c r="E2823" i="1"/>
  <c r="D2823" i="1"/>
  <c r="C2823" i="1"/>
  <c r="B2823" i="1"/>
  <c r="A2823" i="1"/>
  <c r="H2822" i="1"/>
  <c r="G2822" i="1"/>
  <c r="F2822" i="1"/>
  <c r="E2822" i="1"/>
  <c r="D2822" i="1"/>
  <c r="C2822" i="1"/>
  <c r="B2822" i="1"/>
  <c r="A2822" i="1"/>
  <c r="H2821" i="1"/>
  <c r="G2821" i="1"/>
  <c r="F2821" i="1"/>
  <c r="E2821" i="1"/>
  <c r="D2821" i="1"/>
  <c r="C2821" i="1"/>
  <c r="B2821" i="1"/>
  <c r="A2821" i="1"/>
  <c r="H2820" i="1"/>
  <c r="G2820" i="1"/>
  <c r="F2820" i="1"/>
  <c r="E2820" i="1"/>
  <c r="D2820" i="1"/>
  <c r="C2820" i="1"/>
  <c r="B2820" i="1"/>
  <c r="A2820" i="1"/>
  <c r="H2819" i="1"/>
  <c r="G2819" i="1"/>
  <c r="F2819" i="1"/>
  <c r="E2819" i="1"/>
  <c r="D2819" i="1"/>
  <c r="C2819" i="1"/>
  <c r="B2819" i="1"/>
  <c r="A2819" i="1"/>
  <c r="H2818" i="1"/>
  <c r="G2818" i="1"/>
  <c r="F2818" i="1"/>
  <c r="E2818" i="1"/>
  <c r="D2818" i="1"/>
  <c r="C2818" i="1"/>
  <c r="B2818" i="1"/>
  <c r="A2818" i="1"/>
  <c r="H2817" i="1"/>
  <c r="G2817" i="1"/>
  <c r="F2817" i="1"/>
  <c r="E2817" i="1"/>
  <c r="D2817" i="1"/>
  <c r="C2817" i="1"/>
  <c r="B2817" i="1"/>
  <c r="A2817" i="1"/>
  <c r="H2816" i="1"/>
  <c r="G2816" i="1"/>
  <c r="F2816" i="1"/>
  <c r="E2816" i="1"/>
  <c r="D2816" i="1"/>
  <c r="C2816" i="1"/>
  <c r="B2816" i="1"/>
  <c r="A2816" i="1"/>
  <c r="H2815" i="1"/>
  <c r="G2815" i="1"/>
  <c r="F2815" i="1"/>
  <c r="E2815" i="1"/>
  <c r="D2815" i="1"/>
  <c r="C2815" i="1"/>
  <c r="B2815" i="1"/>
  <c r="A2815" i="1"/>
  <c r="H2814" i="1"/>
  <c r="G2814" i="1"/>
  <c r="F2814" i="1"/>
  <c r="E2814" i="1"/>
  <c r="D2814" i="1"/>
  <c r="C2814" i="1"/>
  <c r="B2814" i="1"/>
  <c r="A2814" i="1"/>
  <c r="H2813" i="1"/>
  <c r="G2813" i="1"/>
  <c r="F2813" i="1"/>
  <c r="E2813" i="1"/>
  <c r="D2813" i="1"/>
  <c r="C2813" i="1"/>
  <c r="B2813" i="1"/>
  <c r="A2813" i="1"/>
  <c r="H2812" i="1"/>
  <c r="G2812" i="1"/>
  <c r="F2812" i="1"/>
  <c r="E2812" i="1"/>
  <c r="D2812" i="1"/>
  <c r="C2812" i="1"/>
  <c r="B2812" i="1"/>
  <c r="A2812" i="1"/>
  <c r="H2811" i="1"/>
  <c r="G2811" i="1"/>
  <c r="F2811" i="1"/>
  <c r="E2811" i="1"/>
  <c r="D2811" i="1"/>
  <c r="C2811" i="1"/>
  <c r="B2811" i="1"/>
  <c r="A2811" i="1"/>
  <c r="H2810" i="1"/>
  <c r="G2810" i="1"/>
  <c r="F2810" i="1"/>
  <c r="E2810" i="1"/>
  <c r="D2810" i="1"/>
  <c r="C2810" i="1"/>
  <c r="B2810" i="1"/>
  <c r="A2810" i="1"/>
  <c r="H2809" i="1"/>
  <c r="G2809" i="1"/>
  <c r="F2809" i="1"/>
  <c r="E2809" i="1"/>
  <c r="D2809" i="1"/>
  <c r="C2809" i="1"/>
  <c r="B2809" i="1"/>
  <c r="A2809" i="1"/>
  <c r="H2808" i="1"/>
  <c r="G2808" i="1"/>
  <c r="F2808" i="1"/>
  <c r="E2808" i="1"/>
  <c r="D2808" i="1"/>
  <c r="C2808" i="1"/>
  <c r="B2808" i="1"/>
  <c r="A2808" i="1"/>
  <c r="H2807" i="1"/>
  <c r="G2807" i="1"/>
  <c r="F2807" i="1"/>
  <c r="E2807" i="1"/>
  <c r="D2807" i="1"/>
  <c r="C2807" i="1"/>
  <c r="B2807" i="1"/>
  <c r="A2807" i="1"/>
  <c r="H2806" i="1"/>
  <c r="G2806" i="1"/>
  <c r="F2806" i="1"/>
  <c r="E2806" i="1"/>
  <c r="D2806" i="1"/>
  <c r="C2806" i="1"/>
  <c r="B2806" i="1"/>
  <c r="A2806" i="1"/>
  <c r="H2805" i="1"/>
  <c r="G2805" i="1"/>
  <c r="F2805" i="1"/>
  <c r="E2805" i="1"/>
  <c r="D2805" i="1"/>
  <c r="C2805" i="1"/>
  <c r="B2805" i="1"/>
  <c r="A2805" i="1"/>
  <c r="H2804" i="1"/>
  <c r="G2804" i="1"/>
  <c r="F2804" i="1"/>
  <c r="E2804" i="1"/>
  <c r="D2804" i="1"/>
  <c r="C2804" i="1"/>
  <c r="B2804" i="1"/>
  <c r="A2804" i="1"/>
  <c r="H2803" i="1"/>
  <c r="G2803" i="1"/>
  <c r="F2803" i="1"/>
  <c r="E2803" i="1"/>
  <c r="D2803" i="1"/>
  <c r="C2803" i="1"/>
  <c r="B2803" i="1"/>
  <c r="A2803" i="1"/>
  <c r="H2802" i="1"/>
  <c r="G2802" i="1"/>
  <c r="F2802" i="1"/>
  <c r="E2802" i="1"/>
  <c r="D2802" i="1"/>
  <c r="C2802" i="1"/>
  <c r="B2802" i="1"/>
  <c r="A2802" i="1"/>
  <c r="H2801" i="1"/>
  <c r="G2801" i="1"/>
  <c r="F2801" i="1"/>
  <c r="E2801" i="1"/>
  <c r="D2801" i="1"/>
  <c r="C2801" i="1"/>
  <c r="B2801" i="1"/>
  <c r="A2801" i="1"/>
  <c r="H2800" i="1"/>
  <c r="G2800" i="1"/>
  <c r="F2800" i="1"/>
  <c r="E2800" i="1"/>
  <c r="D2800" i="1"/>
  <c r="C2800" i="1"/>
  <c r="B2800" i="1"/>
  <c r="A2800" i="1"/>
  <c r="H2799" i="1"/>
  <c r="G2799" i="1"/>
  <c r="F2799" i="1"/>
  <c r="E2799" i="1"/>
  <c r="D2799" i="1"/>
  <c r="C2799" i="1"/>
  <c r="B2799" i="1"/>
  <c r="A2799" i="1"/>
  <c r="H2798" i="1"/>
  <c r="G2798" i="1"/>
  <c r="F2798" i="1"/>
  <c r="E2798" i="1"/>
  <c r="D2798" i="1"/>
  <c r="C2798" i="1"/>
  <c r="B2798" i="1"/>
  <c r="A2798" i="1"/>
  <c r="H2797" i="1"/>
  <c r="G2797" i="1"/>
  <c r="F2797" i="1"/>
  <c r="E2797" i="1"/>
  <c r="D2797" i="1"/>
  <c r="C2797" i="1"/>
  <c r="B2797" i="1"/>
  <c r="A2797" i="1"/>
  <c r="H2796" i="1"/>
  <c r="G2796" i="1"/>
  <c r="F2796" i="1"/>
  <c r="E2796" i="1"/>
  <c r="D2796" i="1"/>
  <c r="C2796" i="1"/>
  <c r="B2796" i="1"/>
  <c r="A2796" i="1"/>
  <c r="H2795" i="1"/>
  <c r="G2795" i="1"/>
  <c r="F2795" i="1"/>
  <c r="E2795" i="1"/>
  <c r="D2795" i="1"/>
  <c r="C2795" i="1"/>
  <c r="B2795" i="1"/>
  <c r="A2795" i="1"/>
  <c r="H2794" i="1"/>
  <c r="G2794" i="1"/>
  <c r="F2794" i="1"/>
  <c r="E2794" i="1"/>
  <c r="D2794" i="1"/>
  <c r="C2794" i="1"/>
  <c r="B2794" i="1"/>
  <c r="A2794" i="1"/>
  <c r="H2793" i="1"/>
  <c r="G2793" i="1"/>
  <c r="F2793" i="1"/>
  <c r="E2793" i="1"/>
  <c r="D2793" i="1"/>
  <c r="C2793" i="1"/>
  <c r="B2793" i="1"/>
  <c r="A2793" i="1"/>
  <c r="H2792" i="1"/>
  <c r="G2792" i="1"/>
  <c r="F2792" i="1"/>
  <c r="E2792" i="1"/>
  <c r="D2792" i="1"/>
  <c r="C2792" i="1"/>
  <c r="B2792" i="1"/>
  <c r="A2792" i="1"/>
  <c r="H2791" i="1"/>
  <c r="G2791" i="1"/>
  <c r="F2791" i="1"/>
  <c r="E2791" i="1"/>
  <c r="D2791" i="1"/>
  <c r="C2791" i="1"/>
  <c r="B2791" i="1"/>
  <c r="A2791" i="1"/>
  <c r="H2790" i="1"/>
  <c r="G2790" i="1"/>
  <c r="F2790" i="1"/>
  <c r="E2790" i="1"/>
  <c r="D2790" i="1"/>
  <c r="C2790" i="1"/>
  <c r="B2790" i="1"/>
  <c r="A2790" i="1"/>
  <c r="H2789" i="1"/>
  <c r="G2789" i="1"/>
  <c r="F2789" i="1"/>
  <c r="E2789" i="1"/>
  <c r="D2789" i="1"/>
  <c r="C2789" i="1"/>
  <c r="B2789" i="1"/>
  <c r="A2789" i="1"/>
  <c r="H2788" i="1"/>
  <c r="G2788" i="1"/>
  <c r="F2788" i="1"/>
  <c r="E2788" i="1"/>
  <c r="D2788" i="1"/>
  <c r="C2788" i="1"/>
  <c r="B2788" i="1"/>
  <c r="A2788" i="1"/>
  <c r="H2787" i="1"/>
  <c r="G2787" i="1"/>
  <c r="F2787" i="1"/>
  <c r="E2787" i="1"/>
  <c r="D2787" i="1"/>
  <c r="C2787" i="1"/>
  <c r="B2787" i="1"/>
  <c r="A2787" i="1"/>
  <c r="H2786" i="1"/>
  <c r="G2786" i="1"/>
  <c r="F2786" i="1"/>
  <c r="E2786" i="1"/>
  <c r="D2786" i="1"/>
  <c r="C2786" i="1"/>
  <c r="B2786" i="1"/>
  <c r="A2786" i="1"/>
  <c r="H2785" i="1"/>
  <c r="G2785" i="1"/>
  <c r="F2785" i="1"/>
  <c r="E2785" i="1"/>
  <c r="D2785" i="1"/>
  <c r="C2785" i="1"/>
  <c r="B2785" i="1"/>
  <c r="A2785" i="1"/>
  <c r="H2784" i="1"/>
  <c r="G2784" i="1"/>
  <c r="F2784" i="1"/>
  <c r="E2784" i="1"/>
  <c r="D2784" i="1"/>
  <c r="C2784" i="1"/>
  <c r="B2784" i="1"/>
  <c r="A2784" i="1"/>
  <c r="H2783" i="1"/>
  <c r="G2783" i="1"/>
  <c r="F2783" i="1"/>
  <c r="E2783" i="1"/>
  <c r="D2783" i="1"/>
  <c r="C2783" i="1"/>
  <c r="B2783" i="1"/>
  <c r="A2783" i="1"/>
  <c r="H2782" i="1"/>
  <c r="G2782" i="1"/>
  <c r="F2782" i="1"/>
  <c r="E2782" i="1"/>
  <c r="D2782" i="1"/>
  <c r="C2782" i="1"/>
  <c r="B2782" i="1"/>
  <c r="A2782" i="1"/>
  <c r="H2781" i="1"/>
  <c r="G2781" i="1"/>
  <c r="F2781" i="1"/>
  <c r="E2781" i="1"/>
  <c r="D2781" i="1"/>
  <c r="C2781" i="1"/>
  <c r="B2781" i="1"/>
  <c r="A2781" i="1"/>
  <c r="H2780" i="1"/>
  <c r="G2780" i="1"/>
  <c r="F2780" i="1"/>
  <c r="E2780" i="1"/>
  <c r="D2780" i="1"/>
  <c r="C2780" i="1"/>
  <c r="B2780" i="1"/>
  <c r="A2780" i="1"/>
  <c r="H2779" i="1"/>
  <c r="G2779" i="1"/>
  <c r="F2779" i="1"/>
  <c r="E2779" i="1"/>
  <c r="D2779" i="1"/>
  <c r="C2779" i="1"/>
  <c r="B2779" i="1"/>
  <c r="A2779" i="1"/>
  <c r="H2778" i="1"/>
  <c r="G2778" i="1"/>
  <c r="F2778" i="1"/>
  <c r="E2778" i="1"/>
  <c r="D2778" i="1"/>
  <c r="C2778" i="1"/>
  <c r="B2778" i="1"/>
  <c r="A2778" i="1"/>
  <c r="H2777" i="1"/>
  <c r="G2777" i="1"/>
  <c r="F2777" i="1"/>
  <c r="E2777" i="1"/>
  <c r="D2777" i="1"/>
  <c r="C2777" i="1"/>
  <c r="B2777" i="1"/>
  <c r="A2777" i="1"/>
  <c r="H2776" i="1"/>
  <c r="G2776" i="1"/>
  <c r="F2776" i="1"/>
  <c r="E2776" i="1"/>
  <c r="D2776" i="1"/>
  <c r="C2776" i="1"/>
  <c r="B2776" i="1"/>
  <c r="A2776" i="1"/>
  <c r="H2775" i="1"/>
  <c r="G2775" i="1"/>
  <c r="F2775" i="1"/>
  <c r="E2775" i="1"/>
  <c r="D2775" i="1"/>
  <c r="C2775" i="1"/>
  <c r="B2775" i="1"/>
  <c r="A2775" i="1"/>
  <c r="H2774" i="1"/>
  <c r="G2774" i="1"/>
  <c r="F2774" i="1"/>
  <c r="E2774" i="1"/>
  <c r="D2774" i="1"/>
  <c r="C2774" i="1"/>
  <c r="B2774" i="1"/>
  <c r="A2774" i="1"/>
  <c r="H2773" i="1"/>
  <c r="G2773" i="1"/>
  <c r="F2773" i="1"/>
  <c r="E2773" i="1"/>
  <c r="D2773" i="1"/>
  <c r="C2773" i="1"/>
  <c r="B2773" i="1"/>
  <c r="A2773" i="1"/>
  <c r="H2772" i="1"/>
  <c r="G2772" i="1"/>
  <c r="F2772" i="1"/>
  <c r="E2772" i="1"/>
  <c r="D2772" i="1"/>
  <c r="C2772" i="1"/>
  <c r="B2772" i="1"/>
  <c r="A2772" i="1"/>
  <c r="H2771" i="1"/>
  <c r="G2771" i="1"/>
  <c r="F2771" i="1"/>
  <c r="E2771" i="1"/>
  <c r="D2771" i="1"/>
  <c r="C2771" i="1"/>
  <c r="B2771" i="1"/>
  <c r="A2771" i="1"/>
  <c r="H2770" i="1"/>
  <c r="G2770" i="1"/>
  <c r="F2770" i="1"/>
  <c r="E2770" i="1"/>
  <c r="D2770" i="1"/>
  <c r="C2770" i="1"/>
  <c r="B2770" i="1"/>
  <c r="A2770" i="1"/>
  <c r="H2769" i="1"/>
  <c r="G2769" i="1"/>
  <c r="F2769" i="1"/>
  <c r="E2769" i="1"/>
  <c r="D2769" i="1"/>
  <c r="C2769" i="1"/>
  <c r="B2769" i="1"/>
  <c r="A2769" i="1"/>
  <c r="H2768" i="1"/>
  <c r="G2768" i="1"/>
  <c r="F2768" i="1"/>
  <c r="E2768" i="1"/>
  <c r="D2768" i="1"/>
  <c r="C2768" i="1"/>
  <c r="B2768" i="1"/>
  <c r="A2768" i="1"/>
  <c r="H2767" i="1"/>
  <c r="G2767" i="1"/>
  <c r="F2767" i="1"/>
  <c r="E2767" i="1"/>
  <c r="D2767" i="1"/>
  <c r="C2767" i="1"/>
  <c r="B2767" i="1"/>
  <c r="A2767" i="1"/>
  <c r="H2766" i="1"/>
  <c r="G2766" i="1"/>
  <c r="F2766" i="1"/>
  <c r="E2766" i="1"/>
  <c r="D2766" i="1"/>
  <c r="C2766" i="1"/>
  <c r="B2766" i="1"/>
  <c r="A2766" i="1"/>
  <c r="H2765" i="1"/>
  <c r="G2765" i="1"/>
  <c r="F2765" i="1"/>
  <c r="E2765" i="1"/>
  <c r="D2765" i="1"/>
  <c r="C2765" i="1"/>
  <c r="B2765" i="1"/>
  <c r="A2765" i="1"/>
  <c r="H2764" i="1"/>
  <c r="G2764" i="1"/>
  <c r="F2764" i="1"/>
  <c r="E2764" i="1"/>
  <c r="D2764" i="1"/>
  <c r="C2764" i="1"/>
  <c r="B2764" i="1"/>
  <c r="A2764" i="1"/>
  <c r="H2763" i="1"/>
  <c r="G2763" i="1"/>
  <c r="F2763" i="1"/>
  <c r="E2763" i="1"/>
  <c r="D2763" i="1"/>
  <c r="C2763" i="1"/>
  <c r="B2763" i="1"/>
  <c r="A2763" i="1"/>
  <c r="H2762" i="1"/>
  <c r="G2762" i="1"/>
  <c r="F2762" i="1"/>
  <c r="E2762" i="1"/>
  <c r="D2762" i="1"/>
  <c r="C2762" i="1"/>
  <c r="B2762" i="1"/>
  <c r="A2762" i="1"/>
  <c r="H2761" i="1"/>
  <c r="G2761" i="1"/>
  <c r="F2761" i="1"/>
  <c r="E2761" i="1"/>
  <c r="D2761" i="1"/>
  <c r="C2761" i="1"/>
  <c r="B2761" i="1"/>
  <c r="A2761" i="1"/>
  <c r="H2760" i="1"/>
  <c r="G2760" i="1"/>
  <c r="F2760" i="1"/>
  <c r="E2760" i="1"/>
  <c r="D2760" i="1"/>
  <c r="C2760" i="1"/>
  <c r="B2760" i="1"/>
  <c r="A2760" i="1"/>
  <c r="H2759" i="1"/>
  <c r="G2759" i="1"/>
  <c r="F2759" i="1"/>
  <c r="E2759" i="1"/>
  <c r="D2759" i="1"/>
  <c r="C2759" i="1"/>
  <c r="B2759" i="1"/>
  <c r="A2759" i="1"/>
  <c r="H2758" i="1"/>
  <c r="G2758" i="1"/>
  <c r="F2758" i="1"/>
  <c r="E2758" i="1"/>
  <c r="D2758" i="1"/>
  <c r="C2758" i="1"/>
  <c r="B2758" i="1"/>
  <c r="A2758" i="1"/>
  <c r="H2757" i="1"/>
  <c r="G2757" i="1"/>
  <c r="F2757" i="1"/>
  <c r="E2757" i="1"/>
  <c r="D2757" i="1"/>
  <c r="C2757" i="1"/>
  <c r="B2757" i="1"/>
  <c r="A2757" i="1"/>
  <c r="H2756" i="1"/>
  <c r="G2756" i="1"/>
  <c r="F2756" i="1"/>
  <c r="E2756" i="1"/>
  <c r="D2756" i="1"/>
  <c r="C2756" i="1"/>
  <c r="B2756" i="1"/>
  <c r="A2756" i="1"/>
  <c r="H2755" i="1"/>
  <c r="G2755" i="1"/>
  <c r="F2755" i="1"/>
  <c r="E2755" i="1"/>
  <c r="D2755" i="1"/>
  <c r="C2755" i="1"/>
  <c r="B2755" i="1"/>
  <c r="A2755" i="1"/>
  <c r="H2754" i="1"/>
  <c r="G2754" i="1"/>
  <c r="F2754" i="1"/>
  <c r="E2754" i="1"/>
  <c r="D2754" i="1"/>
  <c r="C2754" i="1"/>
  <c r="B2754" i="1"/>
  <c r="A2754" i="1"/>
  <c r="H2753" i="1"/>
  <c r="G2753" i="1"/>
  <c r="F2753" i="1"/>
  <c r="E2753" i="1"/>
  <c r="D2753" i="1"/>
  <c r="C2753" i="1"/>
  <c r="B2753" i="1"/>
  <c r="A2753" i="1"/>
  <c r="H2752" i="1"/>
  <c r="G2752" i="1"/>
  <c r="F2752" i="1"/>
  <c r="E2752" i="1"/>
  <c r="D2752" i="1"/>
  <c r="C2752" i="1"/>
  <c r="B2752" i="1"/>
  <c r="A2752" i="1"/>
  <c r="H2751" i="1"/>
  <c r="G2751" i="1"/>
  <c r="F2751" i="1"/>
  <c r="E2751" i="1"/>
  <c r="D2751" i="1"/>
  <c r="C2751" i="1"/>
  <c r="B2751" i="1"/>
  <c r="A2751" i="1"/>
  <c r="H2750" i="1"/>
  <c r="G2750" i="1"/>
  <c r="F2750" i="1"/>
  <c r="E2750" i="1"/>
  <c r="D2750" i="1"/>
  <c r="C2750" i="1"/>
  <c r="B2750" i="1"/>
  <c r="A2750" i="1"/>
  <c r="H2749" i="1"/>
  <c r="G2749" i="1"/>
  <c r="F2749" i="1"/>
  <c r="E2749" i="1"/>
  <c r="D2749" i="1"/>
  <c r="C2749" i="1"/>
  <c r="B2749" i="1"/>
  <c r="A2749" i="1"/>
  <c r="H2748" i="1"/>
  <c r="G2748" i="1"/>
  <c r="F2748" i="1"/>
  <c r="E2748" i="1"/>
  <c r="D2748" i="1"/>
  <c r="C2748" i="1"/>
  <c r="B2748" i="1"/>
  <c r="A2748" i="1"/>
  <c r="H2747" i="1"/>
  <c r="G2747" i="1"/>
  <c r="F2747" i="1"/>
  <c r="E2747" i="1"/>
  <c r="D2747" i="1"/>
  <c r="C2747" i="1"/>
  <c r="B2747" i="1"/>
  <c r="A2747" i="1"/>
  <c r="H2746" i="1"/>
  <c r="G2746" i="1"/>
  <c r="F2746" i="1"/>
  <c r="E2746" i="1"/>
  <c r="D2746" i="1"/>
  <c r="C2746" i="1"/>
  <c r="B2746" i="1"/>
  <c r="A2746" i="1"/>
  <c r="H2745" i="1"/>
  <c r="G2745" i="1"/>
  <c r="F2745" i="1"/>
  <c r="E2745" i="1"/>
  <c r="D2745" i="1"/>
  <c r="C2745" i="1"/>
  <c r="B2745" i="1"/>
  <c r="A2745" i="1"/>
  <c r="H2744" i="1"/>
  <c r="G2744" i="1"/>
  <c r="F2744" i="1"/>
  <c r="E2744" i="1"/>
  <c r="D2744" i="1"/>
  <c r="C2744" i="1"/>
  <c r="B2744" i="1"/>
  <c r="A2744" i="1"/>
  <c r="H2743" i="1"/>
  <c r="G2743" i="1"/>
  <c r="F2743" i="1"/>
  <c r="E2743" i="1"/>
  <c r="D2743" i="1"/>
  <c r="C2743" i="1"/>
  <c r="B2743" i="1"/>
  <c r="A2743" i="1"/>
  <c r="H2742" i="1"/>
  <c r="G2742" i="1"/>
  <c r="F2742" i="1"/>
  <c r="E2742" i="1"/>
  <c r="D2742" i="1"/>
  <c r="C2742" i="1"/>
  <c r="B2742" i="1"/>
  <c r="A2742" i="1"/>
  <c r="H2741" i="1"/>
  <c r="G2741" i="1"/>
  <c r="F2741" i="1"/>
  <c r="E2741" i="1"/>
  <c r="D2741" i="1"/>
  <c r="C2741" i="1"/>
  <c r="B2741" i="1"/>
  <c r="A2741" i="1"/>
  <c r="H2740" i="1"/>
  <c r="G2740" i="1"/>
  <c r="F2740" i="1"/>
  <c r="E2740" i="1"/>
  <c r="D2740" i="1"/>
  <c r="C2740" i="1"/>
  <c r="B2740" i="1"/>
  <c r="A2740" i="1"/>
  <c r="H2739" i="1"/>
  <c r="G2739" i="1"/>
  <c r="F2739" i="1"/>
  <c r="E2739" i="1"/>
  <c r="D2739" i="1"/>
  <c r="C2739" i="1"/>
  <c r="B2739" i="1"/>
  <c r="A2739" i="1"/>
  <c r="H2738" i="1"/>
  <c r="G2738" i="1"/>
  <c r="F2738" i="1"/>
  <c r="E2738" i="1"/>
  <c r="D2738" i="1"/>
  <c r="C2738" i="1"/>
  <c r="B2738" i="1"/>
  <c r="A2738" i="1"/>
  <c r="H2737" i="1"/>
  <c r="G2737" i="1"/>
  <c r="F2737" i="1"/>
  <c r="E2737" i="1"/>
  <c r="D2737" i="1"/>
  <c r="C2737" i="1"/>
  <c r="B2737" i="1"/>
  <c r="A2737" i="1"/>
  <c r="H2736" i="1"/>
  <c r="G2736" i="1"/>
  <c r="F2736" i="1"/>
  <c r="E2736" i="1"/>
  <c r="D2736" i="1"/>
  <c r="C2736" i="1"/>
  <c r="B2736" i="1"/>
  <c r="A2736" i="1"/>
  <c r="H2735" i="1"/>
  <c r="G2735" i="1"/>
  <c r="F2735" i="1"/>
  <c r="E2735" i="1"/>
  <c r="D2735" i="1"/>
  <c r="C2735" i="1"/>
  <c r="B2735" i="1"/>
  <c r="A2735" i="1"/>
  <c r="H2734" i="1"/>
  <c r="G2734" i="1"/>
  <c r="F2734" i="1"/>
  <c r="E2734" i="1"/>
  <c r="D2734" i="1"/>
  <c r="C2734" i="1"/>
  <c r="B2734" i="1"/>
  <c r="A2734" i="1"/>
  <c r="H2733" i="1"/>
  <c r="G2733" i="1"/>
  <c r="F2733" i="1"/>
  <c r="E2733" i="1"/>
  <c r="D2733" i="1"/>
  <c r="C2733" i="1"/>
  <c r="B2733" i="1"/>
  <c r="A2733" i="1"/>
  <c r="H2732" i="1"/>
  <c r="G2732" i="1"/>
  <c r="F2732" i="1"/>
  <c r="E2732" i="1"/>
  <c r="D2732" i="1"/>
  <c r="C2732" i="1"/>
  <c r="B2732" i="1"/>
  <c r="A2732" i="1"/>
  <c r="H2731" i="1"/>
  <c r="G2731" i="1"/>
  <c r="F2731" i="1"/>
  <c r="E2731" i="1"/>
  <c r="D2731" i="1"/>
  <c r="C2731" i="1"/>
  <c r="B2731" i="1"/>
  <c r="A2731" i="1"/>
  <c r="H2730" i="1"/>
  <c r="G2730" i="1"/>
  <c r="F2730" i="1"/>
  <c r="E2730" i="1"/>
  <c r="D2730" i="1"/>
  <c r="C2730" i="1"/>
  <c r="B2730" i="1"/>
  <c r="A2730" i="1"/>
  <c r="H2729" i="1"/>
  <c r="G2729" i="1"/>
  <c r="F2729" i="1"/>
  <c r="E2729" i="1"/>
  <c r="D2729" i="1"/>
  <c r="C2729" i="1"/>
  <c r="B2729" i="1"/>
  <c r="A2729" i="1"/>
  <c r="H2728" i="1"/>
  <c r="G2728" i="1"/>
  <c r="F2728" i="1"/>
  <c r="E2728" i="1"/>
  <c r="D2728" i="1"/>
  <c r="C2728" i="1"/>
  <c r="B2728" i="1"/>
  <c r="A2728" i="1"/>
  <c r="H2727" i="1"/>
  <c r="G2727" i="1"/>
  <c r="F2727" i="1"/>
  <c r="E2727" i="1"/>
  <c r="D2727" i="1"/>
  <c r="C2727" i="1"/>
  <c r="B2727" i="1"/>
  <c r="A2727" i="1"/>
  <c r="H2726" i="1"/>
  <c r="G2726" i="1"/>
  <c r="F2726" i="1"/>
  <c r="E2726" i="1"/>
  <c r="D2726" i="1"/>
  <c r="C2726" i="1"/>
  <c r="B2726" i="1"/>
  <c r="A2726" i="1"/>
  <c r="H2725" i="1"/>
  <c r="G2725" i="1"/>
  <c r="F2725" i="1"/>
  <c r="E2725" i="1"/>
  <c r="D2725" i="1"/>
  <c r="C2725" i="1"/>
  <c r="B2725" i="1"/>
  <c r="A2725" i="1"/>
  <c r="H2724" i="1"/>
  <c r="G2724" i="1"/>
  <c r="F2724" i="1"/>
  <c r="E2724" i="1"/>
  <c r="D2724" i="1"/>
  <c r="C2724" i="1"/>
  <c r="B2724" i="1"/>
  <c r="A2724" i="1"/>
  <c r="H2723" i="1"/>
  <c r="G2723" i="1"/>
  <c r="F2723" i="1"/>
  <c r="E2723" i="1"/>
  <c r="D2723" i="1"/>
  <c r="C2723" i="1"/>
  <c r="B2723" i="1"/>
  <c r="A2723" i="1"/>
  <c r="H2722" i="1"/>
  <c r="G2722" i="1"/>
  <c r="F2722" i="1"/>
  <c r="E2722" i="1"/>
  <c r="D2722" i="1"/>
  <c r="C2722" i="1"/>
  <c r="B2722" i="1"/>
  <c r="A2722" i="1"/>
  <c r="H2721" i="1"/>
  <c r="G2721" i="1"/>
  <c r="F2721" i="1"/>
  <c r="E2721" i="1"/>
  <c r="D2721" i="1"/>
  <c r="C2721" i="1"/>
  <c r="B2721" i="1"/>
  <c r="A2721" i="1"/>
  <c r="H2720" i="1"/>
  <c r="G2720" i="1"/>
  <c r="F2720" i="1"/>
  <c r="E2720" i="1"/>
  <c r="D2720" i="1"/>
  <c r="C2720" i="1"/>
  <c r="B2720" i="1"/>
  <c r="A2720" i="1"/>
  <c r="H2719" i="1"/>
  <c r="G2719" i="1"/>
  <c r="F2719" i="1"/>
  <c r="E2719" i="1"/>
  <c r="D2719" i="1"/>
  <c r="C2719" i="1"/>
  <c r="B2719" i="1"/>
  <c r="A2719" i="1"/>
  <c r="H2718" i="1"/>
  <c r="G2718" i="1"/>
  <c r="F2718" i="1"/>
  <c r="E2718" i="1"/>
  <c r="D2718" i="1"/>
  <c r="C2718" i="1"/>
  <c r="B2718" i="1"/>
  <c r="A2718" i="1"/>
  <c r="H2717" i="1"/>
  <c r="G2717" i="1"/>
  <c r="F2717" i="1"/>
  <c r="E2717" i="1"/>
  <c r="D2717" i="1"/>
  <c r="C2717" i="1"/>
  <c r="B2717" i="1"/>
  <c r="A2717" i="1"/>
  <c r="H2716" i="1"/>
  <c r="G2716" i="1"/>
  <c r="F2716" i="1"/>
  <c r="E2716" i="1"/>
  <c r="D2716" i="1"/>
  <c r="C2716" i="1"/>
  <c r="B2716" i="1"/>
  <c r="A2716" i="1"/>
  <c r="H2715" i="1"/>
  <c r="G2715" i="1"/>
  <c r="F2715" i="1"/>
  <c r="E2715" i="1"/>
  <c r="D2715" i="1"/>
  <c r="C2715" i="1"/>
  <c r="B2715" i="1"/>
  <c r="A2715" i="1"/>
  <c r="H2714" i="1"/>
  <c r="G2714" i="1"/>
  <c r="F2714" i="1"/>
  <c r="E2714" i="1"/>
  <c r="D2714" i="1"/>
  <c r="C2714" i="1"/>
  <c r="B2714" i="1"/>
  <c r="A2714" i="1"/>
  <c r="H2713" i="1"/>
  <c r="G2713" i="1"/>
  <c r="F2713" i="1"/>
  <c r="E2713" i="1"/>
  <c r="D2713" i="1"/>
  <c r="C2713" i="1"/>
  <c r="B2713" i="1"/>
  <c r="A2713" i="1"/>
  <c r="H2712" i="1"/>
  <c r="G2712" i="1"/>
  <c r="F2712" i="1"/>
  <c r="E2712" i="1"/>
  <c r="D2712" i="1"/>
  <c r="C2712" i="1"/>
  <c r="B2712" i="1"/>
  <c r="A2712" i="1"/>
  <c r="H2711" i="1"/>
  <c r="G2711" i="1"/>
  <c r="F2711" i="1"/>
  <c r="E2711" i="1"/>
  <c r="D2711" i="1"/>
  <c r="C2711" i="1"/>
  <c r="B2711" i="1"/>
  <c r="A2711" i="1"/>
  <c r="H2710" i="1"/>
  <c r="G2710" i="1"/>
  <c r="F2710" i="1"/>
  <c r="E2710" i="1"/>
  <c r="D2710" i="1"/>
  <c r="C2710" i="1"/>
  <c r="B2710" i="1"/>
  <c r="A2710" i="1"/>
  <c r="H2709" i="1"/>
  <c r="G2709" i="1"/>
  <c r="F2709" i="1"/>
  <c r="E2709" i="1"/>
  <c r="D2709" i="1"/>
  <c r="C2709" i="1"/>
  <c r="B2709" i="1"/>
  <c r="A2709" i="1"/>
  <c r="H2708" i="1"/>
  <c r="G2708" i="1"/>
  <c r="F2708" i="1"/>
  <c r="E2708" i="1"/>
  <c r="D2708" i="1"/>
  <c r="C2708" i="1"/>
  <c r="B2708" i="1"/>
  <c r="A2708" i="1"/>
  <c r="H2707" i="1"/>
  <c r="G2707" i="1"/>
  <c r="F2707" i="1"/>
  <c r="E2707" i="1"/>
  <c r="D2707" i="1"/>
  <c r="C2707" i="1"/>
  <c r="B2707" i="1"/>
  <c r="A2707" i="1"/>
  <c r="H2706" i="1"/>
  <c r="G2706" i="1"/>
  <c r="F2706" i="1"/>
  <c r="E2706" i="1"/>
  <c r="D2706" i="1"/>
  <c r="C2706" i="1"/>
  <c r="B2706" i="1"/>
  <c r="A2706" i="1"/>
  <c r="H2705" i="1"/>
  <c r="G2705" i="1"/>
  <c r="F2705" i="1"/>
  <c r="E2705" i="1"/>
  <c r="D2705" i="1"/>
  <c r="C2705" i="1"/>
  <c r="B2705" i="1"/>
  <c r="A2705" i="1"/>
  <c r="H2704" i="1"/>
  <c r="G2704" i="1"/>
  <c r="F2704" i="1"/>
  <c r="E2704" i="1"/>
  <c r="D2704" i="1"/>
  <c r="C2704" i="1"/>
  <c r="B2704" i="1"/>
  <c r="A2704" i="1"/>
  <c r="H2703" i="1"/>
  <c r="G2703" i="1"/>
  <c r="F2703" i="1"/>
  <c r="E2703" i="1"/>
  <c r="D2703" i="1"/>
  <c r="C2703" i="1"/>
  <c r="B2703" i="1"/>
  <c r="A2703" i="1"/>
  <c r="H2702" i="1"/>
  <c r="G2702" i="1"/>
  <c r="F2702" i="1"/>
  <c r="E2702" i="1"/>
  <c r="D2702" i="1"/>
  <c r="C2702" i="1"/>
  <c r="B2702" i="1"/>
  <c r="A2702" i="1"/>
  <c r="H2701" i="1"/>
  <c r="G2701" i="1"/>
  <c r="F2701" i="1"/>
  <c r="E2701" i="1"/>
  <c r="D2701" i="1"/>
  <c r="C2701" i="1"/>
  <c r="B2701" i="1"/>
  <c r="A2701" i="1"/>
  <c r="H2700" i="1"/>
  <c r="G2700" i="1"/>
  <c r="F2700" i="1"/>
  <c r="E2700" i="1"/>
  <c r="D2700" i="1"/>
  <c r="C2700" i="1"/>
  <c r="B2700" i="1"/>
  <c r="A2700" i="1"/>
  <c r="H2699" i="1"/>
  <c r="G2699" i="1"/>
  <c r="F2699" i="1"/>
  <c r="E2699" i="1"/>
  <c r="D2699" i="1"/>
  <c r="C2699" i="1"/>
  <c r="B2699" i="1"/>
  <c r="A2699" i="1"/>
  <c r="H2698" i="1"/>
  <c r="G2698" i="1"/>
  <c r="F2698" i="1"/>
  <c r="E2698" i="1"/>
  <c r="D2698" i="1"/>
  <c r="C2698" i="1"/>
  <c r="B2698" i="1"/>
  <c r="A2698" i="1"/>
  <c r="H2697" i="1"/>
  <c r="G2697" i="1"/>
  <c r="F2697" i="1"/>
  <c r="E2697" i="1"/>
  <c r="D2697" i="1"/>
  <c r="C2697" i="1"/>
  <c r="B2697" i="1"/>
  <c r="A2697" i="1"/>
  <c r="H2696" i="1"/>
  <c r="G2696" i="1"/>
  <c r="F2696" i="1"/>
  <c r="E2696" i="1"/>
  <c r="D2696" i="1"/>
  <c r="C2696" i="1"/>
  <c r="B2696" i="1"/>
  <c r="A2696" i="1"/>
  <c r="H2695" i="1"/>
  <c r="G2695" i="1"/>
  <c r="F2695" i="1"/>
  <c r="E2695" i="1"/>
  <c r="D2695" i="1"/>
  <c r="C2695" i="1"/>
  <c r="B2695" i="1"/>
  <c r="A2695" i="1"/>
  <c r="H2694" i="1"/>
  <c r="G2694" i="1"/>
  <c r="F2694" i="1"/>
  <c r="E2694" i="1"/>
  <c r="D2694" i="1"/>
  <c r="C2694" i="1"/>
  <c r="B2694" i="1"/>
  <c r="A2694" i="1"/>
  <c r="H2693" i="1"/>
  <c r="G2693" i="1"/>
  <c r="F2693" i="1"/>
  <c r="E2693" i="1"/>
  <c r="D2693" i="1"/>
  <c r="C2693" i="1"/>
  <c r="B2693" i="1"/>
  <c r="A2693" i="1"/>
  <c r="H2692" i="1"/>
  <c r="G2692" i="1"/>
  <c r="F2692" i="1"/>
  <c r="E2692" i="1"/>
  <c r="D2692" i="1"/>
  <c r="C2692" i="1"/>
  <c r="B2692" i="1"/>
  <c r="A2692" i="1"/>
  <c r="H2691" i="1"/>
  <c r="G2691" i="1"/>
  <c r="F2691" i="1"/>
  <c r="E2691" i="1"/>
  <c r="D2691" i="1"/>
  <c r="C2691" i="1"/>
  <c r="B2691" i="1"/>
  <c r="A2691" i="1"/>
  <c r="H2690" i="1"/>
  <c r="G2690" i="1"/>
  <c r="F2690" i="1"/>
  <c r="E2690" i="1"/>
  <c r="D2690" i="1"/>
  <c r="C2690" i="1"/>
  <c r="B2690" i="1"/>
  <c r="A2690" i="1"/>
  <c r="H2689" i="1"/>
  <c r="G2689" i="1"/>
  <c r="F2689" i="1"/>
  <c r="E2689" i="1"/>
  <c r="D2689" i="1"/>
  <c r="C2689" i="1"/>
  <c r="B2689" i="1"/>
  <c r="A2689" i="1"/>
  <c r="H2688" i="1"/>
  <c r="G2688" i="1"/>
  <c r="F2688" i="1"/>
  <c r="E2688" i="1"/>
  <c r="D2688" i="1"/>
  <c r="C2688" i="1"/>
  <c r="B2688" i="1"/>
  <c r="A2688" i="1"/>
  <c r="H2687" i="1"/>
  <c r="G2687" i="1"/>
  <c r="F2687" i="1"/>
  <c r="E2687" i="1"/>
  <c r="D2687" i="1"/>
  <c r="C2687" i="1"/>
  <c r="B2687" i="1"/>
  <c r="A2687" i="1"/>
  <c r="H2686" i="1"/>
  <c r="G2686" i="1"/>
  <c r="F2686" i="1"/>
  <c r="E2686" i="1"/>
  <c r="D2686" i="1"/>
  <c r="C2686" i="1"/>
  <c r="B2686" i="1"/>
  <c r="A2686" i="1"/>
  <c r="H2685" i="1"/>
  <c r="G2685" i="1"/>
  <c r="F2685" i="1"/>
  <c r="E2685" i="1"/>
  <c r="D2685" i="1"/>
  <c r="C2685" i="1"/>
  <c r="B2685" i="1"/>
  <c r="A2685" i="1"/>
  <c r="H2684" i="1"/>
  <c r="G2684" i="1"/>
  <c r="F2684" i="1"/>
  <c r="E2684" i="1"/>
  <c r="D2684" i="1"/>
  <c r="C2684" i="1"/>
  <c r="B2684" i="1"/>
  <c r="A2684" i="1"/>
  <c r="H2683" i="1"/>
  <c r="G2683" i="1"/>
  <c r="F2683" i="1"/>
  <c r="E2683" i="1"/>
  <c r="D2683" i="1"/>
  <c r="C2683" i="1"/>
  <c r="B2683" i="1"/>
  <c r="A2683" i="1"/>
  <c r="H2682" i="1"/>
  <c r="G2682" i="1"/>
  <c r="F2682" i="1"/>
  <c r="E2682" i="1"/>
  <c r="D2682" i="1"/>
  <c r="C2682" i="1"/>
  <c r="B2682" i="1"/>
  <c r="A2682" i="1"/>
  <c r="H2681" i="1"/>
  <c r="G2681" i="1"/>
  <c r="F2681" i="1"/>
  <c r="E2681" i="1"/>
  <c r="D2681" i="1"/>
  <c r="C2681" i="1"/>
  <c r="B2681" i="1"/>
  <c r="A2681" i="1"/>
  <c r="H2680" i="1"/>
  <c r="G2680" i="1"/>
  <c r="F2680" i="1"/>
  <c r="E2680" i="1"/>
  <c r="D2680" i="1"/>
  <c r="C2680" i="1"/>
  <c r="B2680" i="1"/>
  <c r="A2680" i="1"/>
  <c r="H2679" i="1"/>
  <c r="G2679" i="1"/>
  <c r="F2679" i="1"/>
  <c r="E2679" i="1"/>
  <c r="D2679" i="1"/>
  <c r="C2679" i="1"/>
  <c r="B2679" i="1"/>
  <c r="A2679" i="1"/>
  <c r="H2678" i="1"/>
  <c r="G2678" i="1"/>
  <c r="F2678" i="1"/>
  <c r="E2678" i="1"/>
  <c r="D2678" i="1"/>
  <c r="C2678" i="1"/>
  <c r="B2678" i="1"/>
  <c r="A2678" i="1"/>
  <c r="H2677" i="1"/>
  <c r="G2677" i="1"/>
  <c r="F2677" i="1"/>
  <c r="E2677" i="1"/>
  <c r="D2677" i="1"/>
  <c r="C2677" i="1"/>
  <c r="B2677" i="1"/>
  <c r="A2677" i="1"/>
  <c r="H2676" i="1"/>
  <c r="G2676" i="1"/>
  <c r="F2676" i="1"/>
  <c r="E2676" i="1"/>
  <c r="D2676" i="1"/>
  <c r="C2676" i="1"/>
  <c r="B2676" i="1"/>
  <c r="A2676" i="1"/>
  <c r="H2675" i="1"/>
  <c r="G2675" i="1"/>
  <c r="F2675" i="1"/>
  <c r="E2675" i="1"/>
  <c r="D2675" i="1"/>
  <c r="C2675" i="1"/>
  <c r="B2675" i="1"/>
  <c r="A2675" i="1"/>
  <c r="H2674" i="1"/>
  <c r="G2674" i="1"/>
  <c r="F2674" i="1"/>
  <c r="E2674" i="1"/>
  <c r="D2674" i="1"/>
  <c r="C2674" i="1"/>
  <c r="B2674" i="1"/>
  <c r="A2674" i="1"/>
  <c r="H2673" i="1"/>
  <c r="G2673" i="1"/>
  <c r="F2673" i="1"/>
  <c r="E2673" i="1"/>
  <c r="D2673" i="1"/>
  <c r="C2673" i="1"/>
  <c r="B2673" i="1"/>
  <c r="A2673" i="1"/>
  <c r="H2672" i="1"/>
  <c r="G2672" i="1"/>
  <c r="F2672" i="1"/>
  <c r="E2672" i="1"/>
  <c r="D2672" i="1"/>
  <c r="C2672" i="1"/>
  <c r="B2672" i="1"/>
  <c r="A2672" i="1"/>
  <c r="H2671" i="1"/>
  <c r="G2671" i="1"/>
  <c r="F2671" i="1"/>
  <c r="E2671" i="1"/>
  <c r="D2671" i="1"/>
  <c r="C2671" i="1"/>
  <c r="B2671" i="1"/>
  <c r="A2671" i="1"/>
  <c r="H2670" i="1"/>
  <c r="G2670" i="1"/>
  <c r="F2670" i="1"/>
  <c r="E2670" i="1"/>
  <c r="D2670" i="1"/>
  <c r="C2670" i="1"/>
  <c r="B2670" i="1"/>
  <c r="A2670" i="1"/>
  <c r="H2669" i="1"/>
  <c r="G2669" i="1"/>
  <c r="F2669" i="1"/>
  <c r="E2669" i="1"/>
  <c r="D2669" i="1"/>
  <c r="C2669" i="1"/>
  <c r="B2669" i="1"/>
  <c r="A2669" i="1"/>
  <c r="H2668" i="1"/>
  <c r="G2668" i="1"/>
  <c r="F2668" i="1"/>
  <c r="E2668" i="1"/>
  <c r="D2668" i="1"/>
  <c r="C2668" i="1"/>
  <c r="B2668" i="1"/>
  <c r="A2668" i="1"/>
  <c r="H2667" i="1"/>
  <c r="G2667" i="1"/>
  <c r="F2667" i="1"/>
  <c r="E2667" i="1"/>
  <c r="D2667" i="1"/>
  <c r="C2667" i="1"/>
  <c r="B2667" i="1"/>
  <c r="A2667" i="1"/>
  <c r="H2666" i="1"/>
  <c r="G2666" i="1"/>
  <c r="F2666" i="1"/>
  <c r="E2666" i="1"/>
  <c r="D2666" i="1"/>
  <c r="C2666" i="1"/>
  <c r="B2666" i="1"/>
  <c r="A2666" i="1"/>
  <c r="H2665" i="1"/>
  <c r="G2665" i="1"/>
  <c r="F2665" i="1"/>
  <c r="E2665" i="1"/>
  <c r="D2665" i="1"/>
  <c r="C2665" i="1"/>
  <c r="B2665" i="1"/>
  <c r="A2665" i="1"/>
  <c r="H2664" i="1"/>
  <c r="G2664" i="1"/>
  <c r="F2664" i="1"/>
  <c r="E2664" i="1"/>
  <c r="D2664" i="1"/>
  <c r="C2664" i="1"/>
  <c r="B2664" i="1"/>
  <c r="A2664" i="1"/>
  <c r="H2663" i="1"/>
  <c r="G2663" i="1"/>
  <c r="F2663" i="1"/>
  <c r="E2663" i="1"/>
  <c r="D2663" i="1"/>
  <c r="C2663" i="1"/>
  <c r="B2663" i="1"/>
  <c r="A2663" i="1"/>
  <c r="H2662" i="1"/>
  <c r="G2662" i="1"/>
  <c r="F2662" i="1"/>
  <c r="E2662" i="1"/>
  <c r="D2662" i="1"/>
  <c r="C2662" i="1"/>
  <c r="B2662" i="1"/>
  <c r="A2662" i="1"/>
  <c r="H2661" i="1"/>
  <c r="G2661" i="1"/>
  <c r="F2661" i="1"/>
  <c r="E2661" i="1"/>
  <c r="D2661" i="1"/>
  <c r="C2661" i="1"/>
  <c r="B2661" i="1"/>
  <c r="A2661" i="1"/>
  <c r="H2660" i="1"/>
  <c r="G2660" i="1"/>
  <c r="F2660" i="1"/>
  <c r="E2660" i="1"/>
  <c r="D2660" i="1"/>
  <c r="C2660" i="1"/>
  <c r="B2660" i="1"/>
  <c r="A2660" i="1"/>
  <c r="H2659" i="1"/>
  <c r="G2659" i="1"/>
  <c r="F2659" i="1"/>
  <c r="E2659" i="1"/>
  <c r="D2659" i="1"/>
  <c r="C2659" i="1"/>
  <c r="B2659" i="1"/>
  <c r="A2659" i="1"/>
  <c r="H2658" i="1"/>
  <c r="G2658" i="1"/>
  <c r="F2658" i="1"/>
  <c r="E2658" i="1"/>
  <c r="D2658" i="1"/>
  <c r="C2658" i="1"/>
  <c r="B2658" i="1"/>
  <c r="A2658" i="1"/>
  <c r="H2657" i="1"/>
  <c r="G2657" i="1"/>
  <c r="F2657" i="1"/>
  <c r="E2657" i="1"/>
  <c r="D2657" i="1"/>
  <c r="C2657" i="1"/>
  <c r="B2657" i="1"/>
  <c r="A2657" i="1"/>
  <c r="H2656" i="1"/>
  <c r="G2656" i="1"/>
  <c r="F2656" i="1"/>
  <c r="E2656" i="1"/>
  <c r="D2656" i="1"/>
  <c r="C2656" i="1"/>
  <c r="B2656" i="1"/>
  <c r="A2656" i="1"/>
  <c r="H2655" i="1"/>
  <c r="G2655" i="1"/>
  <c r="F2655" i="1"/>
  <c r="E2655" i="1"/>
  <c r="D2655" i="1"/>
  <c r="C2655" i="1"/>
  <c r="B2655" i="1"/>
  <c r="A2655" i="1"/>
  <c r="H2654" i="1"/>
  <c r="G2654" i="1"/>
  <c r="F2654" i="1"/>
  <c r="E2654" i="1"/>
  <c r="D2654" i="1"/>
  <c r="C2654" i="1"/>
  <c r="B2654" i="1"/>
  <c r="A2654" i="1"/>
  <c r="H2653" i="1"/>
  <c r="G2653" i="1"/>
  <c r="F2653" i="1"/>
  <c r="E2653" i="1"/>
  <c r="D2653" i="1"/>
  <c r="C2653" i="1"/>
  <c r="B2653" i="1"/>
  <c r="A2653" i="1"/>
  <c r="H2652" i="1"/>
  <c r="G2652" i="1"/>
  <c r="F2652" i="1"/>
  <c r="E2652" i="1"/>
  <c r="D2652" i="1"/>
  <c r="C2652" i="1"/>
  <c r="B2652" i="1"/>
  <c r="A2652" i="1"/>
  <c r="H2651" i="1"/>
  <c r="G2651" i="1"/>
  <c r="F2651" i="1"/>
  <c r="E2651" i="1"/>
  <c r="D2651" i="1"/>
  <c r="C2651" i="1"/>
  <c r="B2651" i="1"/>
  <c r="A2651" i="1"/>
  <c r="H2650" i="1"/>
  <c r="G2650" i="1"/>
  <c r="F2650" i="1"/>
  <c r="E2650" i="1"/>
  <c r="D2650" i="1"/>
  <c r="C2650" i="1"/>
  <c r="B2650" i="1"/>
  <c r="A2650" i="1"/>
  <c r="H2649" i="1"/>
  <c r="G2649" i="1"/>
  <c r="F2649" i="1"/>
  <c r="E2649" i="1"/>
  <c r="D2649" i="1"/>
  <c r="C2649" i="1"/>
  <c r="B2649" i="1"/>
  <c r="A2649" i="1"/>
  <c r="H2648" i="1"/>
  <c r="G2648" i="1"/>
  <c r="F2648" i="1"/>
  <c r="E2648" i="1"/>
  <c r="D2648" i="1"/>
  <c r="C2648" i="1"/>
  <c r="B2648" i="1"/>
  <c r="A2648" i="1"/>
  <c r="H2647" i="1"/>
  <c r="G2647" i="1"/>
  <c r="F2647" i="1"/>
  <c r="E2647" i="1"/>
  <c r="D2647" i="1"/>
  <c r="C2647" i="1"/>
  <c r="B2647" i="1"/>
  <c r="A2647" i="1"/>
  <c r="H2646" i="1"/>
  <c r="G2646" i="1"/>
  <c r="F2646" i="1"/>
  <c r="E2646" i="1"/>
  <c r="D2646" i="1"/>
  <c r="C2646" i="1"/>
  <c r="B2646" i="1"/>
  <c r="A2646" i="1"/>
  <c r="H2645" i="1"/>
  <c r="G2645" i="1"/>
  <c r="F2645" i="1"/>
  <c r="E2645" i="1"/>
  <c r="D2645" i="1"/>
  <c r="C2645" i="1"/>
  <c r="B2645" i="1"/>
  <c r="A2645" i="1"/>
  <c r="H2644" i="1"/>
  <c r="G2644" i="1"/>
  <c r="F2644" i="1"/>
  <c r="E2644" i="1"/>
  <c r="D2644" i="1"/>
  <c r="C2644" i="1"/>
  <c r="B2644" i="1"/>
  <c r="A2644" i="1"/>
  <c r="H2643" i="1"/>
  <c r="G2643" i="1"/>
  <c r="F2643" i="1"/>
  <c r="E2643" i="1"/>
  <c r="D2643" i="1"/>
  <c r="C2643" i="1"/>
  <c r="B2643" i="1"/>
  <c r="A2643" i="1"/>
  <c r="H2642" i="1"/>
  <c r="G2642" i="1"/>
  <c r="F2642" i="1"/>
  <c r="E2642" i="1"/>
  <c r="D2642" i="1"/>
  <c r="C2642" i="1"/>
  <c r="B2642" i="1"/>
  <c r="A2642" i="1"/>
  <c r="H2641" i="1"/>
  <c r="G2641" i="1"/>
  <c r="F2641" i="1"/>
  <c r="E2641" i="1"/>
  <c r="D2641" i="1"/>
  <c r="C2641" i="1"/>
  <c r="B2641" i="1"/>
  <c r="A2641" i="1"/>
  <c r="H2640" i="1"/>
  <c r="G2640" i="1"/>
  <c r="F2640" i="1"/>
  <c r="E2640" i="1"/>
  <c r="D2640" i="1"/>
  <c r="C2640" i="1"/>
  <c r="B2640" i="1"/>
  <c r="A2640" i="1"/>
  <c r="H2639" i="1"/>
  <c r="G2639" i="1"/>
  <c r="F2639" i="1"/>
  <c r="E2639" i="1"/>
  <c r="D2639" i="1"/>
  <c r="C2639" i="1"/>
  <c r="B2639" i="1"/>
  <c r="A2639" i="1"/>
  <c r="H2638" i="1"/>
  <c r="G2638" i="1"/>
  <c r="F2638" i="1"/>
  <c r="E2638" i="1"/>
  <c r="D2638" i="1"/>
  <c r="C2638" i="1"/>
  <c r="B2638" i="1"/>
  <c r="A2638" i="1"/>
  <c r="H2637" i="1"/>
  <c r="G2637" i="1"/>
  <c r="F2637" i="1"/>
  <c r="E2637" i="1"/>
  <c r="D2637" i="1"/>
  <c r="C2637" i="1"/>
  <c r="B2637" i="1"/>
  <c r="A2637" i="1"/>
  <c r="H2636" i="1"/>
  <c r="G2636" i="1"/>
  <c r="F2636" i="1"/>
  <c r="E2636" i="1"/>
  <c r="D2636" i="1"/>
  <c r="C2636" i="1"/>
  <c r="B2636" i="1"/>
  <c r="A2636" i="1"/>
  <c r="H2635" i="1"/>
  <c r="G2635" i="1"/>
  <c r="F2635" i="1"/>
  <c r="E2635" i="1"/>
  <c r="D2635" i="1"/>
  <c r="C2635" i="1"/>
  <c r="B2635" i="1"/>
  <c r="A2635" i="1"/>
  <c r="H2634" i="1"/>
  <c r="G2634" i="1"/>
  <c r="F2634" i="1"/>
  <c r="E2634" i="1"/>
  <c r="D2634" i="1"/>
  <c r="C2634" i="1"/>
  <c r="B2634" i="1"/>
  <c r="A2634" i="1"/>
  <c r="H2633" i="1"/>
  <c r="G2633" i="1"/>
  <c r="F2633" i="1"/>
  <c r="E2633" i="1"/>
  <c r="D2633" i="1"/>
  <c r="C2633" i="1"/>
  <c r="B2633" i="1"/>
  <c r="A2633" i="1"/>
  <c r="H2632" i="1"/>
  <c r="G2632" i="1"/>
  <c r="F2632" i="1"/>
  <c r="E2632" i="1"/>
  <c r="D2632" i="1"/>
  <c r="C2632" i="1"/>
  <c r="B2632" i="1"/>
  <c r="A2632" i="1"/>
  <c r="H2631" i="1"/>
  <c r="G2631" i="1"/>
  <c r="F2631" i="1"/>
  <c r="E2631" i="1"/>
  <c r="D2631" i="1"/>
  <c r="C2631" i="1"/>
  <c r="B2631" i="1"/>
  <c r="A2631" i="1"/>
  <c r="H2630" i="1"/>
  <c r="G2630" i="1"/>
  <c r="F2630" i="1"/>
  <c r="E2630" i="1"/>
  <c r="D2630" i="1"/>
  <c r="C2630" i="1"/>
  <c r="B2630" i="1"/>
  <c r="A2630" i="1"/>
  <c r="H2629" i="1"/>
  <c r="G2629" i="1"/>
  <c r="F2629" i="1"/>
  <c r="E2629" i="1"/>
  <c r="D2629" i="1"/>
  <c r="C2629" i="1"/>
  <c r="B2629" i="1"/>
  <c r="A2629" i="1"/>
  <c r="H2628" i="1"/>
  <c r="G2628" i="1"/>
  <c r="F2628" i="1"/>
  <c r="E2628" i="1"/>
  <c r="D2628" i="1"/>
  <c r="C2628" i="1"/>
  <c r="B2628" i="1"/>
  <c r="A2628" i="1"/>
  <c r="H2627" i="1"/>
  <c r="G2627" i="1"/>
  <c r="F2627" i="1"/>
  <c r="E2627" i="1"/>
  <c r="D2627" i="1"/>
  <c r="C2627" i="1"/>
  <c r="B2627" i="1"/>
  <c r="A2627" i="1"/>
  <c r="H2626" i="1"/>
  <c r="G2626" i="1"/>
  <c r="F2626" i="1"/>
  <c r="E2626" i="1"/>
  <c r="D2626" i="1"/>
  <c r="C2626" i="1"/>
  <c r="B2626" i="1"/>
  <c r="A2626" i="1"/>
  <c r="H2625" i="1"/>
  <c r="G2625" i="1"/>
  <c r="F2625" i="1"/>
  <c r="E2625" i="1"/>
  <c r="D2625" i="1"/>
  <c r="C2625" i="1"/>
  <c r="B2625" i="1"/>
  <c r="A2625" i="1"/>
  <c r="H2624" i="1"/>
  <c r="G2624" i="1"/>
  <c r="F2624" i="1"/>
  <c r="E2624" i="1"/>
  <c r="D2624" i="1"/>
  <c r="C2624" i="1"/>
  <c r="B2624" i="1"/>
  <c r="A2624" i="1"/>
  <c r="H2623" i="1"/>
  <c r="G2623" i="1"/>
  <c r="F2623" i="1"/>
  <c r="E2623" i="1"/>
  <c r="D2623" i="1"/>
  <c r="C2623" i="1"/>
  <c r="B2623" i="1"/>
  <c r="A2623" i="1"/>
  <c r="H2622" i="1"/>
  <c r="G2622" i="1"/>
  <c r="F2622" i="1"/>
  <c r="E2622" i="1"/>
  <c r="D2622" i="1"/>
  <c r="C2622" i="1"/>
  <c r="B2622" i="1"/>
  <c r="A2622" i="1"/>
  <c r="H2621" i="1"/>
  <c r="G2621" i="1"/>
  <c r="F2621" i="1"/>
  <c r="E2621" i="1"/>
  <c r="D2621" i="1"/>
  <c r="C2621" i="1"/>
  <c r="B2621" i="1"/>
  <c r="A2621" i="1"/>
  <c r="H2620" i="1"/>
  <c r="G2620" i="1"/>
  <c r="F2620" i="1"/>
  <c r="E2620" i="1"/>
  <c r="D2620" i="1"/>
  <c r="C2620" i="1"/>
  <c r="B2620" i="1"/>
  <c r="A2620" i="1"/>
  <c r="H2619" i="1"/>
  <c r="G2619" i="1"/>
  <c r="F2619" i="1"/>
  <c r="E2619" i="1"/>
  <c r="D2619" i="1"/>
  <c r="C2619" i="1"/>
  <c r="B2619" i="1"/>
  <c r="A2619" i="1"/>
  <c r="H2618" i="1"/>
  <c r="G2618" i="1"/>
  <c r="F2618" i="1"/>
  <c r="E2618" i="1"/>
  <c r="D2618" i="1"/>
  <c r="C2618" i="1"/>
  <c r="B2618" i="1"/>
  <c r="A2618" i="1"/>
  <c r="H2617" i="1"/>
  <c r="G2617" i="1"/>
  <c r="F2617" i="1"/>
  <c r="E2617" i="1"/>
  <c r="D2617" i="1"/>
  <c r="C2617" i="1"/>
  <c r="B2617" i="1"/>
  <c r="A2617" i="1"/>
  <c r="H2616" i="1"/>
  <c r="G2616" i="1"/>
  <c r="F2616" i="1"/>
  <c r="E2616" i="1"/>
  <c r="D2616" i="1"/>
  <c r="C2616" i="1"/>
  <c r="B2616" i="1"/>
  <c r="A2616" i="1"/>
  <c r="H2615" i="1"/>
  <c r="G2615" i="1"/>
  <c r="F2615" i="1"/>
  <c r="E2615" i="1"/>
  <c r="D2615" i="1"/>
  <c r="C2615" i="1"/>
  <c r="B2615" i="1"/>
  <c r="A2615" i="1"/>
  <c r="H2614" i="1"/>
  <c r="G2614" i="1"/>
  <c r="F2614" i="1"/>
  <c r="E2614" i="1"/>
  <c r="D2614" i="1"/>
  <c r="C2614" i="1"/>
  <c r="B2614" i="1"/>
  <c r="A2614" i="1"/>
  <c r="H2613" i="1"/>
  <c r="G2613" i="1"/>
  <c r="F2613" i="1"/>
  <c r="E2613" i="1"/>
  <c r="D2613" i="1"/>
  <c r="C2613" i="1"/>
  <c r="B2613" i="1"/>
  <c r="A2613" i="1"/>
  <c r="H2612" i="1"/>
  <c r="G2612" i="1"/>
  <c r="F2612" i="1"/>
  <c r="E2612" i="1"/>
  <c r="D2612" i="1"/>
  <c r="C2612" i="1"/>
  <c r="B2612" i="1"/>
  <c r="A2612" i="1"/>
  <c r="H2611" i="1"/>
  <c r="G2611" i="1"/>
  <c r="F2611" i="1"/>
  <c r="E2611" i="1"/>
  <c r="D2611" i="1"/>
  <c r="C2611" i="1"/>
  <c r="B2611" i="1"/>
  <c r="A2611" i="1"/>
  <c r="H2610" i="1"/>
  <c r="G2610" i="1"/>
  <c r="F2610" i="1"/>
  <c r="E2610" i="1"/>
  <c r="D2610" i="1"/>
  <c r="C2610" i="1"/>
  <c r="B2610" i="1"/>
  <c r="A2610" i="1"/>
  <c r="H2609" i="1"/>
  <c r="G2609" i="1"/>
  <c r="F2609" i="1"/>
  <c r="E2609" i="1"/>
  <c r="D2609" i="1"/>
  <c r="C2609" i="1"/>
  <c r="B2609" i="1"/>
  <c r="A2609" i="1"/>
  <c r="H2608" i="1"/>
  <c r="G2608" i="1"/>
  <c r="F2608" i="1"/>
  <c r="E2608" i="1"/>
  <c r="D2608" i="1"/>
  <c r="C2608" i="1"/>
  <c r="B2608" i="1"/>
  <c r="A2608" i="1"/>
  <c r="H2607" i="1"/>
  <c r="G2607" i="1"/>
  <c r="F2607" i="1"/>
  <c r="E2607" i="1"/>
  <c r="D2607" i="1"/>
  <c r="C2607" i="1"/>
  <c r="B2607" i="1"/>
  <c r="A2607" i="1"/>
  <c r="H2606" i="1"/>
  <c r="G2606" i="1"/>
  <c r="F2606" i="1"/>
  <c r="E2606" i="1"/>
  <c r="D2606" i="1"/>
  <c r="C2606" i="1"/>
  <c r="B2606" i="1"/>
  <c r="A2606" i="1"/>
  <c r="H2605" i="1"/>
  <c r="G2605" i="1"/>
  <c r="F2605" i="1"/>
  <c r="E2605" i="1"/>
  <c r="D2605" i="1"/>
  <c r="C2605" i="1"/>
  <c r="B2605" i="1"/>
  <c r="A2605" i="1"/>
  <c r="H2604" i="1"/>
  <c r="G2604" i="1"/>
  <c r="F2604" i="1"/>
  <c r="E2604" i="1"/>
  <c r="D2604" i="1"/>
  <c r="C2604" i="1"/>
  <c r="B2604" i="1"/>
  <c r="A2604" i="1"/>
  <c r="H2603" i="1"/>
  <c r="G2603" i="1"/>
  <c r="F2603" i="1"/>
  <c r="E2603" i="1"/>
  <c r="D2603" i="1"/>
  <c r="C2603" i="1"/>
  <c r="B2603" i="1"/>
  <c r="A2603" i="1"/>
  <c r="H2602" i="1"/>
  <c r="G2602" i="1"/>
  <c r="F2602" i="1"/>
  <c r="E2602" i="1"/>
  <c r="D2602" i="1"/>
  <c r="C2602" i="1"/>
  <c r="B2602" i="1"/>
  <c r="A2602" i="1"/>
  <c r="H2601" i="1"/>
  <c r="G2601" i="1"/>
  <c r="F2601" i="1"/>
  <c r="E2601" i="1"/>
  <c r="D2601" i="1"/>
  <c r="C2601" i="1"/>
  <c r="B2601" i="1"/>
  <c r="A2601" i="1"/>
  <c r="H2600" i="1"/>
  <c r="G2600" i="1"/>
  <c r="F2600" i="1"/>
  <c r="E2600" i="1"/>
  <c r="D2600" i="1"/>
  <c r="C2600" i="1"/>
  <c r="B2600" i="1"/>
  <c r="A2600" i="1"/>
  <c r="H2599" i="1"/>
  <c r="G2599" i="1"/>
  <c r="F2599" i="1"/>
  <c r="E2599" i="1"/>
  <c r="D2599" i="1"/>
  <c r="C2599" i="1"/>
  <c r="B2599" i="1"/>
  <c r="A2599" i="1"/>
  <c r="H2598" i="1"/>
  <c r="G2598" i="1"/>
  <c r="F2598" i="1"/>
  <c r="E2598" i="1"/>
  <c r="D2598" i="1"/>
  <c r="C2598" i="1"/>
  <c r="B2598" i="1"/>
  <c r="A2598" i="1"/>
  <c r="H2597" i="1"/>
  <c r="G2597" i="1"/>
  <c r="F2597" i="1"/>
  <c r="E2597" i="1"/>
  <c r="D2597" i="1"/>
  <c r="C2597" i="1"/>
  <c r="B2597" i="1"/>
  <c r="A2597" i="1"/>
  <c r="H2596" i="1"/>
  <c r="G2596" i="1"/>
  <c r="F2596" i="1"/>
  <c r="E2596" i="1"/>
  <c r="D2596" i="1"/>
  <c r="C2596" i="1"/>
  <c r="B2596" i="1"/>
  <c r="A2596" i="1"/>
  <c r="H2595" i="1"/>
  <c r="G2595" i="1"/>
  <c r="F2595" i="1"/>
  <c r="E2595" i="1"/>
  <c r="D2595" i="1"/>
  <c r="C2595" i="1"/>
  <c r="B2595" i="1"/>
  <c r="A2595" i="1"/>
  <c r="H2594" i="1"/>
  <c r="G2594" i="1"/>
  <c r="F2594" i="1"/>
  <c r="E2594" i="1"/>
  <c r="D2594" i="1"/>
  <c r="C2594" i="1"/>
  <c r="B2594" i="1"/>
  <c r="A2594" i="1"/>
  <c r="H2593" i="1"/>
  <c r="G2593" i="1"/>
  <c r="F2593" i="1"/>
  <c r="E2593" i="1"/>
  <c r="D2593" i="1"/>
  <c r="C2593" i="1"/>
  <c r="B2593" i="1"/>
  <c r="A2593" i="1"/>
  <c r="F2592" i="1"/>
  <c r="E2592" i="1"/>
  <c r="D2592" i="1"/>
  <c r="C2592" i="1"/>
  <c r="B2592" i="1"/>
  <c r="A2592" i="1"/>
  <c r="F2591" i="1"/>
  <c r="E2591" i="1"/>
  <c r="D2591" i="1"/>
  <c r="C2591" i="1"/>
  <c r="B2591" i="1"/>
  <c r="A2591" i="1"/>
  <c r="F2590" i="1"/>
  <c r="E2590" i="1"/>
  <c r="D2590" i="1"/>
  <c r="C2590" i="1"/>
  <c r="B2590" i="1"/>
  <c r="A2590" i="1"/>
  <c r="F2589" i="1"/>
  <c r="E2589" i="1"/>
  <c r="D2589" i="1"/>
  <c r="C2589" i="1"/>
  <c r="B2589" i="1"/>
  <c r="A2589" i="1"/>
  <c r="F2588" i="1"/>
  <c r="E2588" i="1"/>
  <c r="D2588" i="1"/>
  <c r="C2588" i="1"/>
  <c r="B2588" i="1"/>
  <c r="A2588" i="1"/>
  <c r="F2587" i="1"/>
  <c r="E2587" i="1"/>
  <c r="D2587" i="1"/>
  <c r="C2587" i="1"/>
  <c r="B2587" i="1"/>
  <c r="A2587" i="1"/>
  <c r="F2586" i="1"/>
  <c r="E2586" i="1"/>
  <c r="D2586" i="1"/>
  <c r="C2586" i="1"/>
  <c r="B2586" i="1"/>
  <c r="A2586" i="1"/>
  <c r="F2585" i="1"/>
  <c r="E2585" i="1"/>
  <c r="D2585" i="1"/>
  <c r="C2585" i="1"/>
  <c r="B2585" i="1"/>
  <c r="A2585" i="1"/>
  <c r="F2584" i="1"/>
  <c r="E2584" i="1"/>
  <c r="D2584" i="1"/>
  <c r="C2584" i="1"/>
  <c r="B2584" i="1"/>
  <c r="A2584" i="1"/>
  <c r="F2583" i="1"/>
  <c r="E2583" i="1"/>
  <c r="D2583" i="1"/>
  <c r="C2583" i="1"/>
  <c r="B2583" i="1"/>
  <c r="A2583" i="1"/>
  <c r="F2582" i="1"/>
  <c r="E2582" i="1"/>
  <c r="D2582" i="1"/>
  <c r="C2582" i="1"/>
  <c r="B2582" i="1"/>
  <c r="A2582" i="1"/>
  <c r="F2581" i="1"/>
  <c r="E2581" i="1"/>
  <c r="D2581" i="1"/>
  <c r="C2581" i="1"/>
  <c r="B2581" i="1"/>
  <c r="A2581" i="1"/>
  <c r="F2580" i="1"/>
  <c r="E2580" i="1"/>
  <c r="D2580" i="1"/>
  <c r="C2580" i="1"/>
  <c r="B2580" i="1"/>
  <c r="A2580" i="1"/>
  <c r="F2579" i="1"/>
  <c r="E2579" i="1"/>
  <c r="D2579" i="1"/>
  <c r="C2579" i="1"/>
  <c r="B2579" i="1"/>
  <c r="A2579" i="1"/>
  <c r="F2578" i="1"/>
  <c r="E2578" i="1"/>
  <c r="D2578" i="1"/>
  <c r="C2578" i="1"/>
  <c r="B2578" i="1"/>
  <c r="A2578" i="1"/>
  <c r="F2577" i="1"/>
  <c r="E2577" i="1"/>
  <c r="D2577" i="1"/>
  <c r="C2577" i="1"/>
  <c r="B2577" i="1"/>
  <c r="A2577" i="1"/>
  <c r="F2576" i="1"/>
  <c r="E2576" i="1"/>
  <c r="D2576" i="1"/>
  <c r="C2576" i="1"/>
  <c r="B2576" i="1"/>
  <c r="A2576" i="1"/>
  <c r="F2575" i="1"/>
  <c r="E2575" i="1"/>
  <c r="D2575" i="1"/>
  <c r="C2575" i="1"/>
  <c r="B2575" i="1"/>
  <c r="A2575" i="1"/>
  <c r="F2574" i="1"/>
  <c r="E2574" i="1"/>
  <c r="D2574" i="1"/>
  <c r="C2574" i="1"/>
  <c r="B2574" i="1"/>
  <c r="A2574" i="1"/>
  <c r="F2573" i="1"/>
  <c r="E2573" i="1"/>
  <c r="D2573" i="1"/>
  <c r="C2573" i="1"/>
  <c r="B2573" i="1"/>
  <c r="A2573" i="1"/>
  <c r="F2572" i="1"/>
  <c r="E2572" i="1"/>
  <c r="D2572" i="1"/>
  <c r="C2572" i="1"/>
  <c r="B2572" i="1"/>
  <c r="A2572" i="1"/>
  <c r="F2571" i="1"/>
  <c r="E2571" i="1"/>
  <c r="D2571" i="1"/>
  <c r="C2571" i="1"/>
  <c r="B2571" i="1"/>
  <c r="A2571" i="1"/>
  <c r="F2570" i="1"/>
  <c r="E2570" i="1"/>
  <c r="D2570" i="1"/>
  <c r="C2570" i="1"/>
  <c r="B2570" i="1"/>
  <c r="A2570" i="1"/>
  <c r="F2569" i="1"/>
  <c r="E2569" i="1"/>
  <c r="D2569" i="1"/>
  <c r="C2569" i="1"/>
  <c r="B2569" i="1"/>
  <c r="A2569" i="1"/>
  <c r="F2568" i="1"/>
  <c r="E2568" i="1"/>
  <c r="D2568" i="1"/>
  <c r="C2568" i="1"/>
  <c r="B2568" i="1"/>
  <c r="A2568" i="1"/>
  <c r="F2567" i="1"/>
  <c r="E2567" i="1"/>
  <c r="D2567" i="1"/>
  <c r="C2567" i="1"/>
  <c r="B2567" i="1"/>
  <c r="A2567" i="1"/>
  <c r="F2566" i="1"/>
  <c r="E2566" i="1"/>
  <c r="D2566" i="1"/>
  <c r="C2566" i="1"/>
  <c r="B2566" i="1"/>
  <c r="A2566" i="1"/>
  <c r="F2565" i="1"/>
  <c r="E2565" i="1"/>
  <c r="D2565" i="1"/>
  <c r="C2565" i="1"/>
  <c r="B2565" i="1"/>
  <c r="A2565" i="1"/>
  <c r="F2564" i="1"/>
  <c r="E2564" i="1"/>
  <c r="D2564" i="1"/>
  <c r="C2564" i="1"/>
  <c r="B2564" i="1"/>
  <c r="A2564" i="1"/>
  <c r="F2563" i="1"/>
  <c r="E2563" i="1"/>
  <c r="D2563" i="1"/>
  <c r="C2563" i="1"/>
  <c r="B2563" i="1"/>
  <c r="A2563" i="1"/>
  <c r="F2562" i="1"/>
  <c r="E2562" i="1"/>
  <c r="D2562" i="1"/>
  <c r="C2562" i="1"/>
  <c r="B2562" i="1"/>
  <c r="A2562" i="1"/>
  <c r="F2561" i="1"/>
  <c r="E2561" i="1"/>
  <c r="D2561" i="1"/>
  <c r="C2561" i="1"/>
  <c r="B2561" i="1"/>
  <c r="A2561" i="1"/>
  <c r="F2560" i="1"/>
  <c r="E2560" i="1"/>
  <c r="D2560" i="1"/>
  <c r="C2560" i="1"/>
  <c r="B2560" i="1"/>
  <c r="A2560" i="1"/>
  <c r="F2559" i="1"/>
  <c r="E2559" i="1"/>
  <c r="D2559" i="1"/>
  <c r="C2559" i="1"/>
  <c r="B2559" i="1"/>
  <c r="A2559" i="1"/>
  <c r="F2558" i="1"/>
  <c r="E2558" i="1"/>
  <c r="D2558" i="1"/>
  <c r="C2558" i="1"/>
  <c r="B2558" i="1"/>
  <c r="A2558" i="1"/>
  <c r="F2557" i="1"/>
  <c r="E2557" i="1"/>
  <c r="D2557" i="1"/>
  <c r="C2557" i="1"/>
  <c r="B2557" i="1"/>
  <c r="A2557" i="1"/>
  <c r="F2556" i="1"/>
  <c r="E2556" i="1"/>
  <c r="D2556" i="1"/>
  <c r="C2556" i="1"/>
  <c r="B2556" i="1"/>
  <c r="A2556" i="1"/>
  <c r="F2555" i="1"/>
  <c r="E2555" i="1"/>
  <c r="D2555" i="1"/>
  <c r="C2555" i="1"/>
  <c r="B2555" i="1"/>
  <c r="A2555" i="1"/>
  <c r="F2554" i="1"/>
  <c r="E2554" i="1"/>
  <c r="D2554" i="1"/>
  <c r="C2554" i="1"/>
  <c r="B2554" i="1"/>
  <c r="A2554" i="1"/>
  <c r="F2553" i="1"/>
  <c r="E2553" i="1"/>
  <c r="D2553" i="1"/>
  <c r="C2553" i="1"/>
  <c r="B2553" i="1"/>
  <c r="A2553" i="1"/>
  <c r="F2552" i="1"/>
  <c r="E2552" i="1"/>
  <c r="D2552" i="1"/>
  <c r="C2552" i="1"/>
  <c r="B2552" i="1"/>
  <c r="A2552" i="1"/>
  <c r="F2551" i="1"/>
  <c r="E2551" i="1"/>
  <c r="D2551" i="1"/>
  <c r="C2551" i="1"/>
  <c r="B2551" i="1"/>
  <c r="A2551" i="1"/>
  <c r="F2550" i="1"/>
  <c r="E2550" i="1"/>
  <c r="D2550" i="1"/>
  <c r="C2550" i="1"/>
  <c r="B2550" i="1"/>
  <c r="A2550" i="1"/>
  <c r="F2549" i="1"/>
  <c r="E2549" i="1"/>
  <c r="D2549" i="1"/>
  <c r="C2549" i="1"/>
  <c r="B2549" i="1"/>
  <c r="A2549" i="1"/>
  <c r="F2548" i="1"/>
  <c r="E2548" i="1"/>
  <c r="D2548" i="1"/>
  <c r="C2548" i="1"/>
  <c r="B2548" i="1"/>
  <c r="A2548" i="1"/>
  <c r="F2547" i="1"/>
  <c r="E2547" i="1"/>
  <c r="D2547" i="1"/>
  <c r="C2547" i="1"/>
  <c r="B2547" i="1"/>
  <c r="A2547" i="1"/>
  <c r="F2546" i="1"/>
  <c r="E2546" i="1"/>
  <c r="D2546" i="1"/>
  <c r="C2546" i="1"/>
  <c r="B2546" i="1"/>
  <c r="A2546" i="1"/>
  <c r="F2545" i="1"/>
  <c r="E2545" i="1"/>
  <c r="D2545" i="1"/>
  <c r="C2545" i="1"/>
  <c r="B2545" i="1"/>
  <c r="A2545" i="1"/>
  <c r="F2544" i="1"/>
  <c r="E2544" i="1"/>
  <c r="D2544" i="1"/>
  <c r="C2544" i="1"/>
  <c r="B2544" i="1"/>
  <c r="A2544" i="1"/>
  <c r="F2543" i="1"/>
  <c r="E2543" i="1"/>
  <c r="D2543" i="1"/>
  <c r="C2543" i="1"/>
  <c r="B2543" i="1"/>
  <c r="A2543" i="1"/>
  <c r="F2542" i="1"/>
  <c r="E2542" i="1"/>
  <c r="D2542" i="1"/>
  <c r="C2542" i="1"/>
  <c r="B2542" i="1"/>
  <c r="A2542" i="1"/>
  <c r="F2541" i="1"/>
  <c r="E2541" i="1"/>
  <c r="D2541" i="1"/>
  <c r="C2541" i="1"/>
  <c r="B2541" i="1"/>
  <c r="A2541" i="1"/>
  <c r="F2540" i="1"/>
  <c r="E2540" i="1"/>
  <c r="D2540" i="1"/>
  <c r="C2540" i="1"/>
  <c r="B2540" i="1"/>
  <c r="A2540" i="1"/>
  <c r="F2539" i="1"/>
  <c r="E2539" i="1"/>
  <c r="D2539" i="1"/>
  <c r="C2539" i="1"/>
  <c r="B2539" i="1"/>
  <c r="A2539" i="1"/>
  <c r="F2538" i="1"/>
  <c r="E2538" i="1"/>
  <c r="D2538" i="1"/>
  <c r="C2538" i="1"/>
  <c r="B2538" i="1"/>
  <c r="A2538" i="1"/>
  <c r="F2537" i="1"/>
  <c r="E2537" i="1"/>
  <c r="D2537" i="1"/>
  <c r="C2537" i="1"/>
  <c r="B2537" i="1"/>
  <c r="A2537" i="1"/>
  <c r="F2536" i="1"/>
  <c r="E2536" i="1"/>
  <c r="D2536" i="1"/>
  <c r="C2536" i="1"/>
  <c r="B2536" i="1"/>
  <c r="A2536" i="1"/>
  <c r="F2535" i="1"/>
  <c r="E2535" i="1"/>
  <c r="D2535" i="1"/>
  <c r="C2535" i="1"/>
  <c r="B2535" i="1"/>
  <c r="A2535" i="1"/>
  <c r="F2534" i="1"/>
  <c r="E2534" i="1"/>
  <c r="D2534" i="1"/>
  <c r="C2534" i="1"/>
  <c r="B2534" i="1"/>
  <c r="A2534" i="1"/>
  <c r="F2533" i="1"/>
  <c r="E2533" i="1"/>
  <c r="D2533" i="1"/>
  <c r="C2533" i="1"/>
  <c r="B2533" i="1"/>
  <c r="A2533" i="1"/>
  <c r="F2532" i="1"/>
  <c r="E2532" i="1"/>
  <c r="D2532" i="1"/>
  <c r="C2532" i="1"/>
  <c r="B2532" i="1"/>
  <c r="A2532" i="1"/>
  <c r="F2531" i="1"/>
  <c r="E2531" i="1"/>
  <c r="D2531" i="1"/>
  <c r="C2531" i="1"/>
  <c r="B2531" i="1"/>
  <c r="A2531" i="1"/>
  <c r="F2530" i="1"/>
  <c r="E2530" i="1"/>
  <c r="D2530" i="1"/>
  <c r="C2530" i="1"/>
  <c r="B2530" i="1"/>
  <c r="A2530" i="1"/>
  <c r="F2529" i="1"/>
  <c r="E2529" i="1"/>
  <c r="D2529" i="1"/>
  <c r="C2529" i="1"/>
  <c r="B2529" i="1"/>
  <c r="A2529" i="1"/>
  <c r="F2528" i="1"/>
  <c r="E2528" i="1"/>
  <c r="D2528" i="1"/>
  <c r="C2528" i="1"/>
  <c r="B2528" i="1"/>
  <c r="A2528" i="1"/>
  <c r="F2527" i="1"/>
  <c r="E2527" i="1"/>
  <c r="D2527" i="1"/>
  <c r="C2527" i="1"/>
  <c r="B2527" i="1"/>
  <c r="A2527" i="1"/>
  <c r="F2526" i="1"/>
  <c r="E2526" i="1"/>
  <c r="D2526" i="1"/>
  <c r="C2526" i="1"/>
  <c r="B2526" i="1"/>
  <c r="A2526" i="1"/>
  <c r="F2525" i="1"/>
  <c r="E2525" i="1"/>
  <c r="D2525" i="1"/>
  <c r="C2525" i="1"/>
  <c r="B2525" i="1"/>
  <c r="A2525" i="1"/>
  <c r="F2524" i="1"/>
  <c r="E2524" i="1"/>
  <c r="D2524" i="1"/>
  <c r="C2524" i="1"/>
  <c r="B2524" i="1"/>
  <c r="A2524" i="1"/>
  <c r="F2523" i="1"/>
  <c r="E2523" i="1"/>
  <c r="D2523" i="1"/>
  <c r="C2523" i="1"/>
  <c r="B2523" i="1"/>
  <c r="A2523" i="1"/>
  <c r="F2522" i="1"/>
  <c r="E2522" i="1"/>
  <c r="D2522" i="1"/>
  <c r="C2522" i="1"/>
  <c r="B2522" i="1"/>
  <c r="A2522" i="1"/>
  <c r="F2521" i="1"/>
  <c r="E2521" i="1"/>
  <c r="D2521" i="1"/>
  <c r="C2521" i="1"/>
  <c r="B2521" i="1"/>
  <c r="A2521" i="1"/>
  <c r="F2520" i="1"/>
  <c r="E2520" i="1"/>
  <c r="D2520" i="1"/>
  <c r="C2520" i="1"/>
  <c r="B2520" i="1"/>
  <c r="A2520" i="1"/>
  <c r="F2519" i="1"/>
  <c r="E2519" i="1"/>
  <c r="D2519" i="1"/>
  <c r="C2519" i="1"/>
  <c r="B2519" i="1"/>
  <c r="A2519" i="1"/>
  <c r="F2518" i="1"/>
  <c r="E2518" i="1"/>
  <c r="D2518" i="1"/>
  <c r="C2518" i="1"/>
  <c r="B2518" i="1"/>
  <c r="A2518" i="1"/>
  <c r="F2517" i="1"/>
  <c r="E2517" i="1"/>
  <c r="D2517" i="1"/>
  <c r="C2517" i="1"/>
  <c r="B2517" i="1"/>
  <c r="A2517" i="1"/>
  <c r="F2516" i="1"/>
  <c r="E2516" i="1"/>
  <c r="D2516" i="1"/>
  <c r="C2516" i="1"/>
  <c r="B2516" i="1"/>
  <c r="A2516" i="1"/>
  <c r="F2515" i="1"/>
  <c r="E2515" i="1"/>
  <c r="D2515" i="1"/>
  <c r="C2515" i="1"/>
  <c r="B2515" i="1"/>
  <c r="A2515" i="1"/>
  <c r="F2514" i="1"/>
  <c r="E2514" i="1"/>
  <c r="D2514" i="1"/>
  <c r="C2514" i="1"/>
  <c r="B2514" i="1"/>
  <c r="A2514" i="1"/>
  <c r="F2513" i="1"/>
  <c r="E2513" i="1"/>
  <c r="D2513" i="1"/>
  <c r="C2513" i="1"/>
  <c r="B2513" i="1"/>
  <c r="A2513" i="1"/>
  <c r="F2512" i="1"/>
  <c r="E2512" i="1"/>
  <c r="D2512" i="1"/>
  <c r="C2512" i="1"/>
  <c r="B2512" i="1"/>
  <c r="A2512" i="1"/>
  <c r="F2511" i="1"/>
  <c r="E2511" i="1"/>
  <c r="D2511" i="1"/>
  <c r="C2511" i="1"/>
  <c r="B2511" i="1"/>
  <c r="A2511" i="1"/>
  <c r="F2510" i="1"/>
  <c r="E2510" i="1"/>
  <c r="D2510" i="1"/>
  <c r="C2510" i="1"/>
  <c r="B2510" i="1"/>
  <c r="A2510" i="1"/>
  <c r="F2509" i="1"/>
  <c r="E2509" i="1"/>
  <c r="D2509" i="1"/>
  <c r="C2509" i="1"/>
  <c r="B2509" i="1"/>
  <c r="A2509" i="1"/>
  <c r="F2508" i="1"/>
  <c r="E2508" i="1"/>
  <c r="D2508" i="1"/>
  <c r="C2508" i="1"/>
  <c r="B2508" i="1"/>
  <c r="A2508" i="1"/>
  <c r="F2507" i="1"/>
  <c r="E2507" i="1"/>
  <c r="D2507" i="1"/>
  <c r="C2507" i="1"/>
  <c r="B2507" i="1"/>
  <c r="A2507" i="1"/>
  <c r="F2506" i="1"/>
  <c r="E2506" i="1"/>
  <c r="D2506" i="1"/>
  <c r="C2506" i="1"/>
  <c r="B2506" i="1"/>
  <c r="A2506" i="1"/>
  <c r="F2505" i="1"/>
  <c r="E2505" i="1"/>
  <c r="D2505" i="1"/>
  <c r="C2505" i="1"/>
  <c r="B2505" i="1"/>
  <c r="A2505" i="1"/>
  <c r="F2504" i="1"/>
  <c r="E2504" i="1"/>
  <c r="D2504" i="1"/>
  <c r="C2504" i="1"/>
  <c r="B2504" i="1"/>
  <c r="A2504" i="1"/>
  <c r="F2503" i="1"/>
  <c r="E2503" i="1"/>
  <c r="D2503" i="1"/>
  <c r="C2503" i="1"/>
  <c r="B2503" i="1"/>
  <c r="A2503" i="1"/>
  <c r="F2502" i="1"/>
  <c r="E2502" i="1"/>
  <c r="D2502" i="1"/>
  <c r="C2502" i="1"/>
  <c r="B2502" i="1"/>
  <c r="A2502" i="1"/>
  <c r="F2501" i="1"/>
  <c r="E2501" i="1"/>
  <c r="D2501" i="1"/>
  <c r="C2501" i="1"/>
  <c r="B2501" i="1"/>
  <c r="A2501" i="1"/>
  <c r="F2500" i="1"/>
  <c r="E2500" i="1"/>
  <c r="D2500" i="1"/>
  <c r="C2500" i="1"/>
  <c r="B2500" i="1"/>
  <c r="A2500" i="1"/>
  <c r="F2499" i="1"/>
  <c r="E2499" i="1"/>
  <c r="D2499" i="1"/>
  <c r="C2499" i="1"/>
  <c r="B2499" i="1"/>
  <c r="A2499" i="1"/>
  <c r="F2498" i="1"/>
  <c r="E2498" i="1"/>
  <c r="D2498" i="1"/>
  <c r="C2498" i="1"/>
  <c r="B2498" i="1"/>
  <c r="A2498" i="1"/>
  <c r="F2497" i="1"/>
  <c r="E2497" i="1"/>
  <c r="D2497" i="1"/>
  <c r="C2497" i="1"/>
  <c r="B2497" i="1"/>
  <c r="A2497" i="1"/>
  <c r="F2496" i="1"/>
  <c r="E2496" i="1"/>
  <c r="D2496" i="1"/>
  <c r="C2496" i="1"/>
  <c r="B2496" i="1"/>
  <c r="A2496" i="1"/>
  <c r="F2495" i="1"/>
  <c r="E2495" i="1"/>
  <c r="D2495" i="1"/>
  <c r="C2495" i="1"/>
  <c r="B2495" i="1"/>
  <c r="A2495" i="1"/>
  <c r="F2494" i="1"/>
  <c r="E2494" i="1"/>
  <c r="D2494" i="1"/>
  <c r="C2494" i="1"/>
  <c r="B2494" i="1"/>
  <c r="A2494" i="1"/>
  <c r="F2493" i="1"/>
  <c r="E2493" i="1"/>
  <c r="D2493" i="1"/>
  <c r="C2493" i="1"/>
  <c r="B2493" i="1"/>
  <c r="A2493" i="1"/>
  <c r="F2492" i="1"/>
  <c r="E2492" i="1"/>
  <c r="D2492" i="1"/>
  <c r="C2492" i="1"/>
  <c r="B2492" i="1"/>
  <c r="A2492" i="1"/>
  <c r="F2491" i="1"/>
  <c r="E2491" i="1"/>
  <c r="D2491" i="1"/>
  <c r="C2491" i="1"/>
  <c r="B2491" i="1"/>
  <c r="A2491" i="1"/>
  <c r="F2490" i="1"/>
  <c r="E2490" i="1"/>
  <c r="D2490" i="1"/>
  <c r="C2490" i="1"/>
  <c r="B2490" i="1"/>
  <c r="A2490" i="1"/>
  <c r="F2489" i="1"/>
  <c r="E2489" i="1"/>
  <c r="D2489" i="1"/>
  <c r="C2489" i="1"/>
  <c r="B2489" i="1"/>
  <c r="A2489" i="1"/>
  <c r="F2488" i="1"/>
  <c r="E2488" i="1"/>
  <c r="D2488" i="1"/>
  <c r="C2488" i="1"/>
  <c r="B2488" i="1"/>
  <c r="A2488" i="1"/>
  <c r="F2487" i="1"/>
  <c r="E2487" i="1"/>
  <c r="D2487" i="1"/>
  <c r="C2487" i="1"/>
  <c r="B2487" i="1"/>
  <c r="A2487" i="1"/>
  <c r="F2486" i="1"/>
  <c r="E2486" i="1"/>
  <c r="D2486" i="1"/>
  <c r="C2486" i="1"/>
  <c r="B2486" i="1"/>
  <c r="A2486" i="1"/>
  <c r="F2485" i="1"/>
  <c r="E2485" i="1"/>
  <c r="D2485" i="1"/>
  <c r="C2485" i="1"/>
  <c r="B2485" i="1"/>
  <c r="A2485" i="1"/>
  <c r="F2484" i="1"/>
  <c r="E2484" i="1"/>
  <c r="D2484" i="1"/>
  <c r="C2484" i="1"/>
  <c r="B2484" i="1"/>
  <c r="A2484" i="1"/>
  <c r="F2483" i="1"/>
  <c r="E2483" i="1"/>
  <c r="D2483" i="1"/>
  <c r="C2483" i="1"/>
  <c r="B2483" i="1"/>
  <c r="A2483" i="1"/>
  <c r="F2482" i="1"/>
  <c r="E2482" i="1"/>
  <c r="D2482" i="1"/>
  <c r="C2482" i="1"/>
  <c r="B2482" i="1"/>
  <c r="A2482" i="1"/>
  <c r="F2481" i="1"/>
  <c r="E2481" i="1"/>
  <c r="D2481" i="1"/>
  <c r="C2481" i="1"/>
  <c r="B2481" i="1"/>
  <c r="A2481" i="1"/>
  <c r="F2480" i="1"/>
  <c r="E2480" i="1"/>
  <c r="D2480" i="1"/>
  <c r="C2480" i="1"/>
  <c r="B2480" i="1"/>
  <c r="A2480" i="1"/>
  <c r="F2479" i="1"/>
  <c r="E2479" i="1"/>
  <c r="D2479" i="1"/>
  <c r="C2479" i="1"/>
  <c r="B2479" i="1"/>
  <c r="A2479" i="1"/>
  <c r="F2478" i="1"/>
  <c r="E2478" i="1"/>
  <c r="D2478" i="1"/>
  <c r="C2478" i="1"/>
  <c r="B2478" i="1"/>
  <c r="A2478" i="1"/>
  <c r="F2477" i="1"/>
  <c r="E2477" i="1"/>
  <c r="D2477" i="1"/>
  <c r="C2477" i="1"/>
  <c r="B2477" i="1"/>
  <c r="A2477" i="1"/>
  <c r="F2476" i="1"/>
  <c r="E2476" i="1"/>
  <c r="D2476" i="1"/>
  <c r="C2476" i="1"/>
  <c r="B2476" i="1"/>
  <c r="A2476" i="1"/>
  <c r="F2475" i="1"/>
  <c r="E2475" i="1"/>
  <c r="D2475" i="1"/>
  <c r="C2475" i="1"/>
  <c r="B2475" i="1"/>
  <c r="A2475" i="1"/>
  <c r="F2474" i="1"/>
  <c r="E2474" i="1"/>
  <c r="D2474" i="1"/>
  <c r="C2474" i="1"/>
  <c r="B2474" i="1"/>
  <c r="A2474" i="1"/>
  <c r="F2473" i="1"/>
  <c r="E2473" i="1"/>
  <c r="D2473" i="1"/>
  <c r="C2473" i="1"/>
  <c r="B2473" i="1"/>
  <c r="A2473" i="1"/>
  <c r="F2472" i="1"/>
  <c r="E2472" i="1"/>
  <c r="D2472" i="1"/>
  <c r="C2472" i="1"/>
  <c r="B2472" i="1"/>
  <c r="A2472" i="1"/>
  <c r="F2471" i="1"/>
  <c r="E2471" i="1"/>
  <c r="D2471" i="1"/>
  <c r="C2471" i="1"/>
  <c r="B2471" i="1"/>
  <c r="A2471" i="1"/>
  <c r="F2470" i="1"/>
  <c r="E2470" i="1"/>
  <c r="D2470" i="1"/>
  <c r="C2470" i="1"/>
  <c r="B2470" i="1"/>
  <c r="A2470" i="1"/>
  <c r="F2469" i="1"/>
  <c r="E2469" i="1"/>
  <c r="D2469" i="1"/>
  <c r="C2469" i="1"/>
  <c r="B2469" i="1"/>
  <c r="A2469" i="1"/>
  <c r="F2468" i="1"/>
  <c r="E2468" i="1"/>
  <c r="D2468" i="1"/>
  <c r="C2468" i="1"/>
  <c r="B2468" i="1"/>
  <c r="A2468" i="1"/>
  <c r="F2467" i="1"/>
  <c r="E2467" i="1"/>
  <c r="D2467" i="1"/>
  <c r="C2467" i="1"/>
  <c r="B2467" i="1"/>
  <c r="A2467" i="1"/>
  <c r="F2466" i="1"/>
  <c r="E2466" i="1"/>
  <c r="D2466" i="1"/>
  <c r="C2466" i="1"/>
  <c r="B2466" i="1"/>
  <c r="A2466" i="1"/>
  <c r="F2465" i="1"/>
  <c r="E2465" i="1"/>
  <c r="D2465" i="1"/>
  <c r="C2465" i="1"/>
  <c r="B2465" i="1"/>
  <c r="A2465" i="1"/>
  <c r="F2464" i="1"/>
  <c r="E2464" i="1"/>
  <c r="D2464" i="1"/>
  <c r="C2464" i="1"/>
  <c r="B2464" i="1"/>
  <c r="A2464" i="1"/>
  <c r="F2463" i="1"/>
  <c r="E2463" i="1"/>
  <c r="D2463" i="1"/>
  <c r="C2463" i="1"/>
  <c r="B2463" i="1"/>
  <c r="A2463" i="1"/>
  <c r="F2462" i="1"/>
  <c r="E2462" i="1"/>
  <c r="D2462" i="1"/>
  <c r="C2462" i="1"/>
  <c r="B2462" i="1"/>
  <c r="A2462" i="1"/>
  <c r="F2461" i="1"/>
  <c r="E2461" i="1"/>
  <c r="D2461" i="1"/>
  <c r="C2461" i="1"/>
  <c r="B2461" i="1"/>
  <c r="A2461" i="1"/>
  <c r="F2460" i="1"/>
  <c r="E2460" i="1"/>
  <c r="D2460" i="1"/>
  <c r="C2460" i="1"/>
  <c r="B2460" i="1"/>
  <c r="A2460" i="1"/>
  <c r="F2459" i="1"/>
  <c r="E2459" i="1"/>
  <c r="D2459" i="1"/>
  <c r="C2459" i="1"/>
  <c r="B2459" i="1"/>
  <c r="A2459" i="1"/>
  <c r="F2458" i="1"/>
  <c r="E2458" i="1"/>
  <c r="D2458" i="1"/>
  <c r="C2458" i="1"/>
  <c r="B2458" i="1"/>
  <c r="A2458" i="1"/>
  <c r="F2457" i="1"/>
  <c r="E2457" i="1"/>
  <c r="D2457" i="1"/>
  <c r="C2457" i="1"/>
  <c r="B2457" i="1"/>
  <c r="A2457" i="1"/>
  <c r="F2456" i="1"/>
  <c r="E2456" i="1"/>
  <c r="D2456" i="1"/>
  <c r="C2456" i="1"/>
  <c r="B2456" i="1"/>
  <c r="A2456" i="1"/>
  <c r="F2455" i="1"/>
  <c r="E2455" i="1"/>
  <c r="D2455" i="1"/>
  <c r="C2455" i="1"/>
  <c r="B2455" i="1"/>
  <c r="A2455" i="1"/>
  <c r="F2454" i="1"/>
  <c r="E2454" i="1"/>
  <c r="D2454" i="1"/>
  <c r="C2454" i="1"/>
  <c r="B2454" i="1"/>
  <c r="A2454" i="1"/>
  <c r="F2453" i="1"/>
  <c r="E2453" i="1"/>
  <c r="D2453" i="1"/>
  <c r="C2453" i="1"/>
  <c r="B2453" i="1"/>
  <c r="A2453" i="1"/>
  <c r="F2452" i="1"/>
  <c r="E2452" i="1"/>
  <c r="D2452" i="1"/>
  <c r="C2452" i="1"/>
  <c r="B2452" i="1"/>
  <c r="A2452" i="1"/>
  <c r="F2451" i="1"/>
  <c r="E2451" i="1"/>
  <c r="D2451" i="1"/>
  <c r="C2451" i="1"/>
  <c r="B2451" i="1"/>
  <c r="A2451" i="1"/>
  <c r="F2450" i="1"/>
  <c r="E2450" i="1"/>
  <c r="D2450" i="1"/>
  <c r="C2450" i="1"/>
  <c r="B2450" i="1"/>
  <c r="A2450" i="1"/>
  <c r="F2449" i="1"/>
  <c r="E2449" i="1"/>
  <c r="D2449" i="1"/>
  <c r="C2449" i="1"/>
  <c r="B2449" i="1"/>
  <c r="A2449" i="1"/>
  <c r="F2448" i="1"/>
  <c r="E2448" i="1"/>
  <c r="D2448" i="1"/>
  <c r="C2448" i="1"/>
  <c r="B2448" i="1"/>
  <c r="A2448" i="1"/>
  <c r="F2447" i="1"/>
  <c r="E2447" i="1"/>
  <c r="D2447" i="1"/>
  <c r="C2447" i="1"/>
  <c r="B2447" i="1"/>
  <c r="A2447" i="1"/>
  <c r="F2446" i="1"/>
  <c r="E2446" i="1"/>
  <c r="D2446" i="1"/>
  <c r="C2446" i="1"/>
  <c r="B2446" i="1"/>
  <c r="A2446" i="1"/>
  <c r="F2445" i="1"/>
  <c r="E2445" i="1"/>
  <c r="D2445" i="1"/>
  <c r="C2445" i="1"/>
  <c r="B2445" i="1"/>
  <c r="A2445" i="1"/>
  <c r="F2444" i="1"/>
  <c r="E2444" i="1"/>
  <c r="D2444" i="1"/>
  <c r="C2444" i="1"/>
  <c r="B2444" i="1"/>
  <c r="A2444" i="1"/>
  <c r="F2443" i="1"/>
  <c r="E2443" i="1"/>
  <c r="D2443" i="1"/>
  <c r="C2443" i="1"/>
  <c r="B2443" i="1"/>
  <c r="A2443" i="1"/>
  <c r="F2442" i="1"/>
  <c r="E2442" i="1"/>
  <c r="D2442" i="1"/>
  <c r="C2442" i="1"/>
  <c r="B2442" i="1"/>
  <c r="A2442" i="1"/>
  <c r="F2441" i="1"/>
  <c r="E2441" i="1"/>
  <c r="D2441" i="1"/>
  <c r="C2441" i="1"/>
  <c r="B2441" i="1"/>
  <c r="A2441" i="1"/>
  <c r="F2440" i="1"/>
  <c r="E2440" i="1"/>
  <c r="D2440" i="1"/>
  <c r="C2440" i="1"/>
  <c r="B2440" i="1"/>
  <c r="A2440" i="1"/>
  <c r="F2439" i="1"/>
  <c r="E2439" i="1"/>
  <c r="D2439" i="1"/>
  <c r="C2439" i="1"/>
  <c r="B2439" i="1"/>
  <c r="A2439" i="1"/>
  <c r="F2438" i="1"/>
  <c r="E2438" i="1"/>
  <c r="D2438" i="1"/>
  <c r="C2438" i="1"/>
  <c r="B2438" i="1"/>
  <c r="A2438" i="1"/>
  <c r="F2437" i="1"/>
  <c r="E2437" i="1"/>
  <c r="D2437" i="1"/>
  <c r="C2437" i="1"/>
  <c r="B2437" i="1"/>
  <c r="A2437" i="1"/>
  <c r="F2436" i="1"/>
  <c r="E2436" i="1"/>
  <c r="D2436" i="1"/>
  <c r="C2436" i="1"/>
  <c r="B2436" i="1"/>
  <c r="A2436" i="1"/>
  <c r="F2435" i="1"/>
  <c r="E2435" i="1"/>
  <c r="D2435" i="1"/>
  <c r="C2435" i="1"/>
  <c r="B2435" i="1"/>
  <c r="A2435" i="1"/>
  <c r="F2434" i="1"/>
  <c r="E2434" i="1"/>
  <c r="D2434" i="1"/>
  <c r="C2434" i="1"/>
  <c r="B2434" i="1"/>
  <c r="A2434" i="1"/>
  <c r="F2433" i="1"/>
  <c r="E2433" i="1"/>
  <c r="D2433" i="1"/>
  <c r="C2433" i="1"/>
  <c r="B2433" i="1"/>
  <c r="A2433" i="1"/>
  <c r="F2432" i="1"/>
  <c r="E2432" i="1"/>
  <c r="D2432" i="1"/>
  <c r="C2432" i="1"/>
  <c r="B2432" i="1"/>
  <c r="A2432" i="1"/>
  <c r="F2431" i="1"/>
  <c r="E2431" i="1"/>
  <c r="D2431" i="1"/>
  <c r="C2431" i="1"/>
  <c r="B2431" i="1"/>
  <c r="A2431" i="1"/>
  <c r="F2430" i="1"/>
  <c r="E2430" i="1"/>
  <c r="D2430" i="1"/>
  <c r="C2430" i="1"/>
  <c r="B2430" i="1"/>
  <c r="A2430" i="1"/>
  <c r="F2429" i="1"/>
  <c r="E2429" i="1"/>
  <c r="D2429" i="1"/>
  <c r="C2429" i="1"/>
  <c r="B2429" i="1"/>
  <c r="A2429" i="1"/>
  <c r="F2428" i="1"/>
  <c r="E2428" i="1"/>
  <c r="D2428" i="1"/>
  <c r="C2428" i="1"/>
  <c r="B2428" i="1"/>
  <c r="A2428" i="1"/>
  <c r="F2427" i="1"/>
  <c r="E2427" i="1"/>
  <c r="D2427" i="1"/>
  <c r="C2427" i="1"/>
  <c r="B2427" i="1"/>
  <c r="A2427" i="1"/>
  <c r="F2426" i="1"/>
  <c r="E2426" i="1"/>
  <c r="D2426" i="1"/>
  <c r="C2426" i="1"/>
  <c r="B2426" i="1"/>
  <c r="A2426" i="1"/>
  <c r="F2425" i="1"/>
  <c r="E2425" i="1"/>
  <c r="D2425" i="1"/>
  <c r="C2425" i="1"/>
  <c r="B2425" i="1"/>
  <c r="A2425" i="1"/>
  <c r="F2424" i="1"/>
  <c r="E2424" i="1"/>
  <c r="D2424" i="1"/>
  <c r="C2424" i="1"/>
  <c r="B2424" i="1"/>
  <c r="A2424" i="1"/>
  <c r="F2423" i="1"/>
  <c r="E2423" i="1"/>
  <c r="D2423" i="1"/>
  <c r="C2423" i="1"/>
  <c r="B2423" i="1"/>
  <c r="A2423" i="1"/>
  <c r="F2422" i="1"/>
  <c r="E2422" i="1"/>
  <c r="D2422" i="1"/>
  <c r="C2422" i="1"/>
  <c r="B2422" i="1"/>
  <c r="A2422" i="1"/>
  <c r="F2421" i="1"/>
  <c r="E2421" i="1"/>
  <c r="D2421" i="1"/>
  <c r="C2421" i="1"/>
  <c r="B2421" i="1"/>
  <c r="A2421" i="1"/>
  <c r="F2420" i="1"/>
  <c r="E2420" i="1"/>
  <c r="D2420" i="1"/>
  <c r="C2420" i="1"/>
  <c r="B2420" i="1"/>
  <c r="A2420" i="1"/>
  <c r="F2419" i="1"/>
  <c r="E2419" i="1"/>
  <c r="D2419" i="1"/>
  <c r="C2419" i="1"/>
  <c r="B2419" i="1"/>
  <c r="A2419" i="1"/>
  <c r="F2418" i="1"/>
  <c r="E2418" i="1"/>
  <c r="D2418" i="1"/>
  <c r="C2418" i="1"/>
  <c r="B2418" i="1"/>
  <c r="A2418" i="1"/>
  <c r="F2417" i="1"/>
  <c r="E2417" i="1"/>
  <c r="D2417" i="1"/>
  <c r="C2417" i="1"/>
  <c r="B2417" i="1"/>
  <c r="A2417" i="1"/>
  <c r="F2416" i="1"/>
  <c r="E2416" i="1"/>
  <c r="D2416" i="1"/>
  <c r="C2416" i="1"/>
  <c r="B2416" i="1"/>
  <c r="A2416" i="1"/>
  <c r="F2415" i="1"/>
  <c r="E2415" i="1"/>
  <c r="D2415" i="1"/>
  <c r="C2415" i="1"/>
  <c r="B2415" i="1"/>
  <c r="A2415" i="1"/>
  <c r="F2414" i="1"/>
  <c r="E2414" i="1"/>
  <c r="D2414" i="1"/>
  <c r="C2414" i="1"/>
  <c r="B2414" i="1"/>
  <c r="A2414" i="1"/>
  <c r="F2413" i="1"/>
  <c r="E2413" i="1"/>
  <c r="D2413" i="1"/>
  <c r="C2413" i="1"/>
  <c r="B2413" i="1"/>
  <c r="A2413" i="1"/>
  <c r="F2412" i="1"/>
  <c r="E2412" i="1"/>
  <c r="D2412" i="1"/>
  <c r="C2412" i="1"/>
  <c r="B2412" i="1"/>
  <c r="A2412" i="1"/>
  <c r="F2411" i="1"/>
  <c r="E2411" i="1"/>
  <c r="D2411" i="1"/>
  <c r="C2411" i="1"/>
  <c r="B2411" i="1"/>
  <c r="A2411" i="1"/>
  <c r="F2410" i="1"/>
  <c r="E2410" i="1"/>
  <c r="D2410" i="1"/>
  <c r="C2410" i="1"/>
  <c r="B2410" i="1"/>
  <c r="A2410" i="1"/>
  <c r="F2409" i="1"/>
  <c r="E2409" i="1"/>
  <c r="D2409" i="1"/>
  <c r="C2409" i="1"/>
  <c r="B2409" i="1"/>
  <c r="A2409" i="1"/>
  <c r="F2408" i="1"/>
  <c r="E2408" i="1"/>
  <c r="D2408" i="1"/>
  <c r="C2408" i="1"/>
  <c r="B2408" i="1"/>
  <c r="A2408" i="1"/>
  <c r="F2407" i="1"/>
  <c r="E2407" i="1"/>
  <c r="D2407" i="1"/>
  <c r="C2407" i="1"/>
  <c r="B2407" i="1"/>
  <c r="A2407" i="1"/>
  <c r="F2406" i="1"/>
  <c r="E2406" i="1"/>
  <c r="D2406" i="1"/>
  <c r="C2406" i="1"/>
  <c r="B2406" i="1"/>
  <c r="A2406" i="1"/>
  <c r="F2405" i="1"/>
  <c r="E2405" i="1"/>
  <c r="D2405" i="1"/>
  <c r="C2405" i="1"/>
  <c r="B2405" i="1"/>
  <c r="A2405" i="1"/>
  <c r="F2404" i="1"/>
  <c r="E2404" i="1"/>
  <c r="D2404" i="1"/>
  <c r="C2404" i="1"/>
  <c r="B2404" i="1"/>
  <c r="A2404" i="1"/>
  <c r="F2403" i="1"/>
  <c r="E2403" i="1"/>
  <c r="D2403" i="1"/>
  <c r="C2403" i="1"/>
  <c r="B2403" i="1"/>
  <c r="A2403" i="1"/>
  <c r="F2402" i="1"/>
  <c r="E2402" i="1"/>
  <c r="D2402" i="1"/>
  <c r="C2402" i="1"/>
  <c r="B2402" i="1"/>
  <c r="A2402" i="1"/>
  <c r="F2401" i="1"/>
  <c r="E2401" i="1"/>
  <c r="D2401" i="1"/>
  <c r="C2401" i="1"/>
  <c r="B2401" i="1"/>
  <c r="A2401" i="1"/>
  <c r="F2400" i="1"/>
  <c r="E2400" i="1"/>
  <c r="D2400" i="1"/>
  <c r="C2400" i="1"/>
  <c r="B2400" i="1"/>
  <c r="A2400" i="1"/>
  <c r="F2399" i="1"/>
  <c r="E2399" i="1"/>
  <c r="D2399" i="1"/>
  <c r="C2399" i="1"/>
  <c r="B2399" i="1"/>
  <c r="A2399" i="1"/>
  <c r="F2398" i="1"/>
  <c r="E2398" i="1"/>
  <c r="D2398" i="1"/>
  <c r="C2398" i="1"/>
  <c r="B2398" i="1"/>
  <c r="A2398" i="1"/>
  <c r="F2397" i="1"/>
  <c r="E2397" i="1"/>
  <c r="D2397" i="1"/>
  <c r="C2397" i="1"/>
  <c r="B2397" i="1"/>
  <c r="A2397" i="1"/>
  <c r="F2396" i="1"/>
  <c r="E2396" i="1"/>
  <c r="D2396" i="1"/>
  <c r="C2396" i="1"/>
  <c r="B2396" i="1"/>
  <c r="A2396" i="1"/>
  <c r="F2395" i="1"/>
  <c r="E2395" i="1"/>
  <c r="D2395" i="1"/>
  <c r="C2395" i="1"/>
  <c r="B2395" i="1"/>
  <c r="A2395" i="1"/>
  <c r="F2394" i="1"/>
  <c r="E2394" i="1"/>
  <c r="D2394" i="1"/>
  <c r="C2394" i="1"/>
  <c r="B2394" i="1"/>
  <c r="A2394" i="1"/>
  <c r="F2393" i="1"/>
  <c r="E2393" i="1"/>
  <c r="D2393" i="1"/>
  <c r="C2393" i="1"/>
  <c r="B2393" i="1"/>
  <c r="A2393" i="1"/>
  <c r="F2392" i="1"/>
  <c r="E2392" i="1"/>
  <c r="D2392" i="1"/>
  <c r="C2392" i="1"/>
  <c r="B2392" i="1"/>
  <c r="A2392" i="1"/>
  <c r="F2391" i="1"/>
  <c r="E2391" i="1"/>
  <c r="D2391" i="1"/>
  <c r="C2391" i="1"/>
  <c r="B2391" i="1"/>
  <c r="A2391" i="1"/>
  <c r="F2390" i="1"/>
  <c r="E2390" i="1"/>
  <c r="D2390" i="1"/>
  <c r="C2390" i="1"/>
  <c r="B2390" i="1"/>
  <c r="A2390" i="1"/>
  <c r="F2389" i="1"/>
  <c r="E2389" i="1"/>
  <c r="D2389" i="1"/>
  <c r="C2389" i="1"/>
  <c r="B2389" i="1"/>
  <c r="A2389" i="1"/>
  <c r="F2388" i="1"/>
  <c r="E2388" i="1"/>
  <c r="D2388" i="1"/>
  <c r="C2388" i="1"/>
  <c r="B2388" i="1"/>
  <c r="A2388" i="1"/>
  <c r="F2387" i="1"/>
  <c r="E2387" i="1"/>
  <c r="D2387" i="1"/>
  <c r="C2387" i="1"/>
  <c r="B2387" i="1"/>
  <c r="A2387" i="1"/>
  <c r="F2386" i="1"/>
  <c r="E2386" i="1"/>
  <c r="D2386" i="1"/>
  <c r="C2386" i="1"/>
  <c r="B2386" i="1"/>
  <c r="A2386" i="1"/>
  <c r="F2385" i="1"/>
  <c r="E2385" i="1"/>
  <c r="D2385" i="1"/>
  <c r="C2385" i="1"/>
  <c r="B2385" i="1"/>
  <c r="A2385" i="1"/>
  <c r="F2384" i="1"/>
  <c r="E2384" i="1"/>
  <c r="D2384" i="1"/>
  <c r="C2384" i="1"/>
  <c r="B2384" i="1"/>
  <c r="A2384" i="1"/>
  <c r="F2383" i="1"/>
  <c r="E2383" i="1"/>
  <c r="D2383" i="1"/>
  <c r="C2383" i="1"/>
  <c r="B2383" i="1"/>
  <c r="A2383" i="1"/>
  <c r="F2382" i="1"/>
  <c r="E2382" i="1"/>
  <c r="D2382" i="1"/>
  <c r="C2382" i="1"/>
  <c r="B2382" i="1"/>
  <c r="A2382" i="1"/>
  <c r="F2381" i="1"/>
  <c r="E2381" i="1"/>
  <c r="D2381" i="1"/>
  <c r="C2381" i="1"/>
  <c r="B2381" i="1"/>
  <c r="A2381" i="1"/>
  <c r="F2380" i="1"/>
  <c r="E2380" i="1"/>
  <c r="D2380" i="1"/>
  <c r="C2380" i="1"/>
  <c r="B2380" i="1"/>
  <c r="A2380" i="1"/>
  <c r="F2379" i="1"/>
  <c r="E2379" i="1"/>
  <c r="D2379" i="1"/>
  <c r="C2379" i="1"/>
  <c r="B2379" i="1"/>
  <c r="A2379" i="1"/>
  <c r="F2378" i="1"/>
  <c r="E2378" i="1"/>
  <c r="D2378" i="1"/>
  <c r="C2378" i="1"/>
  <c r="B2378" i="1"/>
  <c r="A2378" i="1"/>
  <c r="F2377" i="1"/>
  <c r="E2377" i="1"/>
  <c r="D2377" i="1"/>
  <c r="C2377" i="1"/>
  <c r="B2377" i="1"/>
  <c r="A2377" i="1"/>
  <c r="F2376" i="1"/>
  <c r="E2376" i="1"/>
  <c r="D2376" i="1"/>
  <c r="C2376" i="1"/>
  <c r="B2376" i="1"/>
  <c r="A2376" i="1"/>
  <c r="F2375" i="1"/>
  <c r="E2375" i="1"/>
  <c r="D2375" i="1"/>
  <c r="C2375" i="1"/>
  <c r="B2375" i="1"/>
  <c r="A2375" i="1"/>
  <c r="F2374" i="1"/>
  <c r="E2374" i="1"/>
  <c r="D2374" i="1"/>
  <c r="C2374" i="1"/>
  <c r="B2374" i="1"/>
  <c r="A2374" i="1"/>
  <c r="F2373" i="1"/>
  <c r="E2373" i="1"/>
  <c r="D2373" i="1"/>
  <c r="C2373" i="1"/>
  <c r="B2373" i="1"/>
  <c r="A2373" i="1"/>
  <c r="F2372" i="1"/>
  <c r="E2372" i="1"/>
  <c r="D2372" i="1"/>
  <c r="C2372" i="1"/>
  <c r="B2372" i="1"/>
  <c r="A2372" i="1"/>
  <c r="F2371" i="1"/>
  <c r="E2371" i="1"/>
  <c r="D2371" i="1"/>
  <c r="C2371" i="1"/>
  <c r="B2371" i="1"/>
  <c r="A2371" i="1"/>
  <c r="F2370" i="1"/>
  <c r="E2370" i="1"/>
  <c r="D2370" i="1"/>
  <c r="C2370" i="1"/>
  <c r="B2370" i="1"/>
  <c r="A2370" i="1"/>
  <c r="F2369" i="1"/>
  <c r="E2369" i="1"/>
  <c r="D2369" i="1"/>
  <c r="C2369" i="1"/>
  <c r="B2369" i="1"/>
  <c r="A2369" i="1"/>
  <c r="F2368" i="1"/>
  <c r="E2368" i="1"/>
  <c r="D2368" i="1"/>
  <c r="C2368" i="1"/>
  <c r="B2368" i="1"/>
  <c r="A2368" i="1"/>
  <c r="F2367" i="1"/>
  <c r="E2367" i="1"/>
  <c r="D2367" i="1"/>
  <c r="C2367" i="1"/>
  <c r="B2367" i="1"/>
  <c r="A2367" i="1"/>
  <c r="F2366" i="1"/>
  <c r="E2366" i="1"/>
  <c r="D2366" i="1"/>
  <c r="C2366" i="1"/>
  <c r="B2366" i="1"/>
  <c r="A2366" i="1"/>
  <c r="F2365" i="1"/>
  <c r="E2365" i="1"/>
  <c r="D2365" i="1"/>
  <c r="C2365" i="1"/>
  <c r="B2365" i="1"/>
  <c r="A2365" i="1"/>
  <c r="F2364" i="1"/>
  <c r="E2364" i="1"/>
  <c r="D2364" i="1"/>
  <c r="C2364" i="1"/>
  <c r="B2364" i="1"/>
  <c r="A2364" i="1"/>
  <c r="F2363" i="1"/>
  <c r="E2363" i="1"/>
  <c r="D2363" i="1"/>
  <c r="C2363" i="1"/>
  <c r="B2363" i="1"/>
  <c r="A2363" i="1"/>
  <c r="F2362" i="1"/>
  <c r="E2362" i="1"/>
  <c r="D2362" i="1"/>
  <c r="C2362" i="1"/>
  <c r="B2362" i="1"/>
  <c r="A2362" i="1"/>
  <c r="F2361" i="1"/>
  <c r="E2361" i="1"/>
  <c r="D2361" i="1"/>
  <c r="C2361" i="1"/>
  <c r="B2361" i="1"/>
  <c r="A2361" i="1"/>
  <c r="F2360" i="1"/>
  <c r="E2360" i="1"/>
  <c r="D2360" i="1"/>
  <c r="C2360" i="1"/>
  <c r="B2360" i="1"/>
  <c r="A2360" i="1"/>
  <c r="F2359" i="1"/>
  <c r="E2359" i="1"/>
  <c r="D2359" i="1"/>
  <c r="C2359" i="1"/>
  <c r="B2359" i="1"/>
  <c r="A2359" i="1"/>
  <c r="F2358" i="1"/>
  <c r="E2358" i="1"/>
  <c r="D2358" i="1"/>
  <c r="C2358" i="1"/>
  <c r="B2358" i="1"/>
  <c r="A2358" i="1"/>
  <c r="F2357" i="1"/>
  <c r="E2357" i="1"/>
  <c r="D2357" i="1"/>
  <c r="C2357" i="1"/>
  <c r="B2357" i="1"/>
  <c r="A2357" i="1"/>
  <c r="F2356" i="1"/>
  <c r="E2356" i="1"/>
  <c r="D2356" i="1"/>
  <c r="C2356" i="1"/>
  <c r="B2356" i="1"/>
  <c r="A2356" i="1"/>
  <c r="F2355" i="1"/>
  <c r="E2355" i="1"/>
  <c r="D2355" i="1"/>
  <c r="C2355" i="1"/>
  <c r="B2355" i="1"/>
  <c r="A2355" i="1"/>
  <c r="F2354" i="1"/>
  <c r="E2354" i="1"/>
  <c r="D2354" i="1"/>
  <c r="C2354" i="1"/>
  <c r="B2354" i="1"/>
  <c r="A2354" i="1"/>
  <c r="F2353" i="1"/>
  <c r="E2353" i="1"/>
  <c r="D2353" i="1"/>
  <c r="C2353" i="1"/>
  <c r="B2353" i="1"/>
  <c r="A2353" i="1"/>
  <c r="F2352" i="1"/>
  <c r="E2352" i="1"/>
  <c r="D2352" i="1"/>
  <c r="C2352" i="1"/>
  <c r="B2352" i="1"/>
  <c r="A2352" i="1"/>
  <c r="F2351" i="1"/>
  <c r="E2351" i="1"/>
  <c r="D2351" i="1"/>
  <c r="C2351" i="1"/>
  <c r="B2351" i="1"/>
  <c r="A2351" i="1"/>
  <c r="F2350" i="1"/>
  <c r="E2350" i="1"/>
  <c r="D2350" i="1"/>
  <c r="C2350" i="1"/>
  <c r="B2350" i="1"/>
  <c r="A2350" i="1"/>
  <c r="F2349" i="1"/>
  <c r="E2349" i="1"/>
  <c r="D2349" i="1"/>
  <c r="C2349" i="1"/>
  <c r="B2349" i="1"/>
  <c r="A2349" i="1"/>
  <c r="F2348" i="1"/>
  <c r="E2348" i="1"/>
  <c r="D2348" i="1"/>
  <c r="C2348" i="1"/>
  <c r="B2348" i="1"/>
  <c r="A2348" i="1"/>
  <c r="F2347" i="1"/>
  <c r="E2347" i="1"/>
  <c r="D2347" i="1"/>
  <c r="C2347" i="1"/>
  <c r="B2347" i="1"/>
  <c r="A2347" i="1"/>
  <c r="F2346" i="1"/>
  <c r="E2346" i="1"/>
  <c r="D2346" i="1"/>
  <c r="C2346" i="1"/>
  <c r="B2346" i="1"/>
  <c r="A2346" i="1"/>
  <c r="F2345" i="1"/>
  <c r="E2345" i="1"/>
  <c r="D2345" i="1"/>
  <c r="C2345" i="1"/>
  <c r="B2345" i="1"/>
  <c r="A2345" i="1"/>
  <c r="F2344" i="1"/>
  <c r="E2344" i="1"/>
  <c r="D2344" i="1"/>
  <c r="C2344" i="1"/>
  <c r="B2344" i="1"/>
  <c r="A2344" i="1"/>
  <c r="F2343" i="1"/>
  <c r="E2343" i="1"/>
  <c r="D2343" i="1"/>
  <c r="C2343" i="1"/>
  <c r="B2343" i="1"/>
  <c r="A2343" i="1"/>
  <c r="F2342" i="1"/>
  <c r="E2342" i="1"/>
  <c r="D2342" i="1"/>
  <c r="C2342" i="1"/>
  <c r="B2342" i="1"/>
  <c r="A2342" i="1"/>
  <c r="F2341" i="1"/>
  <c r="E2341" i="1"/>
  <c r="D2341" i="1"/>
  <c r="C2341" i="1"/>
  <c r="B2341" i="1"/>
  <c r="A2341" i="1"/>
  <c r="F2340" i="1"/>
  <c r="E2340" i="1"/>
  <c r="D2340" i="1"/>
  <c r="C2340" i="1"/>
  <c r="B2340" i="1"/>
  <c r="A2340" i="1"/>
  <c r="F2339" i="1"/>
  <c r="E2339" i="1"/>
  <c r="D2339" i="1"/>
  <c r="C2339" i="1"/>
  <c r="B2339" i="1"/>
  <c r="A2339" i="1"/>
  <c r="F2338" i="1"/>
  <c r="E2338" i="1"/>
  <c r="D2338" i="1"/>
  <c r="C2338" i="1"/>
  <c r="B2338" i="1"/>
  <c r="A2338" i="1"/>
  <c r="F2337" i="1"/>
  <c r="E2337" i="1"/>
  <c r="D2337" i="1"/>
  <c r="C2337" i="1"/>
  <c r="B2337" i="1"/>
  <c r="A2337" i="1"/>
  <c r="F2336" i="1"/>
  <c r="E2336" i="1"/>
  <c r="D2336" i="1"/>
  <c r="C2336" i="1"/>
  <c r="B2336" i="1"/>
  <c r="A2336" i="1"/>
  <c r="F2335" i="1"/>
  <c r="E2335" i="1"/>
  <c r="D2335" i="1"/>
  <c r="C2335" i="1"/>
  <c r="B2335" i="1"/>
  <c r="A2335" i="1"/>
  <c r="F2334" i="1"/>
  <c r="E2334" i="1"/>
  <c r="D2334" i="1"/>
  <c r="C2334" i="1"/>
  <c r="B2334" i="1"/>
  <c r="A2334" i="1"/>
  <c r="F2333" i="1"/>
  <c r="E2333" i="1"/>
  <c r="D2333" i="1"/>
  <c r="C2333" i="1"/>
  <c r="B2333" i="1"/>
  <c r="A2333" i="1"/>
  <c r="F2332" i="1"/>
  <c r="E2332" i="1"/>
  <c r="D2332" i="1"/>
  <c r="C2332" i="1"/>
  <c r="B2332" i="1"/>
  <c r="A2332" i="1"/>
  <c r="F2331" i="1"/>
  <c r="E2331" i="1"/>
  <c r="D2331" i="1"/>
  <c r="C2331" i="1"/>
  <c r="B2331" i="1"/>
  <c r="A2331" i="1"/>
  <c r="F2330" i="1"/>
  <c r="E2330" i="1"/>
  <c r="D2330" i="1"/>
  <c r="C2330" i="1"/>
  <c r="B2330" i="1"/>
  <c r="A2330" i="1"/>
  <c r="F2329" i="1"/>
  <c r="E2329" i="1"/>
  <c r="D2329" i="1"/>
  <c r="C2329" i="1"/>
  <c r="B2329" i="1"/>
  <c r="A2329" i="1"/>
  <c r="F2328" i="1"/>
  <c r="E2328" i="1"/>
  <c r="D2328" i="1"/>
  <c r="C2328" i="1"/>
  <c r="B2328" i="1"/>
  <c r="A2328" i="1"/>
  <c r="F2327" i="1"/>
  <c r="E2327" i="1"/>
  <c r="D2327" i="1"/>
  <c r="C2327" i="1"/>
  <c r="B2327" i="1"/>
  <c r="A2327" i="1"/>
  <c r="F2326" i="1"/>
  <c r="E2326" i="1"/>
  <c r="D2326" i="1"/>
  <c r="C2326" i="1"/>
  <c r="B2326" i="1"/>
  <c r="A2326" i="1"/>
  <c r="F2325" i="1"/>
  <c r="E2325" i="1"/>
  <c r="D2325" i="1"/>
  <c r="C2325" i="1"/>
  <c r="B2325" i="1"/>
  <c r="A2325" i="1"/>
  <c r="F2324" i="1"/>
  <c r="E2324" i="1"/>
  <c r="D2324" i="1"/>
  <c r="C2324" i="1"/>
  <c r="B2324" i="1"/>
  <c r="A2324" i="1"/>
  <c r="F2323" i="1"/>
  <c r="E2323" i="1"/>
  <c r="D2323" i="1"/>
  <c r="C2323" i="1"/>
  <c r="B2323" i="1"/>
  <c r="A2323" i="1"/>
  <c r="F2322" i="1"/>
  <c r="E2322" i="1"/>
  <c r="D2322" i="1"/>
  <c r="C2322" i="1"/>
  <c r="B2322" i="1"/>
  <c r="A2322" i="1"/>
  <c r="F2321" i="1"/>
  <c r="E2321" i="1"/>
  <c r="D2321" i="1"/>
  <c r="C2321" i="1"/>
  <c r="B2321" i="1"/>
  <c r="A2321" i="1"/>
  <c r="F2320" i="1"/>
  <c r="E2320" i="1"/>
  <c r="D2320" i="1"/>
  <c r="C2320" i="1"/>
  <c r="B2320" i="1"/>
  <c r="A2320" i="1"/>
  <c r="F2319" i="1"/>
  <c r="E2319" i="1"/>
  <c r="D2319" i="1"/>
  <c r="C2319" i="1"/>
  <c r="B2319" i="1"/>
  <c r="A2319" i="1"/>
  <c r="F2318" i="1"/>
  <c r="E2318" i="1"/>
  <c r="D2318" i="1"/>
  <c r="C2318" i="1"/>
  <c r="B2318" i="1"/>
  <c r="A2318" i="1"/>
  <c r="F2317" i="1"/>
  <c r="E2317" i="1"/>
  <c r="D2317" i="1"/>
  <c r="C2317" i="1"/>
  <c r="B2317" i="1"/>
  <c r="A2317" i="1"/>
  <c r="F2316" i="1"/>
  <c r="E2316" i="1"/>
  <c r="D2316" i="1"/>
  <c r="C2316" i="1"/>
  <c r="B2316" i="1"/>
  <c r="A2316" i="1"/>
  <c r="F2315" i="1"/>
  <c r="E2315" i="1"/>
  <c r="D2315" i="1"/>
  <c r="C2315" i="1"/>
  <c r="B2315" i="1"/>
  <c r="A2315" i="1"/>
  <c r="F2314" i="1"/>
  <c r="E2314" i="1"/>
  <c r="D2314" i="1"/>
  <c r="C2314" i="1"/>
  <c r="B2314" i="1"/>
  <c r="A2314" i="1"/>
  <c r="F2313" i="1"/>
  <c r="E2313" i="1"/>
  <c r="D2313" i="1"/>
  <c r="C2313" i="1"/>
  <c r="B2313" i="1"/>
  <c r="A2313" i="1"/>
  <c r="F2312" i="1"/>
  <c r="E2312" i="1"/>
  <c r="D2312" i="1"/>
  <c r="C2312" i="1"/>
  <c r="B2312" i="1"/>
  <c r="A2312" i="1"/>
  <c r="F2311" i="1"/>
  <c r="E2311" i="1"/>
  <c r="D2311" i="1"/>
  <c r="C2311" i="1"/>
  <c r="B2311" i="1"/>
  <c r="A2311" i="1"/>
  <c r="F2310" i="1"/>
  <c r="E2310" i="1"/>
  <c r="D2310" i="1"/>
  <c r="C2310" i="1"/>
  <c r="B2310" i="1"/>
  <c r="A2310" i="1"/>
  <c r="F2309" i="1"/>
  <c r="E2309" i="1"/>
  <c r="D2309" i="1"/>
  <c r="C2309" i="1"/>
  <c r="B2309" i="1"/>
  <c r="A2309" i="1"/>
  <c r="F2308" i="1"/>
  <c r="E2308" i="1"/>
  <c r="D2308" i="1"/>
  <c r="C2308" i="1"/>
  <c r="B2308" i="1"/>
  <c r="A2308" i="1"/>
  <c r="F2307" i="1"/>
  <c r="E2307" i="1"/>
  <c r="D2307" i="1"/>
  <c r="C2307" i="1"/>
  <c r="B2307" i="1"/>
  <c r="A2307" i="1"/>
  <c r="F2306" i="1"/>
  <c r="E2306" i="1"/>
  <c r="D2306" i="1"/>
  <c r="C2306" i="1"/>
  <c r="B2306" i="1"/>
  <c r="A2306" i="1"/>
  <c r="F2305" i="1"/>
  <c r="E2305" i="1"/>
  <c r="D2305" i="1"/>
  <c r="C2305" i="1"/>
  <c r="B2305" i="1"/>
  <c r="A2305" i="1"/>
  <c r="F2304" i="1"/>
  <c r="E2304" i="1"/>
  <c r="D2304" i="1"/>
  <c r="C2304" i="1"/>
  <c r="B2304" i="1"/>
  <c r="A2304" i="1"/>
  <c r="F2303" i="1"/>
  <c r="E2303" i="1"/>
  <c r="D2303" i="1"/>
  <c r="C2303" i="1"/>
  <c r="B2303" i="1"/>
  <c r="A2303" i="1"/>
  <c r="F2302" i="1"/>
  <c r="E2302" i="1"/>
  <c r="D2302" i="1"/>
  <c r="C2302" i="1"/>
  <c r="B2302" i="1"/>
  <c r="A2302" i="1"/>
  <c r="F2301" i="1"/>
  <c r="E2301" i="1"/>
  <c r="D2301" i="1"/>
  <c r="C2301" i="1"/>
  <c r="B2301" i="1"/>
  <c r="A2301" i="1"/>
  <c r="F2300" i="1"/>
  <c r="E2300" i="1"/>
  <c r="D2300" i="1"/>
  <c r="C2300" i="1"/>
  <c r="B2300" i="1"/>
  <c r="A2300" i="1"/>
  <c r="F2299" i="1"/>
  <c r="E2299" i="1"/>
  <c r="D2299" i="1"/>
  <c r="C2299" i="1"/>
  <c r="B2299" i="1"/>
  <c r="A2299" i="1"/>
  <c r="F2298" i="1"/>
  <c r="E2298" i="1"/>
  <c r="D2298" i="1"/>
  <c r="C2298" i="1"/>
  <c r="B2298" i="1"/>
  <c r="A2298" i="1"/>
  <c r="F2297" i="1"/>
  <c r="E2297" i="1"/>
  <c r="D2297" i="1"/>
  <c r="C2297" i="1"/>
  <c r="B2297" i="1"/>
  <c r="A2297" i="1"/>
  <c r="F2296" i="1"/>
  <c r="E2296" i="1"/>
  <c r="D2296" i="1"/>
  <c r="C2296" i="1"/>
  <c r="B2296" i="1"/>
  <c r="A2296" i="1"/>
  <c r="F2295" i="1"/>
  <c r="E2295" i="1"/>
  <c r="D2295" i="1"/>
  <c r="C2295" i="1"/>
  <c r="B2295" i="1"/>
  <c r="A2295" i="1"/>
  <c r="F2294" i="1"/>
  <c r="E2294" i="1"/>
  <c r="D2294" i="1"/>
  <c r="C2294" i="1"/>
  <c r="B2294" i="1"/>
  <c r="A2294" i="1"/>
  <c r="F2293" i="1"/>
  <c r="E2293" i="1"/>
  <c r="D2293" i="1"/>
  <c r="C2293" i="1"/>
  <c r="B2293" i="1"/>
  <c r="A2293" i="1"/>
  <c r="F2292" i="1"/>
  <c r="E2292" i="1"/>
  <c r="D2292" i="1"/>
  <c r="C2292" i="1"/>
  <c r="B2292" i="1"/>
  <c r="A2292" i="1"/>
  <c r="F2291" i="1"/>
  <c r="E2291" i="1"/>
  <c r="D2291" i="1"/>
  <c r="C2291" i="1"/>
  <c r="B2291" i="1"/>
  <c r="A2291" i="1"/>
  <c r="F2290" i="1"/>
  <c r="E2290" i="1"/>
  <c r="D2290" i="1"/>
  <c r="C2290" i="1"/>
  <c r="B2290" i="1"/>
  <c r="A2290" i="1"/>
  <c r="F2289" i="1"/>
  <c r="E2289" i="1"/>
  <c r="D2289" i="1"/>
  <c r="C2289" i="1"/>
  <c r="B2289" i="1"/>
  <c r="A2289" i="1"/>
  <c r="F2288" i="1"/>
  <c r="E2288" i="1"/>
  <c r="D2288" i="1"/>
  <c r="C2288" i="1"/>
  <c r="B2288" i="1"/>
  <c r="A2288" i="1"/>
  <c r="F2287" i="1"/>
  <c r="E2287" i="1"/>
  <c r="D2287" i="1"/>
  <c r="C2287" i="1"/>
  <c r="B2287" i="1"/>
  <c r="A2287" i="1"/>
  <c r="F2286" i="1"/>
  <c r="E2286" i="1"/>
  <c r="D2286" i="1"/>
  <c r="C2286" i="1"/>
  <c r="B2286" i="1"/>
  <c r="A2286" i="1"/>
  <c r="F2285" i="1"/>
  <c r="E2285" i="1"/>
  <c r="D2285" i="1"/>
  <c r="C2285" i="1"/>
  <c r="B2285" i="1"/>
  <c r="A2285" i="1"/>
  <c r="F2284" i="1"/>
  <c r="E2284" i="1"/>
  <c r="D2284" i="1"/>
  <c r="C2284" i="1"/>
  <c r="B2284" i="1"/>
  <c r="A2284" i="1"/>
  <c r="F2283" i="1"/>
  <c r="E2283" i="1"/>
  <c r="D2283" i="1"/>
  <c r="C2283" i="1"/>
  <c r="B2283" i="1"/>
  <c r="A2283" i="1"/>
  <c r="F2282" i="1"/>
  <c r="E2282" i="1"/>
  <c r="D2282" i="1"/>
  <c r="C2282" i="1"/>
  <c r="B2282" i="1"/>
  <c r="A2282" i="1"/>
  <c r="F2281" i="1"/>
  <c r="E2281" i="1"/>
  <c r="D2281" i="1"/>
  <c r="C2281" i="1"/>
  <c r="B2281" i="1"/>
  <c r="A2281" i="1"/>
  <c r="F2280" i="1"/>
  <c r="E2280" i="1"/>
  <c r="D2280" i="1"/>
  <c r="C2280" i="1"/>
  <c r="B2280" i="1"/>
  <c r="A2280" i="1"/>
  <c r="F2279" i="1"/>
  <c r="E2279" i="1"/>
  <c r="D2279" i="1"/>
  <c r="C2279" i="1"/>
  <c r="B2279" i="1"/>
  <c r="A2279" i="1"/>
  <c r="F2278" i="1"/>
  <c r="E2278" i="1"/>
  <c r="D2278" i="1"/>
  <c r="C2278" i="1"/>
  <c r="B2278" i="1"/>
  <c r="A2278" i="1"/>
  <c r="F2277" i="1"/>
  <c r="E2277" i="1"/>
  <c r="D2277" i="1"/>
  <c r="C2277" i="1"/>
  <c r="B2277" i="1"/>
  <c r="A2277" i="1"/>
  <c r="F2276" i="1"/>
  <c r="E2276" i="1"/>
  <c r="D2276" i="1"/>
  <c r="C2276" i="1"/>
  <c r="B2276" i="1"/>
  <c r="A2276" i="1"/>
  <c r="F2275" i="1"/>
  <c r="E2275" i="1"/>
  <c r="D2275" i="1"/>
  <c r="C2275" i="1"/>
  <c r="B2275" i="1"/>
  <c r="A2275" i="1"/>
  <c r="F2274" i="1"/>
  <c r="E2274" i="1"/>
  <c r="D2274" i="1"/>
  <c r="C2274" i="1"/>
  <c r="B2274" i="1"/>
  <c r="A2274" i="1"/>
  <c r="F2273" i="1"/>
  <c r="E2273" i="1"/>
  <c r="D2273" i="1"/>
  <c r="C2273" i="1"/>
  <c r="B2273" i="1"/>
  <c r="A2273" i="1"/>
  <c r="F2272" i="1"/>
  <c r="E2272" i="1"/>
  <c r="D2272" i="1"/>
  <c r="C2272" i="1"/>
  <c r="B2272" i="1"/>
  <c r="A2272" i="1"/>
  <c r="F2271" i="1"/>
  <c r="E2271" i="1"/>
  <c r="D2271" i="1"/>
  <c r="C2271" i="1"/>
  <c r="B2271" i="1"/>
  <c r="A2271" i="1"/>
  <c r="F2270" i="1"/>
  <c r="E2270" i="1"/>
  <c r="D2270" i="1"/>
  <c r="C2270" i="1"/>
  <c r="B2270" i="1"/>
  <c r="A2270" i="1"/>
  <c r="F2269" i="1"/>
  <c r="E2269" i="1"/>
  <c r="D2269" i="1"/>
  <c r="C2269" i="1"/>
  <c r="B2269" i="1"/>
  <c r="A2269" i="1"/>
  <c r="F2268" i="1"/>
  <c r="E2268" i="1"/>
  <c r="D2268" i="1"/>
  <c r="C2268" i="1"/>
  <c r="B2268" i="1"/>
  <c r="A2268" i="1"/>
  <c r="F2267" i="1"/>
  <c r="E2267" i="1"/>
  <c r="D2267" i="1"/>
  <c r="C2267" i="1"/>
  <c r="B2267" i="1"/>
  <c r="A2267" i="1"/>
  <c r="F2266" i="1"/>
  <c r="E2266" i="1"/>
  <c r="D2266" i="1"/>
  <c r="C2266" i="1"/>
  <c r="B2266" i="1"/>
  <c r="A2266" i="1"/>
  <c r="F2265" i="1"/>
  <c r="E2265" i="1"/>
  <c r="D2265" i="1"/>
  <c r="C2265" i="1"/>
  <c r="B2265" i="1"/>
  <c r="A2265" i="1"/>
  <c r="F2264" i="1"/>
  <c r="E2264" i="1"/>
  <c r="D2264" i="1"/>
  <c r="C2264" i="1"/>
  <c r="B2264" i="1"/>
  <c r="A2264" i="1"/>
  <c r="F2263" i="1"/>
  <c r="E2263" i="1"/>
  <c r="D2263" i="1"/>
  <c r="C2263" i="1"/>
  <c r="B2263" i="1"/>
  <c r="A2263" i="1"/>
  <c r="F2262" i="1"/>
  <c r="E2262" i="1"/>
  <c r="D2262" i="1"/>
  <c r="C2262" i="1"/>
  <c r="B2262" i="1"/>
  <c r="A2262" i="1"/>
  <c r="F2261" i="1"/>
  <c r="E2261" i="1"/>
  <c r="D2261" i="1"/>
  <c r="C2261" i="1"/>
  <c r="B2261" i="1"/>
  <c r="A2261" i="1"/>
  <c r="F2260" i="1"/>
  <c r="E2260" i="1"/>
  <c r="D2260" i="1"/>
  <c r="C2260" i="1"/>
  <c r="B2260" i="1"/>
  <c r="A2260" i="1"/>
  <c r="F2259" i="1"/>
  <c r="E2259" i="1"/>
  <c r="D2259" i="1"/>
  <c r="C2259" i="1"/>
  <c r="B2259" i="1"/>
  <c r="A2259" i="1"/>
  <c r="F2258" i="1"/>
  <c r="E2258" i="1"/>
  <c r="D2258" i="1"/>
  <c r="C2258" i="1"/>
  <c r="B2258" i="1"/>
  <c r="A2258" i="1"/>
  <c r="F2257" i="1"/>
  <c r="E2257" i="1"/>
  <c r="D2257" i="1"/>
  <c r="C2257" i="1"/>
  <c r="B2257" i="1"/>
  <c r="A2257" i="1"/>
  <c r="F2256" i="1"/>
  <c r="E2256" i="1"/>
  <c r="D2256" i="1"/>
  <c r="C2256" i="1"/>
  <c r="B2256" i="1"/>
  <c r="A2256" i="1"/>
  <c r="F2255" i="1"/>
  <c r="E2255" i="1"/>
  <c r="D2255" i="1"/>
  <c r="C2255" i="1"/>
  <c r="B2255" i="1"/>
  <c r="A2255" i="1"/>
  <c r="F2254" i="1"/>
  <c r="E2254" i="1"/>
  <c r="D2254" i="1"/>
  <c r="C2254" i="1"/>
  <c r="B2254" i="1"/>
  <c r="A2254" i="1"/>
  <c r="F2253" i="1"/>
  <c r="E2253" i="1"/>
  <c r="D2253" i="1"/>
  <c r="C2253" i="1"/>
  <c r="B2253" i="1"/>
  <c r="A2253" i="1"/>
  <c r="F2252" i="1"/>
  <c r="E2252" i="1"/>
  <c r="D2252" i="1"/>
  <c r="C2252" i="1"/>
  <c r="B2252" i="1"/>
  <c r="A2252" i="1"/>
  <c r="F2251" i="1"/>
  <c r="E2251" i="1"/>
  <c r="D2251" i="1"/>
  <c r="C2251" i="1"/>
  <c r="B2251" i="1"/>
  <c r="A2251" i="1"/>
  <c r="F2250" i="1"/>
  <c r="E2250" i="1"/>
  <c r="D2250" i="1"/>
  <c r="C2250" i="1"/>
  <c r="B2250" i="1"/>
  <c r="A2250" i="1"/>
  <c r="F2249" i="1"/>
  <c r="E2249" i="1"/>
  <c r="D2249" i="1"/>
  <c r="C2249" i="1"/>
  <c r="B2249" i="1"/>
  <c r="A2249" i="1"/>
  <c r="F2248" i="1"/>
  <c r="E2248" i="1"/>
  <c r="D2248" i="1"/>
  <c r="C2248" i="1"/>
  <c r="B2248" i="1"/>
  <c r="A2248" i="1"/>
  <c r="F2247" i="1"/>
  <c r="E2247" i="1"/>
  <c r="D2247" i="1"/>
  <c r="C2247" i="1"/>
  <c r="B2247" i="1"/>
  <c r="A2247" i="1"/>
  <c r="F2246" i="1"/>
  <c r="E2246" i="1"/>
  <c r="D2246" i="1"/>
  <c r="C2246" i="1"/>
  <c r="B2246" i="1"/>
  <c r="A2246" i="1"/>
  <c r="F2245" i="1"/>
  <c r="E2245" i="1"/>
  <c r="D2245" i="1"/>
  <c r="C2245" i="1"/>
  <c r="B2245" i="1"/>
  <c r="A2245" i="1"/>
  <c r="F2244" i="1"/>
  <c r="E2244" i="1"/>
  <c r="D2244" i="1"/>
  <c r="C2244" i="1"/>
  <c r="B2244" i="1"/>
  <c r="A2244" i="1"/>
  <c r="F2243" i="1"/>
  <c r="E2243" i="1"/>
  <c r="D2243" i="1"/>
  <c r="C2243" i="1"/>
  <c r="B2243" i="1"/>
  <c r="A2243" i="1"/>
  <c r="F2242" i="1"/>
  <c r="E2242" i="1"/>
  <c r="D2242" i="1"/>
  <c r="C2242" i="1"/>
  <c r="B2242" i="1"/>
  <c r="A2242" i="1"/>
  <c r="F2241" i="1"/>
  <c r="E2241" i="1"/>
  <c r="D2241" i="1"/>
  <c r="C2241" i="1"/>
  <c r="B2241" i="1"/>
  <c r="A2241" i="1"/>
  <c r="F2240" i="1"/>
  <c r="E2240" i="1"/>
  <c r="D2240" i="1"/>
  <c r="C2240" i="1"/>
  <c r="B2240" i="1"/>
  <c r="A2240" i="1"/>
  <c r="F2239" i="1"/>
  <c r="E2239" i="1"/>
  <c r="D2239" i="1"/>
  <c r="C2239" i="1"/>
  <c r="B2239" i="1"/>
  <c r="A2239" i="1"/>
  <c r="F2238" i="1"/>
  <c r="E2238" i="1"/>
  <c r="D2238" i="1"/>
  <c r="C2238" i="1"/>
  <c r="B2238" i="1"/>
  <c r="A2238" i="1"/>
  <c r="F2237" i="1"/>
  <c r="E2237" i="1"/>
  <c r="D2237" i="1"/>
  <c r="C2237" i="1"/>
  <c r="B2237" i="1"/>
  <c r="A2237" i="1"/>
  <c r="F2236" i="1"/>
  <c r="E2236" i="1"/>
  <c r="D2236" i="1"/>
  <c r="C2236" i="1"/>
  <c r="B2236" i="1"/>
  <c r="A2236" i="1"/>
  <c r="F2235" i="1"/>
  <c r="E2235" i="1"/>
  <c r="D2235" i="1"/>
  <c r="C2235" i="1"/>
  <c r="B2235" i="1"/>
  <c r="A2235" i="1"/>
  <c r="F2234" i="1"/>
  <c r="E2234" i="1"/>
  <c r="D2234" i="1"/>
  <c r="C2234" i="1"/>
  <c r="B2234" i="1"/>
  <c r="A2234" i="1"/>
  <c r="F2233" i="1"/>
  <c r="E2233" i="1"/>
  <c r="D2233" i="1"/>
  <c r="C2233" i="1"/>
  <c r="B2233" i="1"/>
  <c r="A2233" i="1"/>
  <c r="F2232" i="1"/>
  <c r="E2232" i="1"/>
  <c r="D2232" i="1"/>
  <c r="C2232" i="1"/>
  <c r="B2232" i="1"/>
  <c r="A2232" i="1"/>
  <c r="F2231" i="1"/>
  <c r="E2231" i="1"/>
  <c r="D2231" i="1"/>
  <c r="C2231" i="1"/>
  <c r="B2231" i="1"/>
  <c r="A2231" i="1"/>
  <c r="F2230" i="1"/>
  <c r="E2230" i="1"/>
  <c r="D2230" i="1"/>
  <c r="C2230" i="1"/>
  <c r="B2230" i="1"/>
  <c r="A2230" i="1"/>
  <c r="F2229" i="1"/>
  <c r="E2229" i="1"/>
  <c r="D2229" i="1"/>
  <c r="C2229" i="1"/>
  <c r="B2229" i="1"/>
  <c r="A2229" i="1"/>
  <c r="F2228" i="1"/>
  <c r="E2228" i="1"/>
  <c r="D2228" i="1"/>
  <c r="C2228" i="1"/>
  <c r="B2228" i="1"/>
  <c r="A2228" i="1"/>
  <c r="F2227" i="1"/>
  <c r="E2227" i="1"/>
  <c r="D2227" i="1"/>
  <c r="C2227" i="1"/>
  <c r="B2227" i="1"/>
  <c r="A2227" i="1"/>
  <c r="F2226" i="1"/>
  <c r="E2226" i="1"/>
  <c r="D2226" i="1"/>
  <c r="C2226" i="1"/>
  <c r="B2226" i="1"/>
  <c r="A2226" i="1"/>
  <c r="F2225" i="1"/>
  <c r="E2225" i="1"/>
  <c r="D2225" i="1"/>
  <c r="C2225" i="1"/>
  <c r="B2225" i="1"/>
  <c r="A2225" i="1"/>
  <c r="F2224" i="1"/>
  <c r="E2224" i="1"/>
  <c r="D2224" i="1"/>
  <c r="C2224" i="1"/>
  <c r="B2224" i="1"/>
  <c r="A2224" i="1"/>
  <c r="F2223" i="1"/>
  <c r="E2223" i="1"/>
  <c r="D2223" i="1"/>
  <c r="C2223" i="1"/>
  <c r="B2223" i="1"/>
  <c r="A2223" i="1"/>
  <c r="F2222" i="1"/>
  <c r="E2222" i="1"/>
  <c r="D2222" i="1"/>
  <c r="C2222" i="1"/>
  <c r="B2222" i="1"/>
  <c r="A2222" i="1"/>
  <c r="F2221" i="1"/>
  <c r="E2221" i="1"/>
  <c r="D2221" i="1"/>
  <c r="C2221" i="1"/>
  <c r="B2221" i="1"/>
  <c r="A2221" i="1"/>
  <c r="F2220" i="1"/>
  <c r="E2220" i="1"/>
  <c r="D2220" i="1"/>
  <c r="C2220" i="1"/>
  <c r="B2220" i="1"/>
  <c r="A2220" i="1"/>
  <c r="F2219" i="1"/>
  <c r="E2219" i="1"/>
  <c r="D2219" i="1"/>
  <c r="C2219" i="1"/>
  <c r="B2219" i="1"/>
  <c r="A2219" i="1"/>
  <c r="F2218" i="1"/>
  <c r="E2218" i="1"/>
  <c r="D2218" i="1"/>
  <c r="C2218" i="1"/>
  <c r="B2218" i="1"/>
  <c r="A2218" i="1"/>
  <c r="F2217" i="1"/>
  <c r="E2217" i="1"/>
  <c r="D2217" i="1"/>
  <c r="C2217" i="1"/>
  <c r="B2217" i="1"/>
  <c r="A2217" i="1"/>
  <c r="F2216" i="1"/>
  <c r="E2216" i="1"/>
  <c r="D2216" i="1"/>
  <c r="C2216" i="1"/>
  <c r="B2216" i="1"/>
  <c r="A2216" i="1"/>
  <c r="F2215" i="1"/>
  <c r="E2215" i="1"/>
  <c r="D2215" i="1"/>
  <c r="C2215" i="1"/>
  <c r="B2215" i="1"/>
  <c r="A2215" i="1"/>
  <c r="F2214" i="1"/>
  <c r="E2214" i="1"/>
  <c r="D2214" i="1"/>
  <c r="C2214" i="1"/>
  <c r="B2214" i="1"/>
  <c r="A2214" i="1"/>
  <c r="F2213" i="1"/>
  <c r="E2213" i="1"/>
  <c r="D2213" i="1"/>
  <c r="C2213" i="1"/>
  <c r="B2213" i="1"/>
  <c r="A2213" i="1"/>
  <c r="F2212" i="1"/>
  <c r="E2212" i="1"/>
  <c r="D2212" i="1"/>
  <c r="C2212" i="1"/>
  <c r="B2212" i="1"/>
  <c r="A2212" i="1"/>
  <c r="F2211" i="1"/>
  <c r="E2211" i="1"/>
  <c r="D2211" i="1"/>
  <c r="C2211" i="1"/>
  <c r="B2211" i="1"/>
  <c r="A2211" i="1"/>
  <c r="F2210" i="1"/>
  <c r="E2210" i="1"/>
  <c r="D2210" i="1"/>
  <c r="C2210" i="1"/>
  <c r="B2210" i="1"/>
  <c r="A2210" i="1"/>
  <c r="F2209" i="1"/>
  <c r="E2209" i="1"/>
  <c r="D2209" i="1"/>
  <c r="C2209" i="1"/>
  <c r="B2209" i="1"/>
  <c r="A2209" i="1"/>
  <c r="F2208" i="1"/>
  <c r="E2208" i="1"/>
  <c r="D2208" i="1"/>
  <c r="C2208" i="1"/>
  <c r="B2208" i="1"/>
  <c r="A2208" i="1"/>
  <c r="F2207" i="1"/>
  <c r="E2207" i="1"/>
  <c r="D2207" i="1"/>
  <c r="C2207" i="1"/>
  <c r="B2207" i="1"/>
  <c r="A2207" i="1"/>
  <c r="F2206" i="1"/>
  <c r="E2206" i="1"/>
  <c r="D2206" i="1"/>
  <c r="C2206" i="1"/>
  <c r="B2206" i="1"/>
  <c r="A2206" i="1"/>
  <c r="F2205" i="1"/>
  <c r="E2205" i="1"/>
  <c r="D2205" i="1"/>
  <c r="C2205" i="1"/>
  <c r="B2205" i="1"/>
  <c r="A2205" i="1"/>
  <c r="F2204" i="1"/>
  <c r="E2204" i="1"/>
  <c r="D2204" i="1"/>
  <c r="C2204" i="1"/>
  <c r="B2204" i="1"/>
  <c r="A2204" i="1"/>
  <c r="F2203" i="1"/>
  <c r="E2203" i="1"/>
  <c r="D2203" i="1"/>
  <c r="C2203" i="1"/>
  <c r="B2203" i="1"/>
  <c r="A2203" i="1"/>
  <c r="F2202" i="1"/>
  <c r="E2202" i="1"/>
  <c r="D2202" i="1"/>
  <c r="C2202" i="1"/>
  <c r="B2202" i="1"/>
  <c r="A2202" i="1"/>
  <c r="F2201" i="1"/>
  <c r="E2201" i="1"/>
  <c r="D2201" i="1"/>
  <c r="C2201" i="1"/>
  <c r="B2201" i="1"/>
  <c r="A2201" i="1"/>
  <c r="F2200" i="1"/>
  <c r="E2200" i="1"/>
  <c r="D2200" i="1"/>
  <c r="C2200" i="1"/>
  <c r="B2200" i="1"/>
  <c r="A2200" i="1"/>
  <c r="F2199" i="1"/>
  <c r="E2199" i="1"/>
  <c r="D2199" i="1"/>
  <c r="C2199" i="1"/>
  <c r="B2199" i="1"/>
  <c r="A2199" i="1"/>
  <c r="F2198" i="1"/>
  <c r="E2198" i="1"/>
  <c r="D2198" i="1"/>
  <c r="C2198" i="1"/>
  <c r="B2198" i="1"/>
  <c r="A2198" i="1"/>
  <c r="F2197" i="1"/>
  <c r="E2197" i="1"/>
  <c r="D2197" i="1"/>
  <c r="C2197" i="1"/>
  <c r="B2197" i="1"/>
  <c r="A2197" i="1"/>
  <c r="F2196" i="1"/>
  <c r="E2196" i="1"/>
  <c r="D2196" i="1"/>
  <c r="C2196" i="1"/>
  <c r="B2196" i="1"/>
  <c r="A2196" i="1"/>
  <c r="F2195" i="1"/>
  <c r="E2195" i="1"/>
  <c r="D2195" i="1"/>
  <c r="C2195" i="1"/>
  <c r="B2195" i="1"/>
  <c r="A2195" i="1"/>
  <c r="F2194" i="1"/>
  <c r="E2194" i="1"/>
  <c r="D2194" i="1"/>
  <c r="C2194" i="1"/>
  <c r="B2194" i="1"/>
  <c r="A2194" i="1"/>
  <c r="F2193" i="1"/>
  <c r="E2193" i="1"/>
  <c r="D2193" i="1"/>
  <c r="C2193" i="1"/>
  <c r="B2193" i="1"/>
  <c r="A2193" i="1"/>
  <c r="F2192" i="1"/>
  <c r="E2192" i="1"/>
  <c r="D2192" i="1"/>
  <c r="C2192" i="1"/>
  <c r="B2192" i="1"/>
  <c r="A2192" i="1"/>
  <c r="F2191" i="1"/>
  <c r="E2191" i="1"/>
  <c r="D2191" i="1"/>
  <c r="C2191" i="1"/>
  <c r="B2191" i="1"/>
  <c r="A2191" i="1"/>
  <c r="F2190" i="1"/>
  <c r="E2190" i="1"/>
  <c r="D2190" i="1"/>
  <c r="C2190" i="1"/>
  <c r="B2190" i="1"/>
  <c r="A2190" i="1"/>
  <c r="F2189" i="1"/>
  <c r="E2189" i="1"/>
  <c r="D2189" i="1"/>
  <c r="C2189" i="1"/>
  <c r="B2189" i="1"/>
  <c r="A2189" i="1"/>
  <c r="F2188" i="1"/>
  <c r="E2188" i="1"/>
  <c r="D2188" i="1"/>
  <c r="C2188" i="1"/>
  <c r="B2188" i="1"/>
  <c r="A2188" i="1"/>
  <c r="F2187" i="1"/>
  <c r="E2187" i="1"/>
  <c r="D2187" i="1"/>
  <c r="C2187" i="1"/>
  <c r="B2187" i="1"/>
  <c r="A2187" i="1"/>
  <c r="F2186" i="1"/>
  <c r="E2186" i="1"/>
  <c r="D2186" i="1"/>
  <c r="C2186" i="1"/>
  <c r="B2186" i="1"/>
  <c r="A2186" i="1"/>
  <c r="F2185" i="1"/>
  <c r="E2185" i="1"/>
  <c r="D2185" i="1"/>
  <c r="C2185" i="1"/>
  <c r="B2185" i="1"/>
  <c r="A2185" i="1"/>
  <c r="F2184" i="1"/>
  <c r="E2184" i="1"/>
  <c r="D2184" i="1"/>
  <c r="C2184" i="1"/>
  <c r="B2184" i="1"/>
  <c r="A2184" i="1"/>
  <c r="F2183" i="1"/>
  <c r="E2183" i="1"/>
  <c r="D2183" i="1"/>
  <c r="C2183" i="1"/>
  <c r="B2183" i="1"/>
  <c r="A2183" i="1"/>
  <c r="F2182" i="1"/>
  <c r="E2182" i="1"/>
  <c r="D2182" i="1"/>
  <c r="C2182" i="1"/>
  <c r="B2182" i="1"/>
  <c r="A2182" i="1"/>
  <c r="F2181" i="1"/>
  <c r="E2181" i="1"/>
  <c r="D2181" i="1"/>
  <c r="C2181" i="1"/>
  <c r="B2181" i="1"/>
  <c r="A2181" i="1"/>
  <c r="F2180" i="1"/>
  <c r="E2180" i="1"/>
  <c r="D2180" i="1"/>
  <c r="C2180" i="1"/>
  <c r="B2180" i="1"/>
  <c r="A2180" i="1"/>
  <c r="F2179" i="1"/>
  <c r="E2179" i="1"/>
  <c r="D2179" i="1"/>
  <c r="C2179" i="1"/>
  <c r="B2179" i="1"/>
  <c r="A2179" i="1"/>
  <c r="F2178" i="1"/>
  <c r="E2178" i="1"/>
  <c r="D2178" i="1"/>
  <c r="C2178" i="1"/>
  <c r="B2178" i="1"/>
  <c r="A2178" i="1"/>
  <c r="F2177" i="1"/>
  <c r="E2177" i="1"/>
  <c r="D2177" i="1"/>
  <c r="C2177" i="1"/>
  <c r="B2177" i="1"/>
  <c r="A2177" i="1"/>
  <c r="F2176" i="1"/>
  <c r="E2176" i="1"/>
  <c r="D2176" i="1"/>
  <c r="C2176" i="1"/>
  <c r="B2176" i="1"/>
  <c r="A2176" i="1"/>
  <c r="F2175" i="1"/>
  <c r="E2175" i="1"/>
  <c r="D2175" i="1"/>
  <c r="C2175" i="1"/>
  <c r="B2175" i="1"/>
  <c r="A2175" i="1"/>
  <c r="F2174" i="1"/>
  <c r="E2174" i="1"/>
  <c r="D2174" i="1"/>
  <c r="C2174" i="1"/>
  <c r="B2174" i="1"/>
  <c r="A2174" i="1"/>
  <c r="F2173" i="1"/>
  <c r="E2173" i="1"/>
  <c r="D2173" i="1"/>
  <c r="C2173" i="1"/>
  <c r="B2173" i="1"/>
  <c r="A2173" i="1"/>
  <c r="F2172" i="1"/>
  <c r="E2172" i="1"/>
  <c r="D2172" i="1"/>
  <c r="C2172" i="1"/>
  <c r="B2172" i="1"/>
  <c r="A2172" i="1"/>
  <c r="F2171" i="1"/>
  <c r="E2171" i="1"/>
  <c r="D2171" i="1"/>
  <c r="C2171" i="1"/>
  <c r="B2171" i="1"/>
  <c r="A2171" i="1"/>
  <c r="F2170" i="1"/>
  <c r="E2170" i="1"/>
  <c r="D2170" i="1"/>
  <c r="C2170" i="1"/>
  <c r="B2170" i="1"/>
  <c r="A2170" i="1"/>
  <c r="F2169" i="1"/>
  <c r="E2169" i="1"/>
  <c r="D2169" i="1"/>
  <c r="C2169" i="1"/>
  <c r="B2169" i="1"/>
  <c r="A2169" i="1"/>
  <c r="F2168" i="1"/>
  <c r="E2168" i="1"/>
  <c r="D2168" i="1"/>
  <c r="C2168" i="1"/>
  <c r="B2168" i="1"/>
  <c r="A2168" i="1"/>
  <c r="F2167" i="1"/>
  <c r="E2167" i="1"/>
  <c r="D2167" i="1"/>
  <c r="C2167" i="1"/>
  <c r="B2167" i="1"/>
  <c r="A2167" i="1"/>
  <c r="F2166" i="1"/>
  <c r="E2166" i="1"/>
  <c r="D2166" i="1"/>
  <c r="C2166" i="1"/>
  <c r="B2166" i="1"/>
  <c r="A2166" i="1"/>
  <c r="F2165" i="1"/>
  <c r="E2165" i="1"/>
  <c r="D2165" i="1"/>
  <c r="C2165" i="1"/>
  <c r="B2165" i="1"/>
  <c r="A2165" i="1"/>
  <c r="F2164" i="1"/>
  <c r="E2164" i="1"/>
  <c r="D2164" i="1"/>
  <c r="C2164" i="1"/>
  <c r="B2164" i="1"/>
  <c r="A2164" i="1"/>
  <c r="F2163" i="1"/>
  <c r="E2163" i="1"/>
  <c r="D2163" i="1"/>
  <c r="C2163" i="1"/>
  <c r="B2163" i="1"/>
  <c r="A2163" i="1"/>
  <c r="F2162" i="1"/>
  <c r="E2162" i="1"/>
  <c r="D2162" i="1"/>
  <c r="C2162" i="1"/>
  <c r="B2162" i="1"/>
  <c r="A2162" i="1"/>
  <c r="F2161" i="1"/>
  <c r="E2161" i="1"/>
  <c r="D2161" i="1"/>
  <c r="C2161" i="1"/>
  <c r="B2161" i="1"/>
  <c r="A2161" i="1"/>
  <c r="F2160" i="1"/>
  <c r="E2160" i="1"/>
  <c r="D2160" i="1"/>
  <c r="C2160" i="1"/>
  <c r="B2160" i="1"/>
  <c r="A2160" i="1"/>
  <c r="F2159" i="1"/>
  <c r="E2159" i="1"/>
  <c r="D2159" i="1"/>
  <c r="C2159" i="1"/>
  <c r="B2159" i="1"/>
  <c r="A2159" i="1"/>
  <c r="F2158" i="1"/>
  <c r="E2158" i="1"/>
  <c r="D2158" i="1"/>
  <c r="C2158" i="1"/>
  <c r="B2158" i="1"/>
  <c r="A2158" i="1"/>
  <c r="F2157" i="1"/>
  <c r="E2157" i="1"/>
  <c r="D2157" i="1"/>
  <c r="C2157" i="1"/>
  <c r="B2157" i="1"/>
  <c r="A2157" i="1"/>
  <c r="F2156" i="1"/>
  <c r="E2156" i="1"/>
  <c r="D2156" i="1"/>
  <c r="C2156" i="1"/>
  <c r="B2156" i="1"/>
  <c r="A2156" i="1"/>
  <c r="F2155" i="1"/>
  <c r="E2155" i="1"/>
  <c r="D2155" i="1"/>
  <c r="C2155" i="1"/>
  <c r="B2155" i="1"/>
  <c r="A2155" i="1"/>
  <c r="F2154" i="1"/>
  <c r="E2154" i="1"/>
  <c r="D2154" i="1"/>
  <c r="C2154" i="1"/>
  <c r="B2154" i="1"/>
  <c r="A2154" i="1"/>
  <c r="F2153" i="1"/>
  <c r="E2153" i="1"/>
  <c r="D2153" i="1"/>
  <c r="C2153" i="1"/>
  <c r="B2153" i="1"/>
  <c r="A2153" i="1"/>
  <c r="F2152" i="1"/>
  <c r="E2152" i="1"/>
  <c r="D2152" i="1"/>
  <c r="C2152" i="1"/>
  <c r="B2152" i="1"/>
  <c r="A2152" i="1"/>
  <c r="F2151" i="1"/>
  <c r="E2151" i="1"/>
  <c r="D2151" i="1"/>
  <c r="C2151" i="1"/>
  <c r="B2151" i="1"/>
  <c r="A2151" i="1"/>
  <c r="F2150" i="1"/>
  <c r="E2150" i="1"/>
  <c r="D2150" i="1"/>
  <c r="C2150" i="1"/>
  <c r="B2150" i="1"/>
  <c r="A2150" i="1"/>
  <c r="F2149" i="1"/>
  <c r="E2149" i="1"/>
  <c r="D2149" i="1"/>
  <c r="C2149" i="1"/>
  <c r="B2149" i="1"/>
  <c r="A2149" i="1"/>
  <c r="F2148" i="1"/>
  <c r="E2148" i="1"/>
  <c r="D2148" i="1"/>
  <c r="C2148" i="1"/>
  <c r="B2148" i="1"/>
  <c r="A2148" i="1"/>
  <c r="F2147" i="1"/>
  <c r="E2147" i="1"/>
  <c r="D2147" i="1"/>
  <c r="C2147" i="1"/>
  <c r="B2147" i="1"/>
  <c r="A2147" i="1"/>
  <c r="F2146" i="1"/>
  <c r="E2146" i="1"/>
  <c r="D2146" i="1"/>
  <c r="C2146" i="1"/>
  <c r="B2146" i="1"/>
  <c r="A2146" i="1"/>
  <c r="F2145" i="1"/>
  <c r="E2145" i="1"/>
  <c r="D2145" i="1"/>
  <c r="C2145" i="1"/>
  <c r="B2145" i="1"/>
  <c r="A2145" i="1"/>
  <c r="F2144" i="1"/>
  <c r="E2144" i="1"/>
  <c r="D2144" i="1"/>
  <c r="C2144" i="1"/>
  <c r="B2144" i="1"/>
  <c r="A2144" i="1"/>
  <c r="F2143" i="1"/>
  <c r="E2143" i="1"/>
  <c r="D2143" i="1"/>
  <c r="C2143" i="1"/>
  <c r="B2143" i="1"/>
  <c r="A2143" i="1"/>
  <c r="F2142" i="1"/>
  <c r="E2142" i="1"/>
  <c r="D2142" i="1"/>
  <c r="C2142" i="1"/>
  <c r="B2142" i="1"/>
  <c r="A2142" i="1"/>
  <c r="F2141" i="1"/>
  <c r="E2141" i="1"/>
  <c r="D2141" i="1"/>
  <c r="C2141" i="1"/>
  <c r="B2141" i="1"/>
  <c r="A2141" i="1"/>
  <c r="F2140" i="1"/>
  <c r="E2140" i="1"/>
  <c r="D2140" i="1"/>
  <c r="C2140" i="1"/>
  <c r="B2140" i="1"/>
  <c r="A2140" i="1"/>
  <c r="F2139" i="1"/>
  <c r="E2139" i="1"/>
  <c r="D2139" i="1"/>
  <c r="C2139" i="1"/>
  <c r="B2139" i="1"/>
  <c r="A2139" i="1"/>
  <c r="F2138" i="1"/>
  <c r="E2138" i="1"/>
  <c r="D2138" i="1"/>
  <c r="C2138" i="1"/>
  <c r="B2138" i="1"/>
  <c r="A2138" i="1"/>
  <c r="F2137" i="1"/>
  <c r="E2137" i="1"/>
  <c r="D2137" i="1"/>
  <c r="C2137" i="1"/>
  <c r="B2137" i="1"/>
  <c r="A2137" i="1"/>
  <c r="F2136" i="1"/>
  <c r="E2136" i="1"/>
  <c r="D2136" i="1"/>
  <c r="C2136" i="1"/>
  <c r="B2136" i="1"/>
  <c r="A2136" i="1"/>
  <c r="F2135" i="1"/>
  <c r="E2135" i="1"/>
  <c r="D2135" i="1"/>
  <c r="C2135" i="1"/>
  <c r="B2135" i="1"/>
  <c r="A2135" i="1"/>
  <c r="F2134" i="1"/>
  <c r="E2134" i="1"/>
  <c r="D2134" i="1"/>
  <c r="C2134" i="1"/>
  <c r="B2134" i="1"/>
  <c r="A2134" i="1"/>
  <c r="F2133" i="1"/>
  <c r="E2133" i="1"/>
  <c r="D2133" i="1"/>
  <c r="C2133" i="1"/>
  <c r="B2133" i="1"/>
  <c r="A2133" i="1"/>
  <c r="F2132" i="1"/>
  <c r="E2132" i="1"/>
  <c r="D2132" i="1"/>
  <c r="C2132" i="1"/>
  <c r="B2132" i="1"/>
  <c r="A2132" i="1"/>
  <c r="F2131" i="1"/>
  <c r="E2131" i="1"/>
  <c r="D2131" i="1"/>
  <c r="C2131" i="1"/>
  <c r="B2131" i="1"/>
  <c r="A2131" i="1"/>
  <c r="F2130" i="1"/>
  <c r="E2130" i="1"/>
  <c r="D2130" i="1"/>
  <c r="C2130" i="1"/>
  <c r="B2130" i="1"/>
  <c r="A2130" i="1"/>
  <c r="F2129" i="1"/>
  <c r="E2129" i="1"/>
  <c r="D2129" i="1"/>
  <c r="C2129" i="1"/>
  <c r="B2129" i="1"/>
  <c r="A2129" i="1"/>
  <c r="F2128" i="1"/>
  <c r="E2128" i="1"/>
  <c r="D2128" i="1"/>
  <c r="C2128" i="1"/>
  <c r="B2128" i="1"/>
  <c r="A2128" i="1"/>
  <c r="F2127" i="1"/>
  <c r="E2127" i="1"/>
  <c r="D2127" i="1"/>
  <c r="C2127" i="1"/>
  <c r="B2127" i="1"/>
  <c r="A2127" i="1"/>
  <c r="F2126" i="1"/>
  <c r="E2126" i="1"/>
  <c r="D2126" i="1"/>
  <c r="C2126" i="1"/>
  <c r="B2126" i="1"/>
  <c r="A2126" i="1"/>
  <c r="F2125" i="1"/>
  <c r="E2125" i="1"/>
  <c r="D2125" i="1"/>
  <c r="C2125" i="1"/>
  <c r="B2125" i="1"/>
  <c r="A2125" i="1"/>
  <c r="F2124" i="1"/>
  <c r="E2124" i="1"/>
  <c r="D2124" i="1"/>
  <c r="C2124" i="1"/>
  <c r="B2124" i="1"/>
  <c r="A2124" i="1"/>
  <c r="F2123" i="1"/>
  <c r="E2123" i="1"/>
  <c r="D2123" i="1"/>
  <c r="C2123" i="1"/>
  <c r="B2123" i="1"/>
  <c r="A2123" i="1"/>
  <c r="F2122" i="1"/>
  <c r="E2122" i="1"/>
  <c r="D2122" i="1"/>
  <c r="C2122" i="1"/>
  <c r="B2122" i="1"/>
  <c r="A2122" i="1"/>
  <c r="F2121" i="1"/>
  <c r="E2121" i="1"/>
  <c r="D2121" i="1"/>
  <c r="C2121" i="1"/>
  <c r="B2121" i="1"/>
  <c r="A2121" i="1"/>
  <c r="F2120" i="1"/>
  <c r="E2120" i="1"/>
  <c r="D2120" i="1"/>
  <c r="C2120" i="1"/>
  <c r="B2120" i="1"/>
  <c r="A2120" i="1"/>
  <c r="F2119" i="1"/>
  <c r="E2119" i="1"/>
  <c r="D2119" i="1"/>
  <c r="C2119" i="1"/>
  <c r="B2119" i="1"/>
  <c r="A2119" i="1"/>
  <c r="F2118" i="1"/>
  <c r="E2118" i="1"/>
  <c r="D2118" i="1"/>
  <c r="C2118" i="1"/>
  <c r="B2118" i="1"/>
  <c r="A2118" i="1"/>
  <c r="F2117" i="1"/>
  <c r="E2117" i="1"/>
  <c r="D2117" i="1"/>
  <c r="C2117" i="1"/>
  <c r="B2117" i="1"/>
  <c r="A2117" i="1"/>
  <c r="F2116" i="1"/>
  <c r="E2116" i="1"/>
  <c r="D2116" i="1"/>
  <c r="C2116" i="1"/>
  <c r="B2116" i="1"/>
  <c r="A2116" i="1"/>
  <c r="F2115" i="1"/>
  <c r="E2115" i="1"/>
  <c r="D2115" i="1"/>
  <c r="C2115" i="1"/>
  <c r="B2115" i="1"/>
  <c r="A2115" i="1"/>
  <c r="F2114" i="1"/>
  <c r="E2114" i="1"/>
  <c r="D2114" i="1"/>
  <c r="C2114" i="1"/>
  <c r="B2114" i="1"/>
  <c r="A2114" i="1"/>
  <c r="F2113" i="1"/>
  <c r="E2113" i="1"/>
  <c r="D2113" i="1"/>
  <c r="C2113" i="1"/>
  <c r="B2113" i="1"/>
  <c r="A2113" i="1"/>
  <c r="F2112" i="1"/>
  <c r="E2112" i="1"/>
  <c r="D2112" i="1"/>
  <c r="C2112" i="1"/>
  <c r="B2112" i="1"/>
  <c r="A2112" i="1"/>
  <c r="F2111" i="1"/>
  <c r="E2111" i="1"/>
  <c r="D2111" i="1"/>
  <c r="C2111" i="1"/>
  <c r="B2111" i="1"/>
  <c r="A2111" i="1"/>
  <c r="F2110" i="1"/>
  <c r="E2110" i="1"/>
  <c r="D2110" i="1"/>
  <c r="C2110" i="1"/>
  <c r="B2110" i="1"/>
  <c r="A2110" i="1"/>
  <c r="F2109" i="1"/>
  <c r="E2109" i="1"/>
  <c r="D2109" i="1"/>
  <c r="C2109" i="1"/>
  <c r="B2109" i="1"/>
  <c r="A2109" i="1"/>
  <c r="F2108" i="1"/>
  <c r="E2108" i="1"/>
  <c r="D2108" i="1"/>
  <c r="C2108" i="1"/>
  <c r="B2108" i="1"/>
  <c r="A2108" i="1"/>
  <c r="F2107" i="1"/>
  <c r="E2107" i="1"/>
  <c r="D2107" i="1"/>
  <c r="C2107" i="1"/>
  <c r="B2107" i="1"/>
  <c r="A2107" i="1"/>
  <c r="F2106" i="1"/>
  <c r="E2106" i="1"/>
  <c r="D2106" i="1"/>
  <c r="C2106" i="1"/>
  <c r="B2106" i="1"/>
  <c r="A2106" i="1"/>
  <c r="F2105" i="1"/>
  <c r="E2105" i="1"/>
  <c r="D2105" i="1"/>
  <c r="C2105" i="1"/>
  <c r="B2105" i="1"/>
  <c r="A2105" i="1"/>
  <c r="F2104" i="1"/>
  <c r="E2104" i="1"/>
  <c r="D2104" i="1"/>
  <c r="C2104" i="1"/>
  <c r="B2104" i="1"/>
  <c r="A2104" i="1"/>
  <c r="F2103" i="1"/>
  <c r="E2103" i="1"/>
  <c r="D2103" i="1"/>
  <c r="C2103" i="1"/>
  <c r="B2103" i="1"/>
  <c r="A2103" i="1"/>
  <c r="F2102" i="1"/>
  <c r="E2102" i="1"/>
  <c r="D2102" i="1"/>
  <c r="C2102" i="1"/>
  <c r="B2102" i="1"/>
  <c r="A2102" i="1"/>
  <c r="F2101" i="1"/>
  <c r="E2101" i="1"/>
  <c r="D2101" i="1"/>
  <c r="C2101" i="1"/>
  <c r="B2101" i="1"/>
  <c r="A2101" i="1"/>
  <c r="F2100" i="1"/>
  <c r="E2100" i="1"/>
  <c r="D2100" i="1"/>
  <c r="C2100" i="1"/>
  <c r="B2100" i="1"/>
  <c r="A2100" i="1"/>
  <c r="F2099" i="1"/>
  <c r="E2099" i="1"/>
  <c r="D2099" i="1"/>
  <c r="C2099" i="1"/>
  <c r="B2099" i="1"/>
  <c r="A2099" i="1"/>
  <c r="F2098" i="1"/>
  <c r="E2098" i="1"/>
  <c r="D2098" i="1"/>
  <c r="C2098" i="1"/>
  <c r="B2098" i="1"/>
  <c r="A2098" i="1"/>
  <c r="F2097" i="1"/>
  <c r="E2097" i="1"/>
  <c r="D2097" i="1"/>
  <c r="C2097" i="1"/>
  <c r="B2097" i="1"/>
  <c r="A2097" i="1"/>
  <c r="F2096" i="1"/>
  <c r="E2096" i="1"/>
  <c r="D2096" i="1"/>
  <c r="C2096" i="1"/>
  <c r="B2096" i="1"/>
  <c r="A2096" i="1"/>
  <c r="F2095" i="1"/>
  <c r="E2095" i="1"/>
  <c r="D2095" i="1"/>
  <c r="C2095" i="1"/>
  <c r="B2095" i="1"/>
  <c r="A2095" i="1"/>
  <c r="F2094" i="1"/>
  <c r="E2094" i="1"/>
  <c r="D2094" i="1"/>
  <c r="C2094" i="1"/>
  <c r="B2094" i="1"/>
  <c r="A2094" i="1"/>
  <c r="F2093" i="1"/>
  <c r="E2093" i="1"/>
  <c r="D2093" i="1"/>
  <c r="C2093" i="1"/>
  <c r="B2093" i="1"/>
  <c r="A2093" i="1"/>
  <c r="F2092" i="1"/>
  <c r="E2092" i="1"/>
  <c r="D2092" i="1"/>
  <c r="C2092" i="1"/>
  <c r="B2092" i="1"/>
  <c r="A2092" i="1"/>
  <c r="F2091" i="1"/>
  <c r="E2091" i="1"/>
  <c r="D2091" i="1"/>
  <c r="C2091" i="1"/>
  <c r="B2091" i="1"/>
  <c r="A2091" i="1"/>
  <c r="F2090" i="1"/>
  <c r="E2090" i="1"/>
  <c r="D2090" i="1"/>
  <c r="C2090" i="1"/>
  <c r="B2090" i="1"/>
  <c r="A2090" i="1"/>
  <c r="F2089" i="1"/>
  <c r="E2089" i="1"/>
  <c r="D2089" i="1"/>
  <c r="C2089" i="1"/>
  <c r="B2089" i="1"/>
  <c r="A2089" i="1"/>
  <c r="F2088" i="1"/>
  <c r="E2088" i="1"/>
  <c r="D2088" i="1"/>
  <c r="C2088" i="1"/>
  <c r="B2088" i="1"/>
  <c r="A2088" i="1"/>
  <c r="F2087" i="1"/>
  <c r="E2087" i="1"/>
  <c r="D2087" i="1"/>
  <c r="C2087" i="1"/>
  <c r="B2087" i="1"/>
  <c r="A2087" i="1"/>
  <c r="F2086" i="1"/>
  <c r="E2086" i="1"/>
  <c r="D2086" i="1"/>
  <c r="C2086" i="1"/>
  <c r="B2086" i="1"/>
  <c r="A2086" i="1"/>
  <c r="F2085" i="1"/>
  <c r="E2085" i="1"/>
  <c r="D2085" i="1"/>
  <c r="C2085" i="1"/>
  <c r="B2085" i="1"/>
  <c r="A2085" i="1"/>
  <c r="F2084" i="1"/>
  <c r="E2084" i="1"/>
  <c r="D2084" i="1"/>
  <c r="C2084" i="1"/>
  <c r="B2084" i="1"/>
  <c r="A2084" i="1"/>
  <c r="F2083" i="1"/>
  <c r="E2083" i="1"/>
  <c r="D2083" i="1"/>
  <c r="C2083" i="1"/>
  <c r="B2083" i="1"/>
  <c r="A2083" i="1"/>
  <c r="F2082" i="1"/>
  <c r="E2082" i="1"/>
  <c r="D2082" i="1"/>
  <c r="C2082" i="1"/>
  <c r="B2082" i="1"/>
  <c r="A2082" i="1"/>
  <c r="F2081" i="1"/>
  <c r="E2081" i="1"/>
  <c r="D2081" i="1"/>
  <c r="C2081" i="1"/>
  <c r="B2081" i="1"/>
  <c r="A2081" i="1"/>
  <c r="F2080" i="1"/>
  <c r="E2080" i="1"/>
  <c r="D2080" i="1"/>
  <c r="C2080" i="1"/>
  <c r="B2080" i="1"/>
  <c r="A2080" i="1"/>
  <c r="F2079" i="1"/>
  <c r="E2079" i="1"/>
  <c r="D2079" i="1"/>
  <c r="C2079" i="1"/>
  <c r="B2079" i="1"/>
  <c r="A2079" i="1"/>
  <c r="F2078" i="1"/>
  <c r="E2078" i="1"/>
  <c r="D2078" i="1"/>
  <c r="C2078" i="1"/>
  <c r="B2078" i="1"/>
  <c r="A2078" i="1"/>
  <c r="F2077" i="1"/>
  <c r="E2077" i="1"/>
  <c r="D2077" i="1"/>
  <c r="C2077" i="1"/>
  <c r="B2077" i="1"/>
  <c r="A2077" i="1"/>
  <c r="F2076" i="1"/>
  <c r="E2076" i="1"/>
  <c r="D2076" i="1"/>
  <c r="C2076" i="1"/>
  <c r="B2076" i="1"/>
  <c r="A2076" i="1"/>
  <c r="F2075" i="1"/>
  <c r="E2075" i="1"/>
  <c r="D2075" i="1"/>
  <c r="C2075" i="1"/>
  <c r="B2075" i="1"/>
  <c r="A2075" i="1"/>
  <c r="F2074" i="1"/>
  <c r="E2074" i="1"/>
  <c r="D2074" i="1"/>
  <c r="C2074" i="1"/>
  <c r="B2074" i="1"/>
  <c r="A2074" i="1"/>
  <c r="F2073" i="1"/>
  <c r="E2073" i="1"/>
  <c r="D2073" i="1"/>
  <c r="C2073" i="1"/>
  <c r="B2073" i="1"/>
  <c r="A2073" i="1"/>
  <c r="F2072" i="1"/>
  <c r="E2072" i="1"/>
  <c r="D2072" i="1"/>
  <c r="C2072" i="1"/>
  <c r="B2072" i="1"/>
  <c r="A2072" i="1"/>
  <c r="F2071" i="1"/>
  <c r="E2071" i="1"/>
  <c r="D2071" i="1"/>
  <c r="C2071" i="1"/>
  <c r="B2071" i="1"/>
  <c r="A2071" i="1"/>
  <c r="F2070" i="1"/>
  <c r="E2070" i="1"/>
  <c r="D2070" i="1"/>
  <c r="C2070" i="1"/>
  <c r="B2070" i="1"/>
  <c r="A2070" i="1"/>
  <c r="F2069" i="1"/>
  <c r="E2069" i="1"/>
  <c r="D2069" i="1"/>
  <c r="C2069" i="1"/>
  <c r="B2069" i="1"/>
  <c r="A2069" i="1"/>
  <c r="F2068" i="1"/>
  <c r="E2068" i="1"/>
  <c r="D2068" i="1"/>
  <c r="C2068" i="1"/>
  <c r="B2068" i="1"/>
  <c r="A2068" i="1"/>
  <c r="F2067" i="1"/>
  <c r="E2067" i="1"/>
  <c r="D2067" i="1"/>
  <c r="C2067" i="1"/>
  <c r="B2067" i="1"/>
  <c r="A2067" i="1"/>
  <c r="F2066" i="1"/>
  <c r="E2066" i="1"/>
  <c r="D2066" i="1"/>
  <c r="C2066" i="1"/>
  <c r="B2066" i="1"/>
  <c r="A2066" i="1"/>
  <c r="F2065" i="1"/>
  <c r="E2065" i="1"/>
  <c r="D2065" i="1"/>
  <c r="C2065" i="1"/>
  <c r="B2065" i="1"/>
  <c r="A2065" i="1"/>
  <c r="F2064" i="1"/>
  <c r="E2064" i="1"/>
  <c r="D2064" i="1"/>
  <c r="C2064" i="1"/>
  <c r="B2064" i="1"/>
  <c r="A2064" i="1"/>
  <c r="F2063" i="1"/>
  <c r="E2063" i="1"/>
  <c r="D2063" i="1"/>
  <c r="C2063" i="1"/>
  <c r="B2063" i="1"/>
  <c r="A2063" i="1"/>
  <c r="F2062" i="1"/>
  <c r="E2062" i="1"/>
  <c r="D2062" i="1"/>
  <c r="C2062" i="1"/>
  <c r="B2062" i="1"/>
  <c r="A2062" i="1"/>
  <c r="F2061" i="1"/>
  <c r="E2061" i="1"/>
  <c r="D2061" i="1"/>
  <c r="C2061" i="1"/>
  <c r="B2061" i="1"/>
  <c r="A2061" i="1"/>
  <c r="F2060" i="1"/>
  <c r="E2060" i="1"/>
  <c r="D2060" i="1"/>
  <c r="C2060" i="1"/>
  <c r="B2060" i="1"/>
  <c r="A2060" i="1"/>
  <c r="F2059" i="1"/>
  <c r="E2059" i="1"/>
  <c r="D2059" i="1"/>
  <c r="C2059" i="1"/>
  <c r="B2059" i="1"/>
  <c r="A2059" i="1"/>
  <c r="F2058" i="1"/>
  <c r="E2058" i="1"/>
  <c r="D2058" i="1"/>
  <c r="C2058" i="1"/>
  <c r="B2058" i="1"/>
  <c r="A2058" i="1"/>
  <c r="F2057" i="1"/>
  <c r="E2057" i="1"/>
  <c r="D2057" i="1"/>
  <c r="C2057" i="1"/>
  <c r="B2057" i="1"/>
  <c r="A2057" i="1"/>
  <c r="F2056" i="1"/>
  <c r="E2056" i="1"/>
  <c r="D2056" i="1"/>
  <c r="C2056" i="1"/>
  <c r="B2056" i="1"/>
  <c r="A2056" i="1"/>
  <c r="F2055" i="1"/>
  <c r="E2055" i="1"/>
  <c r="D2055" i="1"/>
  <c r="C2055" i="1"/>
  <c r="B2055" i="1"/>
  <c r="A2055" i="1"/>
  <c r="F2054" i="1"/>
  <c r="E2054" i="1"/>
  <c r="D2054" i="1"/>
  <c r="C2054" i="1"/>
  <c r="B2054" i="1"/>
  <c r="A2054" i="1"/>
  <c r="F2053" i="1"/>
  <c r="E2053" i="1"/>
  <c r="D2053" i="1"/>
  <c r="C2053" i="1"/>
  <c r="B2053" i="1"/>
  <c r="A2053" i="1"/>
  <c r="F2052" i="1"/>
  <c r="E2052" i="1"/>
  <c r="D2052" i="1"/>
  <c r="C2052" i="1"/>
  <c r="B2052" i="1"/>
  <c r="A2052" i="1"/>
  <c r="F2051" i="1"/>
  <c r="E2051" i="1"/>
  <c r="D2051" i="1"/>
  <c r="C2051" i="1"/>
  <c r="B2051" i="1"/>
  <c r="A2051" i="1"/>
  <c r="F2050" i="1"/>
  <c r="E2050" i="1"/>
  <c r="D2050" i="1"/>
  <c r="C2050" i="1"/>
  <c r="B2050" i="1"/>
  <c r="A2050" i="1"/>
  <c r="F2049" i="1"/>
  <c r="E2049" i="1"/>
  <c r="D2049" i="1"/>
  <c r="C2049" i="1"/>
  <c r="B2049" i="1"/>
  <c r="A2049" i="1"/>
  <c r="F2048" i="1"/>
  <c r="E2048" i="1"/>
  <c r="D2048" i="1"/>
  <c r="C2048" i="1"/>
  <c r="B2048" i="1"/>
  <c r="A2048" i="1"/>
  <c r="F2047" i="1"/>
  <c r="E2047" i="1"/>
  <c r="D2047" i="1"/>
  <c r="C2047" i="1"/>
  <c r="B2047" i="1"/>
  <c r="A2047" i="1"/>
  <c r="F2046" i="1"/>
  <c r="E2046" i="1"/>
  <c r="D2046" i="1"/>
  <c r="C2046" i="1"/>
  <c r="B2046" i="1"/>
  <c r="A2046" i="1"/>
  <c r="F2045" i="1"/>
  <c r="E2045" i="1"/>
  <c r="D2045" i="1"/>
  <c r="C2045" i="1"/>
  <c r="B2045" i="1"/>
  <c r="A2045" i="1"/>
  <c r="F2044" i="1"/>
  <c r="E2044" i="1"/>
  <c r="D2044" i="1"/>
  <c r="C2044" i="1"/>
  <c r="B2044" i="1"/>
  <c r="A2044" i="1"/>
  <c r="F2043" i="1"/>
  <c r="E2043" i="1"/>
  <c r="D2043" i="1"/>
  <c r="C2043" i="1"/>
  <c r="B2043" i="1"/>
  <c r="A2043" i="1"/>
  <c r="F2042" i="1"/>
  <c r="E2042" i="1"/>
  <c r="D2042" i="1"/>
  <c r="C2042" i="1"/>
  <c r="B2042" i="1"/>
  <c r="A2042" i="1"/>
  <c r="F2041" i="1"/>
  <c r="E2041" i="1"/>
  <c r="D2041" i="1"/>
  <c r="C2041" i="1"/>
  <c r="B2041" i="1"/>
  <c r="A2041" i="1"/>
  <c r="F2040" i="1"/>
  <c r="E2040" i="1"/>
  <c r="D2040" i="1"/>
  <c r="C2040" i="1"/>
  <c r="B2040" i="1"/>
  <c r="A2040" i="1"/>
  <c r="F2039" i="1"/>
  <c r="E2039" i="1"/>
  <c r="D2039" i="1"/>
  <c r="C2039" i="1"/>
  <c r="B2039" i="1"/>
  <c r="A2039" i="1"/>
  <c r="F2038" i="1"/>
  <c r="E2038" i="1"/>
  <c r="D2038" i="1"/>
  <c r="C2038" i="1"/>
  <c r="B2038" i="1"/>
  <c r="A2038" i="1"/>
  <c r="F2037" i="1"/>
  <c r="E2037" i="1"/>
  <c r="D2037" i="1"/>
  <c r="C2037" i="1"/>
  <c r="B2037" i="1"/>
  <c r="A2037" i="1"/>
  <c r="F2036" i="1"/>
  <c r="E2036" i="1"/>
  <c r="D2036" i="1"/>
  <c r="C2036" i="1"/>
  <c r="B2036" i="1"/>
  <c r="A2036" i="1"/>
  <c r="F2035" i="1"/>
  <c r="E2035" i="1"/>
  <c r="D2035" i="1"/>
  <c r="C2035" i="1"/>
  <c r="B2035" i="1"/>
  <c r="A2035" i="1"/>
  <c r="F2034" i="1"/>
  <c r="E2034" i="1"/>
  <c r="D2034" i="1"/>
  <c r="C2034" i="1"/>
  <c r="B2034" i="1"/>
  <c r="A2034" i="1"/>
  <c r="F2033" i="1"/>
  <c r="E2033" i="1"/>
  <c r="D2033" i="1"/>
  <c r="C2033" i="1"/>
  <c r="B2033" i="1"/>
  <c r="A2033" i="1"/>
  <c r="F2032" i="1"/>
  <c r="E2032" i="1"/>
  <c r="D2032" i="1"/>
  <c r="C2032" i="1"/>
  <c r="B2032" i="1"/>
  <c r="A2032" i="1"/>
  <c r="F2031" i="1"/>
  <c r="E2031" i="1"/>
  <c r="D2031" i="1"/>
  <c r="C2031" i="1"/>
  <c r="B2031" i="1"/>
  <c r="A2031" i="1"/>
  <c r="F2030" i="1"/>
  <c r="E2030" i="1"/>
  <c r="D2030" i="1"/>
  <c r="C2030" i="1"/>
  <c r="B2030" i="1"/>
  <c r="A2030" i="1"/>
  <c r="F2029" i="1"/>
  <c r="E2029" i="1"/>
  <c r="D2029" i="1"/>
  <c r="C2029" i="1"/>
  <c r="B2029" i="1"/>
  <c r="A2029" i="1"/>
  <c r="F2028" i="1"/>
  <c r="E2028" i="1"/>
  <c r="D2028" i="1"/>
  <c r="C2028" i="1"/>
  <c r="B2028" i="1"/>
  <c r="A2028" i="1"/>
  <c r="F2027" i="1"/>
  <c r="E2027" i="1"/>
  <c r="D2027" i="1"/>
  <c r="C2027" i="1"/>
  <c r="B2027" i="1"/>
  <c r="A2027" i="1"/>
  <c r="F2026" i="1"/>
  <c r="E2026" i="1"/>
  <c r="D2026" i="1"/>
  <c r="C2026" i="1"/>
  <c r="B2026" i="1"/>
  <c r="A2026" i="1"/>
  <c r="F2025" i="1"/>
  <c r="E2025" i="1"/>
  <c r="D2025" i="1"/>
  <c r="C2025" i="1"/>
  <c r="B2025" i="1"/>
  <c r="A2025" i="1"/>
  <c r="F2024" i="1"/>
  <c r="E2024" i="1"/>
  <c r="D2024" i="1"/>
  <c r="C2024" i="1"/>
  <c r="B2024" i="1"/>
  <c r="A2024" i="1"/>
  <c r="F2023" i="1"/>
  <c r="E2023" i="1"/>
  <c r="D2023" i="1"/>
  <c r="C2023" i="1"/>
  <c r="B2023" i="1"/>
  <c r="A2023" i="1"/>
  <c r="F2022" i="1"/>
  <c r="E2022" i="1"/>
  <c r="D2022" i="1"/>
  <c r="C2022" i="1"/>
  <c r="B2022" i="1"/>
  <c r="A2022" i="1"/>
  <c r="F2021" i="1"/>
  <c r="E2021" i="1"/>
  <c r="D2021" i="1"/>
  <c r="C2021" i="1"/>
  <c r="B2021" i="1"/>
  <c r="A2021" i="1"/>
  <c r="F2020" i="1"/>
  <c r="E2020" i="1"/>
  <c r="D2020" i="1"/>
  <c r="C2020" i="1"/>
  <c r="B2020" i="1"/>
  <c r="A2020" i="1"/>
  <c r="F2019" i="1"/>
  <c r="E2019" i="1"/>
  <c r="D2019" i="1"/>
  <c r="C2019" i="1"/>
  <c r="B2019" i="1"/>
  <c r="A2019" i="1"/>
  <c r="F2018" i="1"/>
  <c r="E2018" i="1"/>
  <c r="D2018" i="1"/>
  <c r="C2018" i="1"/>
  <c r="B2018" i="1"/>
  <c r="A2018" i="1"/>
  <c r="F2017" i="1"/>
  <c r="E2017" i="1"/>
  <c r="D2017" i="1"/>
  <c r="C2017" i="1"/>
  <c r="B2017" i="1"/>
  <c r="A2017" i="1"/>
  <c r="F2016" i="1"/>
  <c r="E2016" i="1"/>
  <c r="D2016" i="1"/>
  <c r="C2016" i="1"/>
  <c r="B2016" i="1"/>
  <c r="A2016" i="1"/>
  <c r="F2015" i="1"/>
  <c r="E2015" i="1"/>
  <c r="D2015" i="1"/>
  <c r="C2015" i="1"/>
  <c r="B2015" i="1"/>
  <c r="A2015" i="1"/>
  <c r="F2014" i="1"/>
  <c r="E2014" i="1"/>
  <c r="D2014" i="1"/>
  <c r="C2014" i="1"/>
  <c r="B2014" i="1"/>
  <c r="A2014" i="1"/>
  <c r="F2013" i="1"/>
  <c r="E2013" i="1"/>
  <c r="D2013" i="1"/>
  <c r="C2013" i="1"/>
  <c r="B2013" i="1"/>
  <c r="A2013" i="1"/>
  <c r="F2012" i="1"/>
  <c r="E2012" i="1"/>
  <c r="D2012" i="1"/>
  <c r="C2012" i="1"/>
  <c r="B2012" i="1"/>
  <c r="A2012" i="1"/>
  <c r="F2011" i="1"/>
  <c r="E2011" i="1"/>
  <c r="D2011" i="1"/>
  <c r="C2011" i="1"/>
  <c r="B2011" i="1"/>
  <c r="A2011" i="1"/>
  <c r="F2010" i="1"/>
  <c r="E2010" i="1"/>
  <c r="D2010" i="1"/>
  <c r="C2010" i="1"/>
  <c r="B2010" i="1"/>
  <c r="A2010" i="1"/>
  <c r="F2009" i="1"/>
  <c r="E2009" i="1"/>
  <c r="D2009" i="1"/>
  <c r="C2009" i="1"/>
  <c r="B2009" i="1"/>
  <c r="A2009" i="1"/>
  <c r="F2008" i="1"/>
  <c r="E2008" i="1"/>
  <c r="D2008" i="1"/>
  <c r="C2008" i="1"/>
  <c r="B2008" i="1"/>
  <c r="A2008" i="1"/>
  <c r="F2007" i="1"/>
  <c r="E2007" i="1"/>
  <c r="D2007" i="1"/>
  <c r="C2007" i="1"/>
  <c r="B2007" i="1"/>
  <c r="A2007" i="1"/>
  <c r="F2006" i="1"/>
  <c r="E2006" i="1"/>
  <c r="D2006" i="1"/>
  <c r="C2006" i="1"/>
  <c r="B2006" i="1"/>
  <c r="A2006" i="1"/>
  <c r="F2005" i="1"/>
  <c r="E2005" i="1"/>
  <c r="D2005" i="1"/>
  <c r="C2005" i="1"/>
  <c r="B2005" i="1"/>
  <c r="A2005" i="1"/>
  <c r="F2004" i="1"/>
  <c r="E2004" i="1"/>
  <c r="D2004" i="1"/>
  <c r="C2004" i="1"/>
  <c r="B2004" i="1"/>
  <c r="A2004" i="1"/>
  <c r="F2003" i="1"/>
  <c r="E2003" i="1"/>
  <c r="D2003" i="1"/>
  <c r="C2003" i="1"/>
  <c r="B2003" i="1"/>
  <c r="A2003" i="1"/>
  <c r="F2002" i="1"/>
  <c r="E2002" i="1"/>
  <c r="D2002" i="1"/>
  <c r="C2002" i="1"/>
  <c r="B2002" i="1"/>
  <c r="A2002" i="1"/>
  <c r="F2001" i="1"/>
  <c r="E2001" i="1"/>
  <c r="D2001" i="1"/>
  <c r="C2001" i="1"/>
  <c r="B2001" i="1"/>
  <c r="A2001" i="1"/>
  <c r="F2000" i="1"/>
  <c r="E2000" i="1"/>
  <c r="D2000" i="1"/>
  <c r="C2000" i="1"/>
  <c r="B2000" i="1"/>
  <c r="A2000" i="1"/>
  <c r="F1999" i="1"/>
  <c r="E1999" i="1"/>
  <c r="D1999" i="1"/>
  <c r="C1999" i="1"/>
  <c r="B1999" i="1"/>
  <c r="A1999" i="1"/>
  <c r="F1998" i="1"/>
  <c r="E1998" i="1"/>
  <c r="D1998" i="1"/>
  <c r="C1998" i="1"/>
  <c r="B1998" i="1"/>
  <c r="A1998" i="1"/>
  <c r="F1997" i="1"/>
  <c r="E1997" i="1"/>
  <c r="D1997" i="1"/>
  <c r="C1997" i="1"/>
  <c r="B1997" i="1"/>
  <c r="A1997" i="1"/>
  <c r="F1996" i="1"/>
  <c r="E1996" i="1"/>
  <c r="D1996" i="1"/>
  <c r="C1996" i="1"/>
  <c r="B1996" i="1"/>
  <c r="A1996" i="1"/>
  <c r="F1995" i="1"/>
  <c r="E1995" i="1"/>
  <c r="D1995" i="1"/>
  <c r="C1995" i="1"/>
  <c r="B1995" i="1"/>
  <c r="A1995" i="1"/>
  <c r="F1994" i="1"/>
  <c r="E1994" i="1"/>
  <c r="D1994" i="1"/>
  <c r="C1994" i="1"/>
  <c r="B1994" i="1"/>
  <c r="A1994" i="1"/>
  <c r="F1993" i="1"/>
  <c r="E1993" i="1"/>
  <c r="D1993" i="1"/>
  <c r="C1993" i="1"/>
  <c r="B1993" i="1"/>
  <c r="A1993" i="1"/>
  <c r="F1992" i="1"/>
  <c r="E1992" i="1"/>
  <c r="D1992" i="1"/>
  <c r="C1992" i="1"/>
  <c r="B1992" i="1"/>
  <c r="A1992" i="1"/>
  <c r="F1991" i="1"/>
  <c r="E1991" i="1"/>
  <c r="D1991" i="1"/>
  <c r="C1991" i="1"/>
  <c r="B1991" i="1"/>
  <c r="A1991" i="1"/>
  <c r="F1990" i="1"/>
  <c r="E1990" i="1"/>
  <c r="D1990" i="1"/>
  <c r="C1990" i="1"/>
  <c r="B1990" i="1"/>
  <c r="A1990" i="1"/>
  <c r="F1989" i="1"/>
  <c r="E1989" i="1"/>
  <c r="D1989" i="1"/>
  <c r="C1989" i="1"/>
  <c r="B1989" i="1"/>
  <c r="A1989" i="1"/>
  <c r="F1988" i="1"/>
  <c r="E1988" i="1"/>
  <c r="D1988" i="1"/>
  <c r="C1988" i="1"/>
  <c r="B1988" i="1"/>
  <c r="A1988" i="1"/>
  <c r="F1987" i="1"/>
  <c r="E1987" i="1"/>
  <c r="D1987" i="1"/>
  <c r="C1987" i="1"/>
  <c r="B1987" i="1"/>
  <c r="A1987" i="1"/>
  <c r="F1986" i="1"/>
  <c r="E1986" i="1"/>
  <c r="D1986" i="1"/>
  <c r="C1986" i="1"/>
  <c r="B1986" i="1"/>
  <c r="A1986" i="1"/>
  <c r="F1985" i="1"/>
  <c r="E1985" i="1"/>
  <c r="D1985" i="1"/>
  <c r="C1985" i="1"/>
  <c r="B1985" i="1"/>
  <c r="A1985" i="1"/>
  <c r="F1984" i="1"/>
  <c r="E1984" i="1"/>
  <c r="D1984" i="1"/>
  <c r="C1984" i="1"/>
  <c r="B1984" i="1"/>
  <c r="A1984" i="1"/>
  <c r="F1983" i="1"/>
  <c r="E1983" i="1"/>
  <c r="D1983" i="1"/>
  <c r="C1983" i="1"/>
  <c r="B1983" i="1"/>
  <c r="A1983" i="1"/>
  <c r="F1982" i="1"/>
  <c r="E1982" i="1"/>
  <c r="D1982" i="1"/>
  <c r="C1982" i="1"/>
  <c r="B1982" i="1"/>
  <c r="A1982" i="1"/>
  <c r="F1981" i="1"/>
  <c r="E1981" i="1"/>
  <c r="D1981" i="1"/>
  <c r="C1981" i="1"/>
  <c r="B1981" i="1"/>
  <c r="A1981" i="1"/>
  <c r="F1980" i="1"/>
  <c r="E1980" i="1"/>
  <c r="D1980" i="1"/>
  <c r="C1980" i="1"/>
  <c r="B1980" i="1"/>
  <c r="A1980" i="1"/>
  <c r="F1979" i="1"/>
  <c r="E1979" i="1"/>
  <c r="D1979" i="1"/>
  <c r="C1979" i="1"/>
  <c r="B1979" i="1"/>
  <c r="A1979" i="1"/>
  <c r="F1978" i="1"/>
  <c r="E1978" i="1"/>
  <c r="D1978" i="1"/>
  <c r="C1978" i="1"/>
  <c r="B1978" i="1"/>
  <c r="A1978" i="1"/>
  <c r="F1977" i="1"/>
  <c r="E1977" i="1"/>
  <c r="D1977" i="1"/>
  <c r="C1977" i="1"/>
  <c r="B1977" i="1"/>
  <c r="A1977" i="1"/>
  <c r="F1976" i="1"/>
  <c r="E1976" i="1"/>
  <c r="D1976" i="1"/>
  <c r="C1976" i="1"/>
  <c r="B1976" i="1"/>
  <c r="A1976" i="1"/>
  <c r="F1975" i="1"/>
  <c r="E1975" i="1"/>
  <c r="D1975" i="1"/>
  <c r="C1975" i="1"/>
  <c r="B1975" i="1"/>
  <c r="A1975" i="1"/>
  <c r="F1974" i="1"/>
  <c r="E1974" i="1"/>
  <c r="D1974" i="1"/>
  <c r="C1974" i="1"/>
  <c r="B1974" i="1"/>
  <c r="A1974" i="1"/>
  <c r="F1973" i="1"/>
  <c r="E1973" i="1"/>
  <c r="D1973" i="1"/>
  <c r="C1973" i="1"/>
  <c r="B1973" i="1"/>
  <c r="A1973" i="1"/>
  <c r="F1972" i="1"/>
  <c r="E1972" i="1"/>
  <c r="D1972" i="1"/>
  <c r="C1972" i="1"/>
  <c r="B1972" i="1"/>
  <c r="A1972" i="1"/>
  <c r="F1971" i="1"/>
  <c r="E1971" i="1"/>
  <c r="D1971" i="1"/>
  <c r="C1971" i="1"/>
  <c r="B1971" i="1"/>
  <c r="A1971" i="1"/>
  <c r="F1970" i="1"/>
  <c r="E1970" i="1"/>
  <c r="D1970" i="1"/>
  <c r="C1970" i="1"/>
  <c r="B1970" i="1"/>
  <c r="A1970" i="1"/>
  <c r="F1969" i="1"/>
  <c r="E1969" i="1"/>
  <c r="D1969" i="1"/>
  <c r="C1969" i="1"/>
  <c r="B1969" i="1"/>
  <c r="A1969" i="1"/>
  <c r="F1968" i="1"/>
  <c r="E1968" i="1"/>
  <c r="D1968" i="1"/>
  <c r="C1968" i="1"/>
  <c r="B1968" i="1"/>
  <c r="A1968" i="1"/>
  <c r="F1967" i="1"/>
  <c r="E1967" i="1"/>
  <c r="D1967" i="1"/>
  <c r="C1967" i="1"/>
  <c r="B1967" i="1"/>
  <c r="A1967" i="1"/>
  <c r="F1966" i="1"/>
  <c r="E1966" i="1"/>
  <c r="D1966" i="1"/>
  <c r="C1966" i="1"/>
  <c r="B1966" i="1"/>
  <c r="A1966" i="1"/>
  <c r="F1965" i="1"/>
  <c r="E1965" i="1"/>
  <c r="D1965" i="1"/>
  <c r="C1965" i="1"/>
  <c r="B1965" i="1"/>
  <c r="A1965" i="1"/>
  <c r="F1964" i="1"/>
  <c r="E1964" i="1"/>
  <c r="D1964" i="1"/>
  <c r="C1964" i="1"/>
  <c r="B1964" i="1"/>
  <c r="A1964" i="1"/>
  <c r="F1963" i="1"/>
  <c r="E1963" i="1"/>
  <c r="D1963" i="1"/>
  <c r="C1963" i="1"/>
  <c r="B1963" i="1"/>
  <c r="A1963" i="1"/>
  <c r="F1962" i="1"/>
  <c r="E1962" i="1"/>
  <c r="D1962" i="1"/>
  <c r="C1962" i="1"/>
  <c r="B1962" i="1"/>
  <c r="A1962" i="1"/>
  <c r="F1961" i="1"/>
  <c r="E1961" i="1"/>
  <c r="D1961" i="1"/>
  <c r="C1961" i="1"/>
  <c r="B1961" i="1"/>
  <c r="A1961" i="1"/>
  <c r="F1960" i="1"/>
  <c r="E1960" i="1"/>
  <c r="D1960" i="1"/>
  <c r="C1960" i="1"/>
  <c r="B1960" i="1"/>
  <c r="A1960" i="1"/>
  <c r="F1959" i="1"/>
  <c r="E1959" i="1"/>
  <c r="D1959" i="1"/>
  <c r="C1959" i="1"/>
  <c r="B1959" i="1"/>
  <c r="A1959" i="1"/>
  <c r="F1958" i="1"/>
  <c r="E1958" i="1"/>
  <c r="D1958" i="1"/>
  <c r="C1958" i="1"/>
  <c r="B1958" i="1"/>
  <c r="A1958" i="1"/>
  <c r="F1957" i="1"/>
  <c r="E1957" i="1"/>
  <c r="D1957" i="1"/>
  <c r="C1957" i="1"/>
  <c r="B1957" i="1"/>
  <c r="A1957" i="1"/>
  <c r="F1956" i="1"/>
  <c r="E1956" i="1"/>
  <c r="D1956" i="1"/>
  <c r="C1956" i="1"/>
  <c r="B1956" i="1"/>
  <c r="A1956" i="1"/>
  <c r="F1955" i="1"/>
  <c r="E1955" i="1"/>
  <c r="D1955" i="1"/>
  <c r="C1955" i="1"/>
  <c r="B1955" i="1"/>
  <c r="A1955" i="1"/>
  <c r="F1954" i="1"/>
  <c r="E1954" i="1"/>
  <c r="D1954" i="1"/>
  <c r="C1954" i="1"/>
  <c r="B1954" i="1"/>
  <c r="A1954" i="1"/>
  <c r="F1953" i="1"/>
  <c r="E1953" i="1"/>
  <c r="D1953" i="1"/>
  <c r="C1953" i="1"/>
  <c r="B1953" i="1"/>
  <c r="A1953" i="1"/>
  <c r="F1952" i="1"/>
  <c r="E1952" i="1"/>
  <c r="D1952" i="1"/>
  <c r="C1952" i="1"/>
  <c r="B1952" i="1"/>
  <c r="A1952" i="1"/>
  <c r="F1951" i="1"/>
  <c r="E1951" i="1"/>
  <c r="D1951" i="1"/>
  <c r="C1951" i="1"/>
  <c r="B1951" i="1"/>
  <c r="A1951" i="1"/>
  <c r="F1950" i="1"/>
  <c r="E1950" i="1"/>
  <c r="D1950" i="1"/>
  <c r="C1950" i="1"/>
  <c r="B1950" i="1"/>
  <c r="A1950" i="1"/>
  <c r="F1949" i="1"/>
  <c r="E1949" i="1"/>
  <c r="D1949" i="1"/>
  <c r="C1949" i="1"/>
  <c r="B1949" i="1"/>
  <c r="A1949" i="1"/>
  <c r="F1948" i="1"/>
  <c r="E1948" i="1"/>
  <c r="D1948" i="1"/>
  <c r="C1948" i="1"/>
  <c r="B1948" i="1"/>
  <c r="A1948" i="1"/>
  <c r="F1947" i="1"/>
  <c r="E1947" i="1"/>
  <c r="D1947" i="1"/>
  <c r="C1947" i="1"/>
  <c r="B1947" i="1"/>
  <c r="A1947" i="1"/>
  <c r="F1946" i="1"/>
  <c r="E1946" i="1"/>
  <c r="D1946" i="1"/>
  <c r="C1946" i="1"/>
  <c r="B1946" i="1"/>
  <c r="A1946" i="1"/>
  <c r="F1945" i="1"/>
  <c r="E1945" i="1"/>
  <c r="D1945" i="1"/>
  <c r="C1945" i="1"/>
  <c r="B1945" i="1"/>
  <c r="A1945" i="1"/>
  <c r="F1944" i="1"/>
  <c r="E1944" i="1"/>
  <c r="D1944" i="1"/>
  <c r="C1944" i="1"/>
  <c r="B1944" i="1"/>
  <c r="A1944" i="1"/>
  <c r="F1943" i="1"/>
  <c r="E1943" i="1"/>
  <c r="D1943" i="1"/>
  <c r="C1943" i="1"/>
  <c r="B1943" i="1"/>
  <c r="A1943" i="1"/>
  <c r="F1942" i="1"/>
  <c r="E1942" i="1"/>
  <c r="D1942" i="1"/>
  <c r="C1942" i="1"/>
  <c r="B1942" i="1"/>
  <c r="A1942" i="1"/>
  <c r="F1941" i="1"/>
  <c r="E1941" i="1"/>
  <c r="D1941" i="1"/>
  <c r="C1941" i="1"/>
  <c r="B1941" i="1"/>
  <c r="A1941" i="1"/>
  <c r="F1940" i="1"/>
  <c r="E1940" i="1"/>
  <c r="D1940" i="1"/>
  <c r="C1940" i="1"/>
  <c r="B1940" i="1"/>
  <c r="A1940" i="1"/>
  <c r="F1939" i="1"/>
  <c r="E1939" i="1"/>
  <c r="D1939" i="1"/>
  <c r="C1939" i="1"/>
  <c r="B1939" i="1"/>
  <c r="A1939" i="1"/>
  <c r="F1938" i="1"/>
  <c r="E1938" i="1"/>
  <c r="D1938" i="1"/>
  <c r="C1938" i="1"/>
  <c r="B1938" i="1"/>
  <c r="A1938" i="1"/>
  <c r="F1937" i="1"/>
  <c r="E1937" i="1"/>
  <c r="D1937" i="1"/>
  <c r="C1937" i="1"/>
  <c r="B1937" i="1"/>
  <c r="A1937" i="1"/>
  <c r="F1936" i="1"/>
  <c r="E1936" i="1"/>
  <c r="D1936" i="1"/>
  <c r="C1936" i="1"/>
  <c r="B1936" i="1"/>
  <c r="A1936" i="1"/>
  <c r="F1935" i="1"/>
  <c r="E1935" i="1"/>
  <c r="D1935" i="1"/>
  <c r="C1935" i="1"/>
  <c r="B1935" i="1"/>
  <c r="A1935" i="1"/>
  <c r="F1934" i="1"/>
  <c r="E1934" i="1"/>
  <c r="D1934" i="1"/>
  <c r="C1934" i="1"/>
  <c r="B1934" i="1"/>
  <c r="A1934" i="1"/>
  <c r="F1933" i="1"/>
  <c r="E1933" i="1"/>
  <c r="D1933" i="1"/>
  <c r="C1933" i="1"/>
  <c r="B1933" i="1"/>
  <c r="A1933" i="1"/>
  <c r="F1932" i="1"/>
  <c r="E1932" i="1"/>
  <c r="D1932" i="1"/>
  <c r="C1932" i="1"/>
  <c r="B1932" i="1"/>
  <c r="A1932" i="1"/>
  <c r="F1931" i="1"/>
  <c r="E1931" i="1"/>
  <c r="D1931" i="1"/>
  <c r="C1931" i="1"/>
  <c r="B1931" i="1"/>
  <c r="A1931" i="1"/>
  <c r="F1930" i="1"/>
  <c r="E1930" i="1"/>
  <c r="D1930" i="1"/>
  <c r="C1930" i="1"/>
  <c r="B1930" i="1"/>
  <c r="A1930" i="1"/>
  <c r="F1929" i="1"/>
  <c r="E1929" i="1"/>
  <c r="D1929" i="1"/>
  <c r="C1929" i="1"/>
  <c r="B1929" i="1"/>
  <c r="A1929" i="1"/>
  <c r="F1928" i="1"/>
  <c r="E1928" i="1"/>
  <c r="D1928" i="1"/>
  <c r="C1928" i="1"/>
  <c r="B1928" i="1"/>
  <c r="A1928" i="1"/>
  <c r="F1927" i="1"/>
  <c r="E1927" i="1"/>
  <c r="D1927" i="1"/>
  <c r="C1927" i="1"/>
  <c r="B1927" i="1"/>
  <c r="A1927" i="1"/>
  <c r="F1926" i="1"/>
  <c r="E1926" i="1"/>
  <c r="D1926" i="1"/>
  <c r="C1926" i="1"/>
  <c r="B1926" i="1"/>
  <c r="A1926" i="1"/>
  <c r="F1925" i="1"/>
  <c r="E1925" i="1"/>
  <c r="D1925" i="1"/>
  <c r="C1925" i="1"/>
  <c r="B1925" i="1"/>
  <c r="A1925" i="1"/>
  <c r="F1924" i="1"/>
  <c r="E1924" i="1"/>
  <c r="D1924" i="1"/>
  <c r="C1924" i="1"/>
  <c r="B1924" i="1"/>
  <c r="A1924" i="1"/>
  <c r="F1923" i="1"/>
  <c r="E1923" i="1"/>
  <c r="D1923" i="1"/>
  <c r="C1923" i="1"/>
  <c r="B1923" i="1"/>
  <c r="A1923" i="1"/>
  <c r="F1922" i="1"/>
  <c r="E1922" i="1"/>
  <c r="D1922" i="1"/>
  <c r="C1922" i="1"/>
  <c r="B1922" i="1"/>
  <c r="A1922" i="1"/>
  <c r="F1921" i="1"/>
  <c r="E1921" i="1"/>
  <c r="D1921" i="1"/>
  <c r="C1921" i="1"/>
  <c r="B1921" i="1"/>
  <c r="A1921" i="1"/>
  <c r="F1920" i="1"/>
  <c r="E1920" i="1"/>
  <c r="D1920" i="1"/>
  <c r="C1920" i="1"/>
  <c r="B1920" i="1"/>
  <c r="A1920" i="1"/>
  <c r="F1919" i="1"/>
  <c r="E1919" i="1"/>
  <c r="D1919" i="1"/>
  <c r="C1919" i="1"/>
  <c r="B1919" i="1"/>
  <c r="A1919" i="1"/>
  <c r="F1918" i="1"/>
  <c r="E1918" i="1"/>
  <c r="D1918" i="1"/>
  <c r="C1918" i="1"/>
  <c r="B1918" i="1"/>
  <c r="A1918" i="1"/>
  <c r="F1917" i="1"/>
  <c r="E1917" i="1"/>
  <c r="D1917" i="1"/>
  <c r="C1917" i="1"/>
  <c r="B1917" i="1"/>
  <c r="A1917" i="1"/>
  <c r="F1916" i="1"/>
  <c r="E1916" i="1"/>
  <c r="D1916" i="1"/>
  <c r="C1916" i="1"/>
  <c r="B1916" i="1"/>
  <c r="A1916" i="1"/>
  <c r="F1915" i="1"/>
  <c r="E1915" i="1"/>
  <c r="D1915" i="1"/>
  <c r="C1915" i="1"/>
  <c r="B1915" i="1"/>
  <c r="A1915" i="1"/>
  <c r="F1914" i="1"/>
  <c r="E1914" i="1"/>
  <c r="D1914" i="1"/>
  <c r="C1914" i="1"/>
  <c r="B1914" i="1"/>
  <c r="A1914" i="1"/>
  <c r="F1913" i="1"/>
  <c r="E1913" i="1"/>
  <c r="D1913" i="1"/>
  <c r="C1913" i="1"/>
  <c r="B1913" i="1"/>
  <c r="A1913" i="1"/>
  <c r="F1912" i="1"/>
  <c r="E1912" i="1"/>
  <c r="D1912" i="1"/>
  <c r="C1912" i="1"/>
  <c r="B1912" i="1"/>
  <c r="A1912" i="1"/>
  <c r="F1911" i="1"/>
  <c r="E1911" i="1"/>
  <c r="D1911" i="1"/>
  <c r="C1911" i="1"/>
  <c r="B1911" i="1"/>
  <c r="A1911" i="1"/>
  <c r="F1910" i="1"/>
  <c r="E1910" i="1"/>
  <c r="D1910" i="1"/>
  <c r="C1910" i="1"/>
  <c r="B1910" i="1"/>
  <c r="A1910" i="1"/>
  <c r="F1909" i="1"/>
  <c r="E1909" i="1"/>
  <c r="D1909" i="1"/>
  <c r="C1909" i="1"/>
  <c r="B1909" i="1"/>
  <c r="A1909" i="1"/>
  <c r="F1908" i="1"/>
  <c r="E1908" i="1"/>
  <c r="D1908" i="1"/>
  <c r="C1908" i="1"/>
  <c r="B1908" i="1"/>
  <c r="A1908" i="1"/>
  <c r="F1907" i="1"/>
  <c r="E1907" i="1"/>
  <c r="D1907" i="1"/>
  <c r="C1907" i="1"/>
  <c r="B1907" i="1"/>
  <c r="A1907" i="1"/>
  <c r="F1906" i="1"/>
  <c r="E1906" i="1"/>
  <c r="D1906" i="1"/>
  <c r="C1906" i="1"/>
  <c r="B1906" i="1"/>
  <c r="A1906" i="1"/>
  <c r="F1905" i="1"/>
  <c r="E1905" i="1"/>
  <c r="D1905" i="1"/>
  <c r="C1905" i="1"/>
  <c r="B1905" i="1"/>
  <c r="A1905" i="1"/>
  <c r="F1904" i="1"/>
  <c r="E1904" i="1"/>
  <c r="D1904" i="1"/>
  <c r="C1904" i="1"/>
  <c r="B1904" i="1"/>
  <c r="A1904" i="1"/>
  <c r="F1903" i="1"/>
  <c r="E1903" i="1"/>
  <c r="D1903" i="1"/>
  <c r="C1903" i="1"/>
  <c r="B1903" i="1"/>
  <c r="A1903" i="1"/>
  <c r="F1902" i="1"/>
  <c r="E1902" i="1"/>
  <c r="D1902" i="1"/>
  <c r="C1902" i="1"/>
  <c r="B1902" i="1"/>
  <c r="A1902" i="1"/>
  <c r="F1901" i="1"/>
  <c r="E1901" i="1"/>
  <c r="D1901" i="1"/>
  <c r="C1901" i="1"/>
  <c r="B1901" i="1"/>
  <c r="A1901" i="1"/>
  <c r="F1900" i="1"/>
  <c r="E1900" i="1"/>
  <c r="D1900" i="1"/>
  <c r="C1900" i="1"/>
  <c r="B1900" i="1"/>
  <c r="A1900" i="1"/>
  <c r="F1899" i="1"/>
  <c r="E1899" i="1"/>
  <c r="D1899" i="1"/>
  <c r="C1899" i="1"/>
  <c r="B1899" i="1"/>
  <c r="A1899" i="1"/>
  <c r="F1898" i="1"/>
  <c r="E1898" i="1"/>
  <c r="D1898" i="1"/>
  <c r="C1898" i="1"/>
  <c r="B1898" i="1"/>
  <c r="A1898" i="1"/>
  <c r="F1897" i="1"/>
  <c r="E1897" i="1"/>
  <c r="D1897" i="1"/>
  <c r="C1897" i="1"/>
  <c r="B1897" i="1"/>
  <c r="A1897" i="1"/>
  <c r="F1896" i="1"/>
  <c r="E1896" i="1"/>
  <c r="D1896" i="1"/>
  <c r="C1896" i="1"/>
  <c r="B1896" i="1"/>
  <c r="A1896" i="1"/>
  <c r="F1895" i="1"/>
  <c r="E1895" i="1"/>
  <c r="D1895" i="1"/>
  <c r="C1895" i="1"/>
  <c r="B1895" i="1"/>
  <c r="A1895" i="1"/>
  <c r="F1894" i="1"/>
  <c r="E1894" i="1"/>
  <c r="D1894" i="1"/>
  <c r="C1894" i="1"/>
  <c r="B1894" i="1"/>
  <c r="A1894" i="1"/>
  <c r="F1893" i="1"/>
  <c r="E1893" i="1"/>
  <c r="D1893" i="1"/>
  <c r="C1893" i="1"/>
  <c r="B1893" i="1"/>
  <c r="A1893" i="1"/>
  <c r="F1892" i="1"/>
  <c r="E1892" i="1"/>
  <c r="D1892" i="1"/>
  <c r="C1892" i="1"/>
  <c r="B1892" i="1"/>
  <c r="A1892" i="1"/>
  <c r="F1891" i="1"/>
  <c r="E1891" i="1"/>
  <c r="D1891" i="1"/>
  <c r="C1891" i="1"/>
  <c r="B1891" i="1"/>
  <c r="A1891" i="1"/>
  <c r="F1890" i="1"/>
  <c r="E1890" i="1"/>
  <c r="D1890" i="1"/>
  <c r="C1890" i="1"/>
  <c r="B1890" i="1"/>
  <c r="A1890" i="1"/>
  <c r="F1889" i="1"/>
  <c r="E1889" i="1"/>
  <c r="D1889" i="1"/>
  <c r="C1889" i="1"/>
  <c r="B1889" i="1"/>
  <c r="A1889" i="1"/>
  <c r="F1888" i="1"/>
  <c r="E1888" i="1"/>
  <c r="D1888" i="1"/>
  <c r="C1888" i="1"/>
  <c r="B1888" i="1"/>
  <c r="A1888" i="1"/>
  <c r="F1887" i="1"/>
  <c r="E1887" i="1"/>
  <c r="D1887" i="1"/>
  <c r="C1887" i="1"/>
  <c r="B1887" i="1"/>
  <c r="A1887" i="1"/>
  <c r="F1886" i="1"/>
  <c r="E1886" i="1"/>
  <c r="D1886" i="1"/>
  <c r="C1886" i="1"/>
  <c r="B1886" i="1"/>
  <c r="A1886" i="1"/>
  <c r="F1885" i="1"/>
  <c r="E1885" i="1"/>
  <c r="D1885" i="1"/>
  <c r="C1885" i="1"/>
  <c r="B1885" i="1"/>
  <c r="A1885" i="1"/>
  <c r="F1884" i="1"/>
  <c r="E1884" i="1"/>
  <c r="D1884" i="1"/>
  <c r="C1884" i="1"/>
  <c r="B1884" i="1"/>
  <c r="A1884" i="1"/>
  <c r="F1883" i="1"/>
  <c r="E1883" i="1"/>
  <c r="D1883" i="1"/>
  <c r="C1883" i="1"/>
  <c r="B1883" i="1"/>
  <c r="A1883" i="1"/>
  <c r="F1882" i="1"/>
  <c r="E1882" i="1"/>
  <c r="D1882" i="1"/>
  <c r="C1882" i="1"/>
  <c r="B1882" i="1"/>
  <c r="A1882" i="1"/>
  <c r="F1881" i="1"/>
  <c r="E1881" i="1"/>
  <c r="D1881" i="1"/>
  <c r="C1881" i="1"/>
  <c r="B1881" i="1"/>
  <c r="A1881" i="1"/>
  <c r="F1880" i="1"/>
  <c r="E1880" i="1"/>
  <c r="D1880" i="1"/>
  <c r="C1880" i="1"/>
  <c r="B1880" i="1"/>
  <c r="A1880" i="1"/>
  <c r="F1879" i="1"/>
  <c r="E1879" i="1"/>
  <c r="D1879" i="1"/>
  <c r="C1879" i="1"/>
  <c r="B1879" i="1"/>
  <c r="A1879" i="1"/>
  <c r="F1878" i="1"/>
  <c r="E1878" i="1"/>
  <c r="D1878" i="1"/>
  <c r="C1878" i="1"/>
  <c r="B1878" i="1"/>
  <c r="A1878" i="1"/>
  <c r="F1877" i="1"/>
  <c r="E1877" i="1"/>
  <c r="D1877" i="1"/>
  <c r="C1877" i="1"/>
  <c r="B1877" i="1"/>
  <c r="A1877" i="1"/>
  <c r="F1876" i="1"/>
  <c r="E1876" i="1"/>
  <c r="D1876" i="1"/>
  <c r="C1876" i="1"/>
  <c r="B1876" i="1"/>
  <c r="A1876" i="1"/>
  <c r="F1875" i="1"/>
  <c r="E1875" i="1"/>
  <c r="D1875" i="1"/>
  <c r="C1875" i="1"/>
  <c r="B1875" i="1"/>
  <c r="A1875" i="1"/>
  <c r="F1874" i="1"/>
  <c r="E1874" i="1"/>
  <c r="D1874" i="1"/>
  <c r="C1874" i="1"/>
  <c r="B1874" i="1"/>
  <c r="A1874" i="1"/>
  <c r="F1873" i="1"/>
  <c r="E1873" i="1"/>
  <c r="D1873" i="1"/>
  <c r="C1873" i="1"/>
  <c r="B1873" i="1"/>
  <c r="A1873" i="1"/>
  <c r="F1872" i="1"/>
  <c r="E1872" i="1"/>
  <c r="D1872" i="1"/>
  <c r="C1872" i="1"/>
  <c r="B1872" i="1"/>
  <c r="A1872" i="1"/>
  <c r="F1871" i="1"/>
  <c r="E1871" i="1"/>
  <c r="D1871" i="1"/>
  <c r="C1871" i="1"/>
  <c r="B1871" i="1"/>
  <c r="A1871" i="1"/>
  <c r="F1870" i="1"/>
  <c r="E1870" i="1"/>
  <c r="D1870" i="1"/>
  <c r="C1870" i="1"/>
  <c r="B1870" i="1"/>
  <c r="A1870" i="1"/>
  <c r="F1869" i="1"/>
  <c r="E1869" i="1"/>
  <c r="D1869" i="1"/>
  <c r="C1869" i="1"/>
  <c r="B1869" i="1"/>
  <c r="A1869" i="1"/>
  <c r="F1868" i="1"/>
  <c r="E1868" i="1"/>
  <c r="D1868" i="1"/>
  <c r="C1868" i="1"/>
  <c r="B1868" i="1"/>
  <c r="A1868" i="1"/>
  <c r="F1867" i="1"/>
  <c r="E1867" i="1"/>
  <c r="D1867" i="1"/>
  <c r="C1867" i="1"/>
  <c r="B1867" i="1"/>
  <c r="A1867" i="1"/>
  <c r="F1866" i="1"/>
  <c r="E1866" i="1"/>
  <c r="D1866" i="1"/>
  <c r="C1866" i="1"/>
  <c r="B1866" i="1"/>
  <c r="A1866" i="1"/>
  <c r="F1865" i="1"/>
  <c r="E1865" i="1"/>
  <c r="D1865" i="1"/>
  <c r="C1865" i="1"/>
  <c r="B1865" i="1"/>
  <c r="A1865" i="1"/>
  <c r="F1864" i="1"/>
  <c r="E1864" i="1"/>
  <c r="D1864" i="1"/>
  <c r="C1864" i="1"/>
  <c r="B1864" i="1"/>
  <c r="A1864" i="1"/>
  <c r="F1863" i="1"/>
  <c r="E1863" i="1"/>
  <c r="D1863" i="1"/>
  <c r="C1863" i="1"/>
  <c r="B1863" i="1"/>
  <c r="A1863" i="1"/>
  <c r="F1862" i="1"/>
  <c r="E1862" i="1"/>
  <c r="D1862" i="1"/>
  <c r="C1862" i="1"/>
  <c r="B1862" i="1"/>
  <c r="A1862" i="1"/>
  <c r="F1861" i="1"/>
  <c r="E1861" i="1"/>
  <c r="D1861" i="1"/>
  <c r="C1861" i="1"/>
  <c r="B1861" i="1"/>
  <c r="A1861" i="1"/>
  <c r="F1860" i="1"/>
  <c r="E1860" i="1"/>
  <c r="D1860" i="1"/>
  <c r="C1860" i="1"/>
  <c r="B1860" i="1"/>
  <c r="A1860" i="1"/>
  <c r="F1859" i="1"/>
  <c r="E1859" i="1"/>
  <c r="D1859" i="1"/>
  <c r="C1859" i="1"/>
  <c r="B1859" i="1"/>
  <c r="A1859" i="1"/>
  <c r="F1858" i="1"/>
  <c r="E1858" i="1"/>
  <c r="D1858" i="1"/>
  <c r="C1858" i="1"/>
  <c r="B1858" i="1"/>
  <c r="A1858" i="1"/>
  <c r="F1857" i="1"/>
  <c r="E1857" i="1"/>
  <c r="D1857" i="1"/>
  <c r="C1857" i="1"/>
  <c r="B1857" i="1"/>
  <c r="A1857" i="1"/>
  <c r="F1856" i="1"/>
  <c r="E1856" i="1"/>
  <c r="D1856" i="1"/>
  <c r="C1856" i="1"/>
  <c r="B1856" i="1"/>
  <c r="A1856" i="1"/>
  <c r="F1855" i="1"/>
  <c r="E1855" i="1"/>
  <c r="D1855" i="1"/>
  <c r="C1855" i="1"/>
  <c r="B1855" i="1"/>
  <c r="A1855" i="1"/>
  <c r="F1854" i="1"/>
  <c r="E1854" i="1"/>
  <c r="D1854" i="1"/>
  <c r="C1854" i="1"/>
  <c r="B1854" i="1"/>
  <c r="A1854" i="1"/>
  <c r="F1853" i="1"/>
  <c r="E1853" i="1"/>
  <c r="D1853" i="1"/>
  <c r="C1853" i="1"/>
  <c r="B1853" i="1"/>
  <c r="A1853" i="1"/>
  <c r="F1852" i="1"/>
  <c r="E1852" i="1"/>
  <c r="D1852" i="1"/>
  <c r="C1852" i="1"/>
  <c r="B1852" i="1"/>
  <c r="A1852" i="1"/>
  <c r="F1851" i="1"/>
  <c r="E1851" i="1"/>
  <c r="D1851" i="1"/>
  <c r="C1851" i="1"/>
  <c r="B1851" i="1"/>
  <c r="A1851" i="1"/>
  <c r="F1850" i="1"/>
  <c r="E1850" i="1"/>
  <c r="D1850" i="1"/>
  <c r="C1850" i="1"/>
  <c r="B1850" i="1"/>
  <c r="A1850" i="1"/>
  <c r="F1849" i="1"/>
  <c r="E1849" i="1"/>
  <c r="D1849" i="1"/>
  <c r="C1849" i="1"/>
  <c r="B1849" i="1"/>
  <c r="A1849" i="1"/>
  <c r="F1848" i="1"/>
  <c r="E1848" i="1"/>
  <c r="D1848" i="1"/>
  <c r="C1848" i="1"/>
  <c r="B1848" i="1"/>
  <c r="A1848" i="1"/>
  <c r="F1847" i="1"/>
  <c r="E1847" i="1"/>
  <c r="D1847" i="1"/>
  <c r="C1847" i="1"/>
  <c r="B1847" i="1"/>
  <c r="A1847" i="1"/>
  <c r="F1846" i="1"/>
  <c r="E1846" i="1"/>
  <c r="D1846" i="1"/>
  <c r="C1846" i="1"/>
  <c r="B1846" i="1"/>
  <c r="A1846" i="1"/>
  <c r="F1845" i="1"/>
  <c r="E1845" i="1"/>
  <c r="D1845" i="1"/>
  <c r="C1845" i="1"/>
  <c r="B1845" i="1"/>
  <c r="A1845" i="1"/>
  <c r="F1844" i="1"/>
  <c r="E1844" i="1"/>
  <c r="D1844" i="1"/>
  <c r="C1844" i="1"/>
  <c r="B1844" i="1"/>
  <c r="A1844" i="1"/>
  <c r="F1843" i="1"/>
  <c r="E1843" i="1"/>
  <c r="D1843" i="1"/>
  <c r="C1843" i="1"/>
  <c r="B1843" i="1"/>
  <c r="A1843" i="1"/>
  <c r="F1842" i="1"/>
  <c r="E1842" i="1"/>
  <c r="D1842" i="1"/>
  <c r="C1842" i="1"/>
  <c r="B1842" i="1"/>
  <c r="A1842" i="1"/>
  <c r="F1841" i="1"/>
  <c r="E1841" i="1"/>
  <c r="D1841" i="1"/>
  <c r="C1841" i="1"/>
  <c r="B1841" i="1"/>
  <c r="A1841" i="1"/>
  <c r="F1840" i="1"/>
  <c r="E1840" i="1"/>
  <c r="D1840" i="1"/>
  <c r="C1840" i="1"/>
  <c r="B1840" i="1"/>
  <c r="A1840" i="1"/>
  <c r="F1839" i="1"/>
  <c r="E1839" i="1"/>
  <c r="D1839" i="1"/>
  <c r="C1839" i="1"/>
  <c r="B1839" i="1"/>
  <c r="A1839" i="1"/>
  <c r="F1838" i="1"/>
  <c r="E1838" i="1"/>
  <c r="D1838" i="1"/>
  <c r="C1838" i="1"/>
  <c r="B1838" i="1"/>
  <c r="A1838" i="1"/>
  <c r="F1837" i="1"/>
  <c r="E1837" i="1"/>
  <c r="D1837" i="1"/>
  <c r="C1837" i="1"/>
  <c r="B1837" i="1"/>
  <c r="A1837" i="1"/>
  <c r="F1836" i="1"/>
  <c r="E1836" i="1"/>
  <c r="D1836" i="1"/>
  <c r="C1836" i="1"/>
  <c r="B1836" i="1"/>
  <c r="A1836" i="1"/>
  <c r="F1835" i="1"/>
  <c r="E1835" i="1"/>
  <c r="D1835" i="1"/>
  <c r="C1835" i="1"/>
  <c r="B1835" i="1"/>
  <c r="A1835" i="1"/>
  <c r="F1834" i="1"/>
  <c r="E1834" i="1"/>
  <c r="D1834" i="1"/>
  <c r="C1834" i="1"/>
  <c r="B1834" i="1"/>
  <c r="A1834" i="1"/>
  <c r="F1833" i="1"/>
  <c r="E1833" i="1"/>
  <c r="D1833" i="1"/>
  <c r="C1833" i="1"/>
  <c r="B1833" i="1"/>
  <c r="A1833" i="1"/>
  <c r="F1832" i="1"/>
  <c r="E1832" i="1"/>
  <c r="D1832" i="1"/>
  <c r="C1832" i="1"/>
  <c r="B1832" i="1"/>
  <c r="A1832" i="1"/>
  <c r="F1831" i="1"/>
  <c r="E1831" i="1"/>
  <c r="D1831" i="1"/>
  <c r="C1831" i="1"/>
  <c r="B1831" i="1"/>
  <c r="A1831" i="1"/>
  <c r="F1830" i="1"/>
  <c r="E1830" i="1"/>
  <c r="D1830" i="1"/>
  <c r="C1830" i="1"/>
  <c r="B1830" i="1"/>
  <c r="A1830" i="1"/>
  <c r="F1829" i="1"/>
  <c r="E1829" i="1"/>
  <c r="D1829" i="1"/>
  <c r="C1829" i="1"/>
  <c r="B1829" i="1"/>
  <c r="A1829" i="1"/>
  <c r="F1828" i="1"/>
  <c r="E1828" i="1"/>
  <c r="D1828" i="1"/>
  <c r="C1828" i="1"/>
  <c r="B1828" i="1"/>
  <c r="A1828" i="1"/>
  <c r="F1827" i="1"/>
  <c r="E1827" i="1"/>
  <c r="D1827" i="1"/>
  <c r="C1827" i="1"/>
  <c r="B1827" i="1"/>
  <c r="A1827" i="1"/>
  <c r="F1826" i="1"/>
  <c r="E1826" i="1"/>
  <c r="D1826" i="1"/>
  <c r="C1826" i="1"/>
  <c r="B1826" i="1"/>
  <c r="A1826" i="1"/>
  <c r="F1825" i="1"/>
  <c r="E1825" i="1"/>
  <c r="D1825" i="1"/>
  <c r="C1825" i="1"/>
  <c r="B1825" i="1"/>
  <c r="A1825" i="1"/>
  <c r="F1824" i="1"/>
  <c r="E1824" i="1"/>
  <c r="D1824" i="1"/>
  <c r="C1824" i="1"/>
  <c r="B1824" i="1"/>
  <c r="A1824" i="1"/>
  <c r="F1823" i="1"/>
  <c r="E1823" i="1"/>
  <c r="D1823" i="1"/>
  <c r="C1823" i="1"/>
  <c r="B1823" i="1"/>
  <c r="A1823" i="1"/>
  <c r="F1822" i="1"/>
  <c r="E1822" i="1"/>
  <c r="D1822" i="1"/>
  <c r="C1822" i="1"/>
  <c r="B1822" i="1"/>
  <c r="A1822" i="1"/>
  <c r="F1821" i="1"/>
  <c r="E1821" i="1"/>
  <c r="D1821" i="1"/>
  <c r="C1821" i="1"/>
  <c r="B1821" i="1"/>
  <c r="A1821" i="1"/>
  <c r="F1820" i="1"/>
  <c r="E1820" i="1"/>
  <c r="D1820" i="1"/>
  <c r="C1820" i="1"/>
  <c r="B1820" i="1"/>
  <c r="A1820" i="1"/>
  <c r="F1819" i="1"/>
  <c r="E1819" i="1"/>
  <c r="D1819" i="1"/>
  <c r="C1819" i="1"/>
  <c r="B1819" i="1"/>
  <c r="A1819" i="1"/>
  <c r="F1818" i="1"/>
  <c r="E1818" i="1"/>
  <c r="D1818" i="1"/>
  <c r="C1818" i="1"/>
  <c r="B1818" i="1"/>
  <c r="A1818" i="1"/>
  <c r="F1817" i="1"/>
  <c r="E1817" i="1"/>
  <c r="D1817" i="1"/>
  <c r="C1817" i="1"/>
  <c r="B1817" i="1"/>
  <c r="A1817" i="1"/>
  <c r="F1816" i="1"/>
  <c r="E1816" i="1"/>
  <c r="D1816" i="1"/>
  <c r="C1816" i="1"/>
  <c r="B1816" i="1"/>
  <c r="A1816" i="1"/>
  <c r="F1815" i="1"/>
  <c r="E1815" i="1"/>
  <c r="D1815" i="1"/>
  <c r="C1815" i="1"/>
  <c r="B1815" i="1"/>
  <c r="A1815" i="1"/>
  <c r="F1814" i="1"/>
  <c r="E1814" i="1"/>
  <c r="D1814" i="1"/>
  <c r="C1814" i="1"/>
  <c r="B1814" i="1"/>
  <c r="A1814" i="1"/>
  <c r="F1813" i="1"/>
  <c r="E1813" i="1"/>
  <c r="D1813" i="1"/>
  <c r="C1813" i="1"/>
  <c r="B1813" i="1"/>
  <c r="A1813" i="1"/>
  <c r="F1812" i="1"/>
  <c r="E1812" i="1"/>
  <c r="D1812" i="1"/>
  <c r="C1812" i="1"/>
  <c r="B1812" i="1"/>
  <c r="A1812" i="1"/>
  <c r="F1811" i="1"/>
  <c r="E1811" i="1"/>
  <c r="D1811" i="1"/>
  <c r="C1811" i="1"/>
  <c r="B1811" i="1"/>
  <c r="A1811" i="1"/>
  <c r="F1810" i="1"/>
  <c r="E1810" i="1"/>
  <c r="D1810" i="1"/>
  <c r="C1810" i="1"/>
  <c r="B1810" i="1"/>
  <c r="A1810" i="1"/>
  <c r="F1809" i="1"/>
  <c r="E1809" i="1"/>
  <c r="D1809" i="1"/>
  <c r="C1809" i="1"/>
  <c r="B1809" i="1"/>
  <c r="A1809" i="1"/>
  <c r="F1808" i="1"/>
  <c r="E1808" i="1"/>
  <c r="D1808" i="1"/>
  <c r="C1808" i="1"/>
  <c r="B1808" i="1"/>
  <c r="A1808" i="1"/>
  <c r="F1807" i="1"/>
  <c r="E1807" i="1"/>
  <c r="D1807" i="1"/>
  <c r="C1807" i="1"/>
  <c r="B1807" i="1"/>
  <c r="A1807" i="1"/>
  <c r="F1806" i="1"/>
  <c r="E1806" i="1"/>
  <c r="D1806" i="1"/>
  <c r="C1806" i="1"/>
  <c r="B1806" i="1"/>
  <c r="A1806" i="1"/>
  <c r="F1805" i="1"/>
  <c r="E1805" i="1"/>
  <c r="D1805" i="1"/>
  <c r="C1805" i="1"/>
  <c r="B1805" i="1"/>
  <c r="A1805" i="1"/>
  <c r="F1804" i="1"/>
  <c r="E1804" i="1"/>
  <c r="D1804" i="1"/>
  <c r="C1804" i="1"/>
  <c r="B1804" i="1"/>
  <c r="A1804" i="1"/>
  <c r="F1803" i="1"/>
  <c r="E1803" i="1"/>
  <c r="D1803" i="1"/>
  <c r="C1803" i="1"/>
  <c r="B1803" i="1"/>
  <c r="A1803" i="1"/>
  <c r="F1802" i="1"/>
  <c r="E1802" i="1"/>
  <c r="D1802" i="1"/>
  <c r="C1802" i="1"/>
  <c r="B1802" i="1"/>
  <c r="A1802" i="1"/>
  <c r="F1801" i="1"/>
  <c r="E1801" i="1"/>
  <c r="D1801" i="1"/>
  <c r="C1801" i="1"/>
  <c r="B1801" i="1"/>
  <c r="A1801" i="1"/>
  <c r="F1800" i="1"/>
  <c r="E1800" i="1"/>
  <c r="D1800" i="1"/>
  <c r="C1800" i="1"/>
  <c r="B1800" i="1"/>
  <c r="A1800" i="1"/>
  <c r="F1799" i="1"/>
  <c r="E1799" i="1"/>
  <c r="D1799" i="1"/>
  <c r="C1799" i="1"/>
  <c r="B1799" i="1"/>
  <c r="A1799" i="1"/>
  <c r="F1798" i="1"/>
  <c r="E1798" i="1"/>
  <c r="D1798" i="1"/>
  <c r="C1798" i="1"/>
  <c r="B1798" i="1"/>
  <c r="A1798" i="1"/>
  <c r="F1797" i="1"/>
  <c r="E1797" i="1"/>
  <c r="D1797" i="1"/>
  <c r="C1797" i="1"/>
  <c r="B1797" i="1"/>
  <c r="A1797" i="1"/>
  <c r="F1796" i="1"/>
  <c r="E1796" i="1"/>
  <c r="D1796" i="1"/>
  <c r="C1796" i="1"/>
  <c r="B1796" i="1"/>
  <c r="A1796" i="1"/>
  <c r="F1795" i="1"/>
  <c r="E1795" i="1"/>
  <c r="D1795" i="1"/>
  <c r="C1795" i="1"/>
  <c r="B1795" i="1"/>
  <c r="A1795" i="1"/>
  <c r="F1794" i="1"/>
  <c r="E1794" i="1"/>
  <c r="D1794" i="1"/>
  <c r="C1794" i="1"/>
  <c r="B1794" i="1"/>
  <c r="A1794" i="1"/>
  <c r="F1793" i="1"/>
  <c r="E1793" i="1"/>
  <c r="D1793" i="1"/>
  <c r="C1793" i="1"/>
  <c r="B1793" i="1"/>
  <c r="A1793" i="1"/>
  <c r="F1792" i="1"/>
  <c r="E1792" i="1"/>
  <c r="D1792" i="1"/>
  <c r="C1792" i="1"/>
  <c r="B1792" i="1"/>
  <c r="A1792" i="1"/>
  <c r="F1791" i="1"/>
  <c r="E1791" i="1"/>
  <c r="D1791" i="1"/>
  <c r="C1791" i="1"/>
  <c r="B1791" i="1"/>
  <c r="A1791" i="1"/>
  <c r="F1790" i="1"/>
  <c r="E1790" i="1"/>
  <c r="D1790" i="1"/>
  <c r="C1790" i="1"/>
  <c r="B1790" i="1"/>
  <c r="A1790" i="1"/>
  <c r="F1789" i="1"/>
  <c r="E1789" i="1"/>
  <c r="D1789" i="1"/>
  <c r="C1789" i="1"/>
  <c r="B1789" i="1"/>
  <c r="A1789" i="1"/>
  <c r="F1788" i="1"/>
  <c r="E1788" i="1"/>
  <c r="D1788" i="1"/>
  <c r="C1788" i="1"/>
  <c r="B1788" i="1"/>
  <c r="A1788" i="1"/>
  <c r="F1787" i="1"/>
  <c r="E1787" i="1"/>
  <c r="D1787" i="1"/>
  <c r="C1787" i="1"/>
  <c r="B1787" i="1"/>
  <c r="A1787" i="1"/>
  <c r="F1786" i="1"/>
  <c r="E1786" i="1"/>
  <c r="D1786" i="1"/>
  <c r="C1786" i="1"/>
  <c r="B1786" i="1"/>
  <c r="A1786" i="1"/>
  <c r="F1785" i="1"/>
  <c r="E1785" i="1"/>
  <c r="D1785" i="1"/>
  <c r="C1785" i="1"/>
  <c r="B1785" i="1"/>
  <c r="A1785" i="1"/>
  <c r="F1784" i="1"/>
  <c r="E1784" i="1"/>
  <c r="D1784" i="1"/>
  <c r="C1784" i="1"/>
  <c r="B1784" i="1"/>
  <c r="A1784" i="1"/>
  <c r="F1783" i="1"/>
  <c r="E1783" i="1"/>
  <c r="D1783" i="1"/>
  <c r="C1783" i="1"/>
  <c r="B1783" i="1"/>
  <c r="A1783" i="1"/>
  <c r="F1782" i="1"/>
  <c r="E1782" i="1"/>
  <c r="D1782" i="1"/>
  <c r="C1782" i="1"/>
  <c r="B1782" i="1"/>
  <c r="A1782" i="1"/>
  <c r="F1781" i="1"/>
  <c r="E1781" i="1"/>
  <c r="D1781" i="1"/>
  <c r="C1781" i="1"/>
  <c r="B1781" i="1"/>
  <c r="A1781" i="1"/>
  <c r="F1780" i="1"/>
  <c r="E1780" i="1"/>
  <c r="D1780" i="1"/>
  <c r="C1780" i="1"/>
  <c r="B1780" i="1"/>
  <c r="A1780" i="1"/>
  <c r="F1779" i="1"/>
  <c r="E1779" i="1"/>
  <c r="D1779" i="1"/>
  <c r="C1779" i="1"/>
  <c r="B1779" i="1"/>
  <c r="A1779" i="1"/>
  <c r="F1778" i="1"/>
  <c r="E1778" i="1"/>
  <c r="D1778" i="1"/>
  <c r="C1778" i="1"/>
  <c r="B1778" i="1"/>
  <c r="A1778" i="1"/>
  <c r="F1777" i="1"/>
  <c r="E1777" i="1"/>
  <c r="D1777" i="1"/>
  <c r="C1777" i="1"/>
  <c r="B1777" i="1"/>
  <c r="A1777" i="1"/>
  <c r="F1776" i="1"/>
  <c r="E1776" i="1"/>
  <c r="D1776" i="1"/>
  <c r="C1776" i="1"/>
  <c r="B1776" i="1"/>
  <c r="A1776" i="1"/>
  <c r="F1775" i="1"/>
  <c r="E1775" i="1"/>
  <c r="D1775" i="1"/>
  <c r="C1775" i="1"/>
  <c r="B1775" i="1"/>
  <c r="A1775" i="1"/>
  <c r="F1774" i="1"/>
  <c r="E1774" i="1"/>
  <c r="D1774" i="1"/>
  <c r="C1774" i="1"/>
  <c r="B1774" i="1"/>
  <c r="A1774" i="1"/>
  <c r="F1773" i="1"/>
  <c r="E1773" i="1"/>
  <c r="D1773" i="1"/>
  <c r="C1773" i="1"/>
  <c r="B1773" i="1"/>
  <c r="A1773" i="1"/>
  <c r="F1772" i="1"/>
  <c r="E1772" i="1"/>
  <c r="D1772" i="1"/>
  <c r="C1772" i="1"/>
  <c r="B1772" i="1"/>
  <c r="A1772" i="1"/>
  <c r="F1771" i="1"/>
  <c r="E1771" i="1"/>
  <c r="D1771" i="1"/>
  <c r="C1771" i="1"/>
  <c r="B1771" i="1"/>
  <c r="A1771" i="1"/>
  <c r="F1770" i="1"/>
  <c r="E1770" i="1"/>
  <c r="D1770" i="1"/>
  <c r="C1770" i="1"/>
  <c r="B1770" i="1"/>
  <c r="A1770" i="1"/>
  <c r="F1769" i="1"/>
  <c r="E1769" i="1"/>
  <c r="D1769" i="1"/>
  <c r="C1769" i="1"/>
  <c r="B1769" i="1"/>
  <c r="A1769" i="1"/>
  <c r="F1768" i="1"/>
  <c r="E1768" i="1"/>
  <c r="D1768" i="1"/>
  <c r="C1768" i="1"/>
  <c r="B1768" i="1"/>
  <c r="A1768" i="1"/>
  <c r="F1767" i="1"/>
  <c r="E1767" i="1"/>
  <c r="D1767" i="1"/>
  <c r="C1767" i="1"/>
  <c r="B1767" i="1"/>
  <c r="A1767" i="1"/>
  <c r="F1766" i="1"/>
  <c r="E1766" i="1"/>
  <c r="D1766" i="1"/>
  <c r="C1766" i="1"/>
  <c r="B1766" i="1"/>
  <c r="A1766" i="1"/>
  <c r="F1765" i="1"/>
  <c r="E1765" i="1"/>
  <c r="D1765" i="1"/>
  <c r="C1765" i="1"/>
  <c r="B1765" i="1"/>
  <c r="A1765" i="1"/>
  <c r="F1764" i="1"/>
  <c r="E1764" i="1"/>
  <c r="D1764" i="1"/>
  <c r="C1764" i="1"/>
  <c r="B1764" i="1"/>
  <c r="A1764" i="1"/>
  <c r="F1763" i="1"/>
  <c r="E1763" i="1"/>
  <c r="D1763" i="1"/>
  <c r="C1763" i="1"/>
  <c r="B1763" i="1"/>
  <c r="A1763" i="1"/>
  <c r="F1762" i="1"/>
  <c r="E1762" i="1"/>
  <c r="D1762" i="1"/>
  <c r="C1762" i="1"/>
  <c r="B1762" i="1"/>
  <c r="A1762" i="1"/>
  <c r="F1761" i="1"/>
  <c r="E1761" i="1"/>
  <c r="D1761" i="1"/>
  <c r="C1761" i="1"/>
  <c r="B1761" i="1"/>
  <c r="A1761" i="1"/>
  <c r="F1760" i="1"/>
  <c r="E1760" i="1"/>
  <c r="D1760" i="1"/>
  <c r="C1760" i="1"/>
  <c r="B1760" i="1"/>
  <c r="A1760" i="1"/>
  <c r="F1759" i="1"/>
  <c r="E1759" i="1"/>
  <c r="D1759" i="1"/>
  <c r="C1759" i="1"/>
  <c r="B1759" i="1"/>
  <c r="A1759" i="1"/>
  <c r="F1758" i="1"/>
  <c r="E1758" i="1"/>
  <c r="D1758" i="1"/>
  <c r="C1758" i="1"/>
  <c r="B1758" i="1"/>
  <c r="A1758" i="1"/>
  <c r="F1757" i="1"/>
  <c r="E1757" i="1"/>
  <c r="D1757" i="1"/>
  <c r="C1757" i="1"/>
  <c r="B1757" i="1"/>
  <c r="A1757" i="1"/>
  <c r="F1756" i="1"/>
  <c r="E1756" i="1"/>
  <c r="D1756" i="1"/>
  <c r="C1756" i="1"/>
  <c r="B1756" i="1"/>
  <c r="A1756" i="1"/>
  <c r="F1755" i="1"/>
  <c r="E1755" i="1"/>
  <c r="D1755" i="1"/>
  <c r="C1755" i="1"/>
  <c r="B1755" i="1"/>
  <c r="A1755" i="1"/>
  <c r="F1754" i="1"/>
  <c r="E1754" i="1"/>
  <c r="D1754" i="1"/>
  <c r="C1754" i="1"/>
  <c r="B1754" i="1"/>
  <c r="A1754" i="1"/>
  <c r="F1753" i="1"/>
  <c r="E1753" i="1"/>
  <c r="D1753" i="1"/>
  <c r="C1753" i="1"/>
  <c r="B1753" i="1"/>
  <c r="A1753" i="1"/>
  <c r="F1752" i="1"/>
  <c r="E1752" i="1"/>
  <c r="D1752" i="1"/>
  <c r="C1752" i="1"/>
  <c r="B1752" i="1"/>
  <c r="A1752" i="1"/>
  <c r="F1751" i="1"/>
  <c r="E1751" i="1"/>
  <c r="D1751" i="1"/>
  <c r="C1751" i="1"/>
  <c r="B1751" i="1"/>
  <c r="A1751" i="1"/>
  <c r="F1750" i="1"/>
  <c r="E1750" i="1"/>
  <c r="D1750" i="1"/>
  <c r="C1750" i="1"/>
  <c r="B1750" i="1"/>
  <c r="A1750" i="1"/>
  <c r="F1749" i="1"/>
  <c r="E1749" i="1"/>
  <c r="D1749" i="1"/>
  <c r="C1749" i="1"/>
  <c r="B1749" i="1"/>
  <c r="A1749" i="1"/>
  <c r="F1748" i="1"/>
  <c r="E1748" i="1"/>
  <c r="D1748" i="1"/>
  <c r="C1748" i="1"/>
  <c r="B1748" i="1"/>
  <c r="A1748" i="1"/>
  <c r="F1747" i="1"/>
  <c r="E1747" i="1"/>
  <c r="D1747" i="1"/>
  <c r="C1747" i="1"/>
  <c r="B1747" i="1"/>
  <c r="A1747" i="1"/>
  <c r="F1746" i="1"/>
  <c r="E1746" i="1"/>
  <c r="D1746" i="1"/>
  <c r="C1746" i="1"/>
  <c r="B1746" i="1"/>
  <c r="A1746" i="1"/>
  <c r="F1745" i="1"/>
  <c r="E1745" i="1"/>
  <c r="D1745" i="1"/>
  <c r="C1745" i="1"/>
  <c r="B1745" i="1"/>
  <c r="A1745" i="1"/>
  <c r="F1744" i="1"/>
  <c r="E1744" i="1"/>
  <c r="D1744" i="1"/>
  <c r="C1744" i="1"/>
  <c r="B1744" i="1"/>
  <c r="A1744" i="1"/>
  <c r="F1743" i="1"/>
  <c r="E1743" i="1"/>
  <c r="D1743" i="1"/>
  <c r="C1743" i="1"/>
  <c r="B1743" i="1"/>
  <c r="A1743" i="1"/>
  <c r="F1742" i="1"/>
  <c r="E1742" i="1"/>
  <c r="D1742" i="1"/>
  <c r="C1742" i="1"/>
  <c r="B1742" i="1"/>
  <c r="A1742" i="1"/>
  <c r="F1741" i="1"/>
  <c r="E1741" i="1"/>
  <c r="D1741" i="1"/>
  <c r="C1741" i="1"/>
  <c r="B1741" i="1"/>
  <c r="A1741" i="1"/>
  <c r="F1740" i="1"/>
  <c r="E1740" i="1"/>
  <c r="D1740" i="1"/>
  <c r="C1740" i="1"/>
  <c r="B1740" i="1"/>
  <c r="A1740" i="1"/>
  <c r="F1739" i="1"/>
  <c r="E1739" i="1"/>
  <c r="D1739" i="1"/>
  <c r="C1739" i="1"/>
  <c r="B1739" i="1"/>
  <c r="A1739" i="1"/>
  <c r="F1738" i="1"/>
  <c r="E1738" i="1"/>
  <c r="D1738" i="1"/>
  <c r="C1738" i="1"/>
  <c r="B1738" i="1"/>
  <c r="A1738" i="1"/>
  <c r="F1737" i="1"/>
  <c r="E1737" i="1"/>
  <c r="D1737" i="1"/>
  <c r="C1737" i="1"/>
  <c r="B1737" i="1"/>
  <c r="A1737" i="1"/>
  <c r="F1736" i="1"/>
  <c r="E1736" i="1"/>
  <c r="D1736" i="1"/>
  <c r="C1736" i="1"/>
  <c r="B1736" i="1"/>
  <c r="A1736" i="1"/>
  <c r="F1735" i="1"/>
  <c r="E1735" i="1"/>
  <c r="D1735" i="1"/>
  <c r="C1735" i="1"/>
  <c r="B1735" i="1"/>
  <c r="A1735" i="1"/>
  <c r="F1734" i="1"/>
  <c r="E1734" i="1"/>
  <c r="D1734" i="1"/>
  <c r="C1734" i="1"/>
  <c r="B1734" i="1"/>
  <c r="A1734" i="1"/>
  <c r="F1733" i="1"/>
  <c r="E1733" i="1"/>
  <c r="D1733" i="1"/>
  <c r="C1733" i="1"/>
  <c r="B1733" i="1"/>
  <c r="A1733" i="1"/>
  <c r="F1732" i="1"/>
  <c r="E1732" i="1"/>
  <c r="D1732" i="1"/>
  <c r="C1732" i="1"/>
  <c r="B1732" i="1"/>
  <c r="A1732" i="1"/>
  <c r="F1731" i="1"/>
  <c r="E1731" i="1"/>
  <c r="D1731" i="1"/>
  <c r="C1731" i="1"/>
  <c r="B1731" i="1"/>
  <c r="A1731" i="1"/>
  <c r="F1730" i="1"/>
  <c r="E1730" i="1"/>
  <c r="D1730" i="1"/>
  <c r="C1730" i="1"/>
  <c r="B1730" i="1"/>
  <c r="A1730" i="1"/>
  <c r="F1729" i="1"/>
  <c r="E1729" i="1"/>
  <c r="D1729" i="1"/>
  <c r="C1729" i="1"/>
  <c r="B1729" i="1"/>
  <c r="A1729" i="1"/>
  <c r="F1728" i="1"/>
  <c r="E1728" i="1"/>
  <c r="D1728" i="1"/>
  <c r="C1728" i="1"/>
  <c r="B1728" i="1"/>
  <c r="A1728" i="1"/>
  <c r="F1727" i="1"/>
  <c r="E1727" i="1"/>
  <c r="D1727" i="1"/>
  <c r="C1727" i="1"/>
  <c r="B1727" i="1"/>
  <c r="A1727" i="1"/>
  <c r="F1726" i="1"/>
  <c r="E1726" i="1"/>
  <c r="D1726" i="1"/>
  <c r="C1726" i="1"/>
  <c r="B1726" i="1"/>
  <c r="A1726" i="1"/>
  <c r="F1725" i="1"/>
  <c r="E1725" i="1"/>
  <c r="D1725" i="1"/>
  <c r="C1725" i="1"/>
  <c r="B1725" i="1"/>
  <c r="A1725" i="1"/>
  <c r="F1724" i="1"/>
  <c r="E1724" i="1"/>
  <c r="D1724" i="1"/>
  <c r="C1724" i="1"/>
  <c r="B1724" i="1"/>
  <c r="A1724" i="1"/>
  <c r="F1723" i="1"/>
  <c r="E1723" i="1"/>
  <c r="D1723" i="1"/>
  <c r="C1723" i="1"/>
  <c r="B1723" i="1"/>
  <c r="A1723" i="1"/>
  <c r="F1722" i="1"/>
  <c r="E1722" i="1"/>
  <c r="D1722" i="1"/>
  <c r="C1722" i="1"/>
  <c r="B1722" i="1"/>
  <c r="A1722" i="1"/>
  <c r="F1721" i="1"/>
  <c r="E1721" i="1"/>
  <c r="D1721" i="1"/>
  <c r="C1721" i="1"/>
  <c r="B1721" i="1"/>
  <c r="A1721" i="1"/>
  <c r="F1720" i="1"/>
  <c r="E1720" i="1"/>
  <c r="D1720" i="1"/>
  <c r="C1720" i="1"/>
  <c r="B1720" i="1"/>
  <c r="A1720" i="1"/>
  <c r="F1719" i="1"/>
  <c r="E1719" i="1"/>
  <c r="D1719" i="1"/>
  <c r="C1719" i="1"/>
  <c r="B1719" i="1"/>
  <c r="A1719" i="1"/>
  <c r="F1718" i="1"/>
  <c r="E1718" i="1"/>
  <c r="D1718" i="1"/>
  <c r="C1718" i="1"/>
  <c r="B1718" i="1"/>
  <c r="A1718" i="1"/>
  <c r="F1717" i="1"/>
  <c r="E1717" i="1"/>
  <c r="D1717" i="1"/>
  <c r="C1717" i="1"/>
  <c r="B1717" i="1"/>
  <c r="A1717" i="1"/>
  <c r="F1716" i="1"/>
  <c r="E1716" i="1"/>
  <c r="D1716" i="1"/>
  <c r="C1716" i="1"/>
  <c r="B1716" i="1"/>
  <c r="A1716" i="1"/>
  <c r="F1715" i="1"/>
  <c r="E1715" i="1"/>
  <c r="D1715" i="1"/>
  <c r="C1715" i="1"/>
  <c r="B1715" i="1"/>
  <c r="A1715" i="1"/>
  <c r="F1714" i="1"/>
  <c r="E1714" i="1"/>
  <c r="D1714" i="1"/>
  <c r="C1714" i="1"/>
  <c r="B1714" i="1"/>
  <c r="A1714" i="1"/>
  <c r="F1713" i="1"/>
  <c r="E1713" i="1"/>
  <c r="D1713" i="1"/>
  <c r="C1713" i="1"/>
  <c r="B1713" i="1"/>
  <c r="A1713" i="1"/>
  <c r="F1712" i="1"/>
  <c r="E1712" i="1"/>
  <c r="D1712" i="1"/>
  <c r="C1712" i="1"/>
  <c r="B1712" i="1"/>
  <c r="A1712" i="1"/>
  <c r="F1711" i="1"/>
  <c r="E1711" i="1"/>
  <c r="D1711" i="1"/>
  <c r="C1711" i="1"/>
  <c r="B1711" i="1"/>
  <c r="A1711" i="1"/>
  <c r="F1710" i="1"/>
  <c r="E1710" i="1"/>
  <c r="D1710" i="1"/>
  <c r="C1710" i="1"/>
  <c r="B1710" i="1"/>
  <c r="A1710" i="1"/>
  <c r="F1709" i="1"/>
  <c r="E1709" i="1"/>
  <c r="D1709" i="1"/>
  <c r="C1709" i="1"/>
  <c r="B1709" i="1"/>
  <c r="A1709" i="1"/>
  <c r="F1708" i="1"/>
  <c r="E1708" i="1"/>
  <c r="D1708" i="1"/>
  <c r="C1708" i="1"/>
  <c r="B1708" i="1"/>
  <c r="A1708" i="1"/>
  <c r="F1707" i="1"/>
  <c r="E1707" i="1"/>
  <c r="D1707" i="1"/>
  <c r="C1707" i="1"/>
  <c r="B1707" i="1"/>
  <c r="A1707" i="1"/>
  <c r="F1706" i="1"/>
  <c r="E1706" i="1"/>
  <c r="D1706" i="1"/>
  <c r="C1706" i="1"/>
  <c r="B1706" i="1"/>
  <c r="A1706" i="1"/>
  <c r="F1705" i="1"/>
  <c r="E1705" i="1"/>
  <c r="D1705" i="1"/>
  <c r="C1705" i="1"/>
  <c r="B1705" i="1"/>
  <c r="A1705" i="1"/>
  <c r="F1704" i="1"/>
  <c r="E1704" i="1"/>
  <c r="D1704" i="1"/>
  <c r="C1704" i="1"/>
  <c r="B1704" i="1"/>
  <c r="A1704" i="1"/>
  <c r="F1703" i="1"/>
  <c r="E1703" i="1"/>
  <c r="D1703" i="1"/>
  <c r="C1703" i="1"/>
  <c r="B1703" i="1"/>
  <c r="A1703" i="1"/>
  <c r="F1702" i="1"/>
  <c r="E1702" i="1"/>
  <c r="D1702" i="1"/>
  <c r="C1702" i="1"/>
  <c r="B1702" i="1"/>
  <c r="A1702" i="1"/>
  <c r="F1701" i="1"/>
  <c r="E1701" i="1"/>
  <c r="D1701" i="1"/>
  <c r="C1701" i="1"/>
  <c r="B1701" i="1"/>
  <c r="A1701" i="1"/>
  <c r="F1700" i="1"/>
  <c r="E1700" i="1"/>
  <c r="D1700" i="1"/>
  <c r="C1700" i="1"/>
  <c r="B1700" i="1"/>
  <c r="A1700" i="1"/>
  <c r="F1699" i="1"/>
  <c r="E1699" i="1"/>
  <c r="D1699" i="1"/>
  <c r="C1699" i="1"/>
  <c r="B1699" i="1"/>
  <c r="A1699" i="1"/>
  <c r="F1698" i="1"/>
  <c r="E1698" i="1"/>
  <c r="D1698" i="1"/>
  <c r="C1698" i="1"/>
  <c r="B1698" i="1"/>
  <c r="A1698" i="1"/>
  <c r="F1697" i="1"/>
  <c r="E1697" i="1"/>
  <c r="D1697" i="1"/>
  <c r="C1697" i="1"/>
  <c r="B1697" i="1"/>
  <c r="A1697" i="1"/>
  <c r="F1696" i="1"/>
  <c r="E1696" i="1"/>
  <c r="D1696" i="1"/>
  <c r="C1696" i="1"/>
  <c r="B1696" i="1"/>
  <c r="A1696" i="1"/>
  <c r="F1695" i="1"/>
  <c r="E1695" i="1"/>
  <c r="D1695" i="1"/>
  <c r="C1695" i="1"/>
  <c r="B1695" i="1"/>
  <c r="A1695" i="1"/>
  <c r="F1694" i="1"/>
  <c r="E1694" i="1"/>
  <c r="D1694" i="1"/>
  <c r="C1694" i="1"/>
  <c r="B1694" i="1"/>
  <c r="A1694" i="1"/>
  <c r="F1693" i="1"/>
  <c r="E1693" i="1"/>
  <c r="D1693" i="1"/>
  <c r="C1693" i="1"/>
  <c r="B1693" i="1"/>
  <c r="A1693" i="1"/>
  <c r="F1692" i="1"/>
  <c r="E1692" i="1"/>
  <c r="D1692" i="1"/>
  <c r="C1692" i="1"/>
  <c r="B1692" i="1"/>
  <c r="A1692" i="1"/>
  <c r="F1691" i="1"/>
  <c r="E1691" i="1"/>
  <c r="D1691" i="1"/>
  <c r="C1691" i="1"/>
  <c r="B1691" i="1"/>
  <c r="A1691" i="1"/>
  <c r="F1690" i="1"/>
  <c r="E1690" i="1"/>
  <c r="D1690" i="1"/>
  <c r="C1690" i="1"/>
  <c r="B1690" i="1"/>
  <c r="A1690" i="1"/>
  <c r="F1689" i="1"/>
  <c r="E1689" i="1"/>
  <c r="D1689" i="1"/>
  <c r="C1689" i="1"/>
  <c r="B1689" i="1"/>
  <c r="A1689" i="1"/>
  <c r="F1688" i="1"/>
  <c r="E1688" i="1"/>
  <c r="D1688" i="1"/>
  <c r="C1688" i="1"/>
  <c r="B1688" i="1"/>
  <c r="A1688" i="1"/>
  <c r="F1687" i="1"/>
  <c r="E1687" i="1"/>
  <c r="D1687" i="1"/>
  <c r="C1687" i="1"/>
  <c r="B1687" i="1"/>
  <c r="A1687" i="1"/>
  <c r="F1686" i="1"/>
  <c r="E1686" i="1"/>
  <c r="D1686" i="1"/>
  <c r="C1686" i="1"/>
  <c r="B1686" i="1"/>
  <c r="A1686" i="1"/>
  <c r="F1685" i="1"/>
  <c r="E1685" i="1"/>
  <c r="D1685" i="1"/>
  <c r="C1685" i="1"/>
  <c r="B1685" i="1"/>
  <c r="A1685" i="1"/>
  <c r="F1684" i="1"/>
  <c r="E1684" i="1"/>
  <c r="D1684" i="1"/>
  <c r="C1684" i="1"/>
  <c r="B1684" i="1"/>
  <c r="A1684" i="1"/>
  <c r="F1683" i="1"/>
  <c r="E1683" i="1"/>
  <c r="D1683" i="1"/>
  <c r="C1683" i="1"/>
  <c r="B1683" i="1"/>
  <c r="A1683" i="1"/>
  <c r="F1682" i="1"/>
  <c r="E1682" i="1"/>
  <c r="D1682" i="1"/>
  <c r="C1682" i="1"/>
  <c r="B1682" i="1"/>
  <c r="A1682" i="1"/>
  <c r="F1681" i="1"/>
  <c r="E1681" i="1"/>
  <c r="D1681" i="1"/>
  <c r="C1681" i="1"/>
  <c r="B1681" i="1"/>
  <c r="A1681" i="1"/>
  <c r="F1680" i="1"/>
  <c r="E1680" i="1"/>
  <c r="D1680" i="1"/>
  <c r="C1680" i="1"/>
  <c r="B1680" i="1"/>
  <c r="A1680" i="1"/>
  <c r="F1679" i="1"/>
  <c r="E1679" i="1"/>
  <c r="D1679" i="1"/>
  <c r="C1679" i="1"/>
  <c r="B1679" i="1"/>
  <c r="A1679" i="1"/>
  <c r="F1678" i="1"/>
  <c r="E1678" i="1"/>
  <c r="D1678" i="1"/>
  <c r="C1678" i="1"/>
  <c r="B1678" i="1"/>
  <c r="A1678" i="1"/>
  <c r="F1677" i="1"/>
  <c r="E1677" i="1"/>
  <c r="D1677" i="1"/>
  <c r="C1677" i="1"/>
  <c r="B1677" i="1"/>
  <c r="A1677" i="1"/>
  <c r="F1676" i="1"/>
  <c r="E1676" i="1"/>
  <c r="D1676" i="1"/>
  <c r="C1676" i="1"/>
  <c r="B1676" i="1"/>
  <c r="A1676" i="1"/>
  <c r="F1675" i="1"/>
  <c r="E1675" i="1"/>
  <c r="D1675" i="1"/>
  <c r="C1675" i="1"/>
  <c r="B1675" i="1"/>
  <c r="A1675" i="1"/>
  <c r="F1674" i="1"/>
  <c r="E1674" i="1"/>
  <c r="D1674" i="1"/>
  <c r="C1674" i="1"/>
  <c r="B1674" i="1"/>
  <c r="A1674" i="1"/>
  <c r="F1673" i="1"/>
  <c r="E1673" i="1"/>
  <c r="D1673" i="1"/>
  <c r="C1673" i="1"/>
  <c r="B1673" i="1"/>
  <c r="A1673" i="1"/>
  <c r="F1672" i="1"/>
  <c r="E1672" i="1"/>
  <c r="D1672" i="1"/>
  <c r="C1672" i="1"/>
  <c r="B1672" i="1"/>
  <c r="A1672" i="1"/>
  <c r="F1671" i="1"/>
  <c r="E1671" i="1"/>
  <c r="D1671" i="1"/>
  <c r="C1671" i="1"/>
  <c r="B1671" i="1"/>
  <c r="A1671" i="1"/>
  <c r="F1670" i="1"/>
  <c r="E1670" i="1"/>
  <c r="D1670" i="1"/>
  <c r="C1670" i="1"/>
  <c r="B1670" i="1"/>
  <c r="A1670" i="1"/>
  <c r="F1669" i="1"/>
  <c r="E1669" i="1"/>
  <c r="D1669" i="1"/>
  <c r="C1669" i="1"/>
  <c r="B1669" i="1"/>
  <c r="A1669" i="1"/>
  <c r="F1668" i="1"/>
  <c r="E1668" i="1"/>
  <c r="D1668" i="1"/>
  <c r="C1668" i="1"/>
  <c r="B1668" i="1"/>
  <c r="A1668" i="1"/>
  <c r="F1667" i="1"/>
  <c r="E1667" i="1"/>
  <c r="D1667" i="1"/>
  <c r="C1667" i="1"/>
  <c r="B1667" i="1"/>
  <c r="A1667" i="1"/>
  <c r="F1666" i="1"/>
  <c r="E1666" i="1"/>
  <c r="D1666" i="1"/>
  <c r="C1666" i="1"/>
  <c r="B1666" i="1"/>
  <c r="A1666" i="1"/>
  <c r="F1665" i="1"/>
  <c r="E1665" i="1"/>
  <c r="D1665" i="1"/>
  <c r="C1665" i="1"/>
  <c r="B1665" i="1"/>
  <c r="A1665" i="1"/>
  <c r="F1664" i="1"/>
  <c r="E1664" i="1"/>
  <c r="D1664" i="1"/>
  <c r="C1664" i="1"/>
  <c r="B1664" i="1"/>
  <c r="A1664" i="1"/>
  <c r="F1663" i="1"/>
  <c r="E1663" i="1"/>
  <c r="D1663" i="1"/>
  <c r="C1663" i="1"/>
  <c r="B1663" i="1"/>
  <c r="A1663" i="1"/>
  <c r="F1662" i="1"/>
  <c r="E1662" i="1"/>
  <c r="D1662" i="1"/>
  <c r="C1662" i="1"/>
  <c r="B1662" i="1"/>
  <c r="A1662" i="1"/>
  <c r="F1661" i="1"/>
  <c r="E1661" i="1"/>
  <c r="D1661" i="1"/>
  <c r="C1661" i="1"/>
  <c r="B1661" i="1"/>
  <c r="A1661" i="1"/>
  <c r="F1660" i="1"/>
  <c r="E1660" i="1"/>
  <c r="D1660" i="1"/>
  <c r="C1660" i="1"/>
  <c r="B1660" i="1"/>
  <c r="A1660" i="1"/>
  <c r="F1659" i="1"/>
  <c r="E1659" i="1"/>
  <c r="D1659" i="1"/>
  <c r="C1659" i="1"/>
  <c r="B1659" i="1"/>
  <c r="A1659" i="1"/>
  <c r="F1658" i="1"/>
  <c r="E1658" i="1"/>
  <c r="D1658" i="1"/>
  <c r="C1658" i="1"/>
  <c r="B1658" i="1"/>
  <c r="A1658" i="1"/>
  <c r="F1657" i="1"/>
  <c r="E1657" i="1"/>
  <c r="D1657" i="1"/>
  <c r="C1657" i="1"/>
  <c r="B1657" i="1"/>
  <c r="A1657" i="1"/>
  <c r="F1656" i="1"/>
  <c r="E1656" i="1"/>
  <c r="D1656" i="1"/>
  <c r="C1656" i="1"/>
  <c r="B1656" i="1"/>
  <c r="A1656" i="1"/>
  <c r="F1655" i="1"/>
  <c r="E1655" i="1"/>
  <c r="D1655" i="1"/>
  <c r="C1655" i="1"/>
  <c r="B1655" i="1"/>
  <c r="A1655" i="1"/>
  <c r="F1654" i="1"/>
  <c r="E1654" i="1"/>
  <c r="D1654" i="1"/>
  <c r="C1654" i="1"/>
  <c r="B1654" i="1"/>
  <c r="A1654" i="1"/>
  <c r="F1653" i="1"/>
  <c r="E1653" i="1"/>
  <c r="D1653" i="1"/>
  <c r="C1653" i="1"/>
  <c r="B1653" i="1"/>
  <c r="A1653" i="1"/>
  <c r="F1652" i="1"/>
  <c r="E1652" i="1"/>
  <c r="D1652" i="1"/>
  <c r="C1652" i="1"/>
  <c r="B1652" i="1"/>
  <c r="A1652" i="1"/>
  <c r="F1651" i="1"/>
  <c r="E1651" i="1"/>
  <c r="D1651" i="1"/>
  <c r="C1651" i="1"/>
  <c r="B1651" i="1"/>
  <c r="A1651" i="1"/>
  <c r="F1650" i="1"/>
  <c r="E1650" i="1"/>
  <c r="D1650" i="1"/>
  <c r="C1650" i="1"/>
  <c r="B1650" i="1"/>
  <c r="A1650" i="1"/>
  <c r="F1649" i="1"/>
  <c r="E1649" i="1"/>
  <c r="D1649" i="1"/>
  <c r="C1649" i="1"/>
  <c r="B1649" i="1"/>
  <c r="A1649" i="1"/>
  <c r="F1648" i="1"/>
  <c r="E1648" i="1"/>
  <c r="D1648" i="1"/>
  <c r="C1648" i="1"/>
  <c r="B1648" i="1"/>
  <c r="A1648" i="1"/>
  <c r="F1647" i="1"/>
  <c r="E1647" i="1"/>
  <c r="D1647" i="1"/>
  <c r="C1647" i="1"/>
  <c r="B1647" i="1"/>
  <c r="A1647" i="1"/>
  <c r="F1646" i="1"/>
  <c r="E1646" i="1"/>
  <c r="D1646" i="1"/>
  <c r="C1646" i="1"/>
  <c r="B1646" i="1"/>
  <c r="A1646" i="1"/>
  <c r="F1645" i="1"/>
  <c r="E1645" i="1"/>
  <c r="D1645" i="1"/>
  <c r="C1645" i="1"/>
  <c r="B1645" i="1"/>
  <c r="A1645" i="1"/>
  <c r="F1644" i="1"/>
  <c r="E1644" i="1"/>
  <c r="D1644" i="1"/>
  <c r="C1644" i="1"/>
  <c r="B1644" i="1"/>
  <c r="A1644" i="1"/>
  <c r="F1643" i="1"/>
  <c r="E1643" i="1"/>
  <c r="D1643" i="1"/>
  <c r="C1643" i="1"/>
  <c r="B1643" i="1"/>
  <c r="A1643" i="1"/>
  <c r="F1642" i="1"/>
  <c r="E1642" i="1"/>
  <c r="D1642" i="1"/>
  <c r="C1642" i="1"/>
  <c r="B1642" i="1"/>
  <c r="A1642" i="1"/>
  <c r="F1641" i="1"/>
  <c r="E1641" i="1"/>
  <c r="D1641" i="1"/>
  <c r="C1641" i="1"/>
  <c r="B1641" i="1"/>
  <c r="A1641" i="1"/>
  <c r="F1640" i="1"/>
  <c r="E1640" i="1"/>
  <c r="D1640" i="1"/>
  <c r="C1640" i="1"/>
  <c r="B1640" i="1"/>
  <c r="A1640" i="1"/>
  <c r="F1639" i="1"/>
  <c r="E1639" i="1"/>
  <c r="D1639" i="1"/>
  <c r="C1639" i="1"/>
  <c r="B1639" i="1"/>
  <c r="A1639" i="1"/>
  <c r="F1638" i="1"/>
  <c r="E1638" i="1"/>
  <c r="D1638" i="1"/>
  <c r="C1638" i="1"/>
  <c r="B1638" i="1"/>
  <c r="A1638" i="1"/>
  <c r="F1637" i="1"/>
  <c r="E1637" i="1"/>
  <c r="D1637" i="1"/>
  <c r="C1637" i="1"/>
  <c r="B1637" i="1"/>
  <c r="A1637" i="1"/>
  <c r="F1636" i="1"/>
  <c r="E1636" i="1"/>
  <c r="D1636" i="1"/>
  <c r="C1636" i="1"/>
  <c r="B1636" i="1"/>
  <c r="A1636" i="1"/>
  <c r="F1635" i="1"/>
  <c r="E1635" i="1"/>
  <c r="D1635" i="1"/>
  <c r="C1635" i="1"/>
  <c r="B1635" i="1"/>
  <c r="A1635" i="1"/>
  <c r="F1634" i="1"/>
  <c r="E1634" i="1"/>
  <c r="D1634" i="1"/>
  <c r="C1634" i="1"/>
  <c r="B1634" i="1"/>
  <c r="A1634" i="1"/>
  <c r="F1633" i="1"/>
  <c r="E1633" i="1"/>
  <c r="D1633" i="1"/>
  <c r="C1633" i="1"/>
  <c r="B1633" i="1"/>
  <c r="A1633" i="1"/>
  <c r="F1632" i="1"/>
  <c r="E1632" i="1"/>
  <c r="D1632" i="1"/>
  <c r="C1632" i="1"/>
  <c r="B1632" i="1"/>
  <c r="A1632" i="1"/>
  <c r="F1631" i="1"/>
  <c r="E1631" i="1"/>
  <c r="D1631" i="1"/>
  <c r="C1631" i="1"/>
  <c r="B1631" i="1"/>
  <c r="A1631" i="1"/>
  <c r="F1630" i="1"/>
  <c r="E1630" i="1"/>
  <c r="D1630" i="1"/>
  <c r="C1630" i="1"/>
  <c r="B1630" i="1"/>
  <c r="A1630" i="1"/>
  <c r="F1629" i="1"/>
  <c r="E1629" i="1"/>
  <c r="D1629" i="1"/>
  <c r="C1629" i="1"/>
  <c r="B1629" i="1"/>
  <c r="A1629" i="1"/>
  <c r="F1628" i="1"/>
  <c r="E1628" i="1"/>
  <c r="D1628" i="1"/>
  <c r="C1628" i="1"/>
  <c r="B1628" i="1"/>
  <c r="A1628" i="1"/>
  <c r="F1627" i="1"/>
  <c r="E1627" i="1"/>
  <c r="D1627" i="1"/>
  <c r="C1627" i="1"/>
  <c r="B1627" i="1"/>
  <c r="A1627" i="1"/>
  <c r="F1626" i="1"/>
  <c r="E1626" i="1"/>
  <c r="D1626" i="1"/>
  <c r="C1626" i="1"/>
  <c r="B1626" i="1"/>
  <c r="A1626" i="1"/>
  <c r="F1625" i="1"/>
  <c r="E1625" i="1"/>
  <c r="D1625" i="1"/>
  <c r="C1625" i="1"/>
  <c r="B1625" i="1"/>
  <c r="A1625" i="1"/>
  <c r="F1624" i="1"/>
  <c r="E1624" i="1"/>
  <c r="D1624" i="1"/>
  <c r="C1624" i="1"/>
  <c r="B1624" i="1"/>
  <c r="A1624" i="1"/>
  <c r="F1623" i="1"/>
  <c r="E1623" i="1"/>
  <c r="D1623" i="1"/>
  <c r="C1623" i="1"/>
  <c r="B1623" i="1"/>
  <c r="A1623" i="1"/>
  <c r="F1622" i="1"/>
  <c r="E1622" i="1"/>
  <c r="D1622" i="1"/>
  <c r="C1622" i="1"/>
  <c r="B1622" i="1"/>
  <c r="A1622" i="1"/>
  <c r="F1621" i="1"/>
  <c r="E1621" i="1"/>
  <c r="D1621" i="1"/>
  <c r="C1621" i="1"/>
  <c r="B1621" i="1"/>
  <c r="A1621" i="1"/>
  <c r="F1620" i="1"/>
  <c r="E1620" i="1"/>
  <c r="D1620" i="1"/>
  <c r="C1620" i="1"/>
  <c r="B1620" i="1"/>
  <c r="A1620" i="1"/>
  <c r="F1619" i="1"/>
  <c r="E1619" i="1"/>
  <c r="D1619" i="1"/>
  <c r="C1619" i="1"/>
  <c r="B1619" i="1"/>
  <c r="A1619" i="1"/>
  <c r="F1618" i="1"/>
  <c r="E1618" i="1"/>
  <c r="D1618" i="1"/>
  <c r="C1618" i="1"/>
  <c r="B1618" i="1"/>
  <c r="A1618" i="1"/>
  <c r="F1617" i="1"/>
  <c r="E1617" i="1"/>
  <c r="D1617" i="1"/>
  <c r="C1617" i="1"/>
  <c r="B1617" i="1"/>
  <c r="A1617" i="1"/>
  <c r="F1616" i="1"/>
  <c r="E1616" i="1"/>
  <c r="D1616" i="1"/>
  <c r="C1616" i="1"/>
  <c r="B1616" i="1"/>
  <c r="A1616" i="1"/>
  <c r="F1615" i="1"/>
  <c r="E1615" i="1"/>
  <c r="D1615" i="1"/>
  <c r="C1615" i="1"/>
  <c r="B1615" i="1"/>
  <c r="A1615" i="1"/>
  <c r="F1614" i="1"/>
  <c r="E1614" i="1"/>
  <c r="D1614" i="1"/>
  <c r="C1614" i="1"/>
  <c r="B1614" i="1"/>
  <c r="A1614" i="1"/>
  <c r="F1613" i="1"/>
  <c r="E1613" i="1"/>
  <c r="D1613" i="1"/>
  <c r="C1613" i="1"/>
  <c r="B1613" i="1"/>
  <c r="A1613" i="1"/>
  <c r="F1612" i="1"/>
  <c r="E1612" i="1"/>
  <c r="D1612" i="1"/>
  <c r="C1612" i="1"/>
  <c r="B1612" i="1"/>
  <c r="A1612" i="1"/>
  <c r="F1611" i="1"/>
  <c r="E1611" i="1"/>
  <c r="D1611" i="1"/>
  <c r="C1611" i="1"/>
  <c r="B1611" i="1"/>
  <c r="A1611" i="1"/>
  <c r="F1610" i="1"/>
  <c r="E1610" i="1"/>
  <c r="D1610" i="1"/>
  <c r="C1610" i="1"/>
  <c r="B1610" i="1"/>
  <c r="A1610" i="1"/>
  <c r="F1609" i="1"/>
  <c r="E1609" i="1"/>
  <c r="D1609" i="1"/>
  <c r="C1609" i="1"/>
  <c r="B1609" i="1"/>
  <c r="A1609" i="1"/>
  <c r="F1608" i="1"/>
  <c r="E1608" i="1"/>
  <c r="D1608" i="1"/>
  <c r="C1608" i="1"/>
  <c r="B1608" i="1"/>
  <c r="A1608" i="1"/>
  <c r="F1607" i="1"/>
  <c r="E1607" i="1"/>
  <c r="D1607" i="1"/>
  <c r="C1607" i="1"/>
  <c r="B1607" i="1"/>
  <c r="A1607" i="1"/>
  <c r="F1606" i="1"/>
  <c r="E1606" i="1"/>
  <c r="D1606" i="1"/>
  <c r="C1606" i="1"/>
  <c r="B1606" i="1"/>
  <c r="A1606" i="1"/>
  <c r="F1605" i="1"/>
  <c r="E1605" i="1"/>
  <c r="D1605" i="1"/>
  <c r="C1605" i="1"/>
  <c r="B1605" i="1"/>
  <c r="A1605" i="1"/>
  <c r="F1604" i="1"/>
  <c r="E1604" i="1"/>
  <c r="D1604" i="1"/>
  <c r="C1604" i="1"/>
  <c r="B1604" i="1"/>
  <c r="A1604" i="1"/>
  <c r="F1603" i="1"/>
  <c r="E1603" i="1"/>
  <c r="D1603" i="1"/>
  <c r="C1603" i="1"/>
  <c r="B1603" i="1"/>
  <c r="A1603" i="1"/>
  <c r="F1602" i="1"/>
  <c r="E1602" i="1"/>
  <c r="D1602" i="1"/>
  <c r="C1602" i="1"/>
  <c r="B1602" i="1"/>
  <c r="A1602" i="1"/>
  <c r="F1601" i="1"/>
  <c r="E1601" i="1"/>
  <c r="D1601" i="1"/>
  <c r="C1601" i="1"/>
  <c r="B1601" i="1"/>
  <c r="A1601" i="1"/>
  <c r="F1600" i="1"/>
  <c r="E1600" i="1"/>
  <c r="D1600" i="1"/>
  <c r="C1600" i="1"/>
  <c r="B1600" i="1"/>
  <c r="A1600" i="1"/>
  <c r="F1599" i="1"/>
  <c r="E1599" i="1"/>
  <c r="D1599" i="1"/>
  <c r="C1599" i="1"/>
  <c r="B1599" i="1"/>
  <c r="A1599" i="1"/>
  <c r="F1598" i="1"/>
  <c r="E1598" i="1"/>
  <c r="D1598" i="1"/>
  <c r="C1598" i="1"/>
  <c r="B1598" i="1"/>
  <c r="A1598" i="1"/>
  <c r="F1597" i="1"/>
  <c r="E1597" i="1"/>
  <c r="D1597" i="1"/>
  <c r="C1597" i="1"/>
  <c r="B1597" i="1"/>
  <c r="A1597" i="1"/>
  <c r="F1596" i="1"/>
  <c r="E1596" i="1"/>
  <c r="D1596" i="1"/>
  <c r="C1596" i="1"/>
  <c r="B1596" i="1"/>
  <c r="A1596" i="1"/>
  <c r="F1595" i="1"/>
  <c r="E1595" i="1"/>
  <c r="D1595" i="1"/>
  <c r="C1595" i="1"/>
  <c r="B1595" i="1"/>
  <c r="A1595" i="1"/>
  <c r="F1594" i="1"/>
  <c r="E1594" i="1"/>
  <c r="D1594" i="1"/>
  <c r="C1594" i="1"/>
  <c r="B1594" i="1"/>
  <c r="A1594" i="1"/>
  <c r="F1593" i="1"/>
  <c r="E1593" i="1"/>
  <c r="D1593" i="1"/>
  <c r="C1593" i="1"/>
  <c r="B1593" i="1"/>
  <c r="A1593" i="1"/>
  <c r="F1592" i="1"/>
  <c r="E1592" i="1"/>
  <c r="D1592" i="1"/>
  <c r="C1592" i="1"/>
  <c r="B1592" i="1"/>
  <c r="A1592" i="1"/>
  <c r="F1591" i="1"/>
  <c r="E1591" i="1"/>
  <c r="D1591" i="1"/>
  <c r="C1591" i="1"/>
  <c r="B1591" i="1"/>
  <c r="A1591" i="1"/>
  <c r="F1590" i="1"/>
  <c r="E1590" i="1"/>
  <c r="D1590" i="1"/>
  <c r="C1590" i="1"/>
  <c r="B1590" i="1"/>
  <c r="A1590" i="1"/>
  <c r="F1589" i="1"/>
  <c r="E1589" i="1"/>
  <c r="D1589" i="1"/>
  <c r="C1589" i="1"/>
  <c r="B1589" i="1"/>
  <c r="A1589" i="1"/>
  <c r="F1588" i="1"/>
  <c r="E1588" i="1"/>
  <c r="D1588" i="1"/>
  <c r="C1588" i="1"/>
  <c r="B1588" i="1"/>
  <c r="A1588" i="1"/>
  <c r="F1587" i="1"/>
  <c r="E1587" i="1"/>
  <c r="D1587" i="1"/>
  <c r="C1587" i="1"/>
  <c r="B1587" i="1"/>
  <c r="A1587" i="1"/>
  <c r="F1586" i="1"/>
  <c r="E1586" i="1"/>
  <c r="D1586" i="1"/>
  <c r="C1586" i="1"/>
  <c r="B1586" i="1"/>
  <c r="A1586" i="1"/>
  <c r="F1585" i="1"/>
  <c r="E1585" i="1"/>
  <c r="D1585" i="1"/>
  <c r="C1585" i="1"/>
  <c r="B1585" i="1"/>
  <c r="A1585" i="1"/>
  <c r="F1584" i="1"/>
  <c r="E1584" i="1"/>
  <c r="D1584" i="1"/>
  <c r="C1584" i="1"/>
  <c r="B1584" i="1"/>
  <c r="A1584" i="1"/>
  <c r="F1583" i="1"/>
  <c r="E1583" i="1"/>
  <c r="D1583" i="1"/>
  <c r="C1583" i="1"/>
  <c r="B1583" i="1"/>
  <c r="A1583" i="1"/>
  <c r="F1582" i="1"/>
  <c r="E1582" i="1"/>
  <c r="D1582" i="1"/>
  <c r="C1582" i="1"/>
  <c r="B1582" i="1"/>
  <c r="A1582" i="1"/>
  <c r="F1581" i="1"/>
  <c r="E1581" i="1"/>
  <c r="D1581" i="1"/>
  <c r="C1581" i="1"/>
  <c r="B1581" i="1"/>
  <c r="A1581" i="1"/>
  <c r="F1580" i="1"/>
  <c r="E1580" i="1"/>
  <c r="D1580" i="1"/>
  <c r="C1580" i="1"/>
  <c r="B1580" i="1"/>
  <c r="A1580" i="1"/>
  <c r="F1579" i="1"/>
  <c r="E1579" i="1"/>
  <c r="D1579" i="1"/>
  <c r="C1579" i="1"/>
  <c r="B1579" i="1"/>
  <c r="A1579" i="1"/>
  <c r="F1578" i="1"/>
  <c r="E1578" i="1"/>
  <c r="D1578" i="1"/>
  <c r="C1578" i="1"/>
  <c r="B1578" i="1"/>
  <c r="A1578" i="1"/>
  <c r="F1577" i="1"/>
  <c r="E1577" i="1"/>
  <c r="D1577" i="1"/>
  <c r="C1577" i="1"/>
  <c r="B1577" i="1"/>
  <c r="A1577" i="1"/>
  <c r="F1576" i="1"/>
  <c r="E1576" i="1"/>
  <c r="D1576" i="1"/>
  <c r="C1576" i="1"/>
  <c r="B1576" i="1"/>
  <c r="A1576" i="1"/>
  <c r="F1575" i="1"/>
  <c r="E1575" i="1"/>
  <c r="D1575" i="1"/>
  <c r="C1575" i="1"/>
  <c r="B1575" i="1"/>
  <c r="A1575" i="1"/>
  <c r="F1574" i="1"/>
  <c r="E1574" i="1"/>
  <c r="D1574" i="1"/>
  <c r="C1574" i="1"/>
  <c r="B1574" i="1"/>
  <c r="A1574" i="1"/>
  <c r="F1573" i="1"/>
  <c r="E1573" i="1"/>
  <c r="D1573" i="1"/>
  <c r="C1573" i="1"/>
  <c r="B1573" i="1"/>
  <c r="A1573" i="1"/>
  <c r="F1572" i="1"/>
  <c r="E1572" i="1"/>
  <c r="D1572" i="1"/>
  <c r="C1572" i="1"/>
  <c r="B1572" i="1"/>
  <c r="A1572" i="1"/>
  <c r="F1571" i="1"/>
  <c r="E1571" i="1"/>
  <c r="D1571" i="1"/>
  <c r="C1571" i="1"/>
  <c r="B1571" i="1"/>
  <c r="A1571" i="1"/>
  <c r="F1570" i="1"/>
  <c r="E1570" i="1"/>
  <c r="D1570" i="1"/>
  <c r="C1570" i="1"/>
  <c r="B1570" i="1"/>
  <c r="A1570" i="1"/>
  <c r="F1569" i="1"/>
  <c r="E1569" i="1"/>
  <c r="D1569" i="1"/>
  <c r="C1569" i="1"/>
  <c r="B1569" i="1"/>
  <c r="A1569" i="1"/>
  <c r="F1568" i="1"/>
  <c r="E1568" i="1"/>
  <c r="D1568" i="1"/>
  <c r="C1568" i="1"/>
  <c r="B1568" i="1"/>
  <c r="A1568" i="1"/>
  <c r="F1567" i="1"/>
  <c r="E1567" i="1"/>
  <c r="D1567" i="1"/>
  <c r="C1567" i="1"/>
  <c r="B1567" i="1"/>
  <c r="A1567" i="1"/>
  <c r="F1566" i="1"/>
  <c r="E1566" i="1"/>
  <c r="D1566" i="1"/>
  <c r="C1566" i="1"/>
  <c r="B1566" i="1"/>
  <c r="A1566" i="1"/>
  <c r="F1565" i="1"/>
  <c r="E1565" i="1"/>
  <c r="D1565" i="1"/>
  <c r="C1565" i="1"/>
  <c r="B1565" i="1"/>
  <c r="A1565" i="1"/>
  <c r="F1564" i="1"/>
  <c r="E1564" i="1"/>
  <c r="D1564" i="1"/>
  <c r="C1564" i="1"/>
  <c r="B1564" i="1"/>
  <c r="A1564" i="1"/>
  <c r="F1563" i="1"/>
  <c r="E1563" i="1"/>
  <c r="D1563" i="1"/>
  <c r="C1563" i="1"/>
  <c r="B1563" i="1"/>
  <c r="A1563" i="1"/>
  <c r="F1562" i="1"/>
  <c r="E1562" i="1"/>
  <c r="D1562" i="1"/>
  <c r="C1562" i="1"/>
  <c r="B1562" i="1"/>
  <c r="A1562" i="1"/>
  <c r="F1561" i="1"/>
  <c r="E1561" i="1"/>
  <c r="D1561" i="1"/>
  <c r="C1561" i="1"/>
  <c r="B1561" i="1"/>
  <c r="A1561" i="1"/>
  <c r="F1560" i="1"/>
  <c r="E1560" i="1"/>
  <c r="D1560" i="1"/>
  <c r="C1560" i="1"/>
  <c r="B1560" i="1"/>
  <c r="A1560" i="1"/>
  <c r="F1559" i="1"/>
  <c r="E1559" i="1"/>
  <c r="D1559" i="1"/>
  <c r="C1559" i="1"/>
  <c r="B1559" i="1"/>
  <c r="A1559" i="1"/>
  <c r="F1558" i="1"/>
  <c r="E1558" i="1"/>
  <c r="D1558" i="1"/>
  <c r="C1558" i="1"/>
  <c r="B1558" i="1"/>
  <c r="A1558" i="1"/>
  <c r="F1557" i="1"/>
  <c r="E1557" i="1"/>
  <c r="D1557" i="1"/>
  <c r="C1557" i="1"/>
  <c r="B1557" i="1"/>
  <c r="A1557" i="1"/>
  <c r="F1556" i="1"/>
  <c r="E1556" i="1"/>
  <c r="D1556" i="1"/>
  <c r="C1556" i="1"/>
  <c r="B1556" i="1"/>
  <c r="A1556" i="1"/>
  <c r="F1555" i="1"/>
  <c r="E1555" i="1"/>
  <c r="D1555" i="1"/>
  <c r="C1555" i="1"/>
  <c r="B1555" i="1"/>
  <c r="A1555" i="1"/>
  <c r="F1554" i="1"/>
  <c r="E1554" i="1"/>
  <c r="D1554" i="1"/>
  <c r="C1554" i="1"/>
  <c r="B1554" i="1"/>
  <c r="A1554" i="1"/>
  <c r="F1553" i="1"/>
  <c r="E1553" i="1"/>
  <c r="D1553" i="1"/>
  <c r="C1553" i="1"/>
  <c r="B1553" i="1"/>
  <c r="A1553" i="1"/>
  <c r="F1552" i="1"/>
  <c r="E1552" i="1"/>
  <c r="D1552" i="1"/>
  <c r="C1552" i="1"/>
  <c r="B1552" i="1"/>
  <c r="A1552" i="1"/>
  <c r="F1551" i="1"/>
  <c r="E1551" i="1"/>
  <c r="D1551" i="1"/>
  <c r="C1551" i="1"/>
  <c r="B1551" i="1"/>
  <c r="A1551" i="1"/>
  <c r="F1550" i="1"/>
  <c r="E1550" i="1"/>
  <c r="D1550" i="1"/>
  <c r="C1550" i="1"/>
  <c r="B1550" i="1"/>
  <c r="A1550" i="1"/>
  <c r="F1549" i="1"/>
  <c r="E1549" i="1"/>
  <c r="D1549" i="1"/>
  <c r="C1549" i="1"/>
  <c r="B1549" i="1"/>
  <c r="A1549" i="1"/>
  <c r="F1548" i="1"/>
  <c r="E1548" i="1"/>
  <c r="D1548" i="1"/>
  <c r="C1548" i="1"/>
  <c r="B1548" i="1"/>
  <c r="A1548" i="1"/>
  <c r="F1547" i="1"/>
  <c r="E1547" i="1"/>
  <c r="D1547" i="1"/>
  <c r="C1547" i="1"/>
  <c r="B1547" i="1"/>
  <c r="A1547" i="1"/>
  <c r="F1546" i="1"/>
  <c r="E1546" i="1"/>
  <c r="D1546" i="1"/>
  <c r="C1546" i="1"/>
  <c r="B1546" i="1"/>
  <c r="A1546" i="1"/>
  <c r="F1545" i="1"/>
  <c r="E1545" i="1"/>
  <c r="D1545" i="1"/>
  <c r="C1545" i="1"/>
  <c r="B1545" i="1"/>
  <c r="A1545" i="1"/>
  <c r="F1544" i="1"/>
  <c r="E1544" i="1"/>
  <c r="D1544" i="1"/>
  <c r="C1544" i="1"/>
  <c r="B1544" i="1"/>
  <c r="A1544" i="1"/>
  <c r="F1543" i="1"/>
  <c r="E1543" i="1"/>
  <c r="D1543" i="1"/>
  <c r="C1543" i="1"/>
  <c r="B1543" i="1"/>
  <c r="A1543" i="1"/>
  <c r="F1542" i="1"/>
  <c r="E1542" i="1"/>
  <c r="D1542" i="1"/>
  <c r="C1542" i="1"/>
  <c r="B1542" i="1"/>
  <c r="A1542" i="1"/>
  <c r="F1541" i="1"/>
  <c r="E1541" i="1"/>
  <c r="D1541" i="1"/>
  <c r="C1541" i="1"/>
  <c r="B1541" i="1"/>
  <c r="A1541" i="1"/>
  <c r="F1540" i="1"/>
  <c r="E1540" i="1"/>
  <c r="D1540" i="1"/>
  <c r="C1540" i="1"/>
  <c r="B1540" i="1"/>
  <c r="A1540" i="1"/>
  <c r="F1539" i="1"/>
  <c r="E1539" i="1"/>
  <c r="D1539" i="1"/>
  <c r="C1539" i="1"/>
  <c r="B1539" i="1"/>
  <c r="A1539" i="1"/>
  <c r="F1538" i="1"/>
  <c r="E1538" i="1"/>
  <c r="D1538" i="1"/>
  <c r="C1538" i="1"/>
  <c r="B1538" i="1"/>
  <c r="A1538" i="1"/>
  <c r="F1537" i="1"/>
  <c r="E1537" i="1"/>
  <c r="D1537" i="1"/>
  <c r="C1537" i="1"/>
  <c r="B1537" i="1"/>
  <c r="A1537" i="1"/>
  <c r="F1536" i="1"/>
  <c r="E1536" i="1"/>
  <c r="D1536" i="1"/>
  <c r="C1536" i="1"/>
  <c r="B1536" i="1"/>
  <c r="A1536" i="1"/>
  <c r="F1535" i="1"/>
  <c r="E1535" i="1"/>
  <c r="D1535" i="1"/>
  <c r="C1535" i="1"/>
  <c r="B1535" i="1"/>
  <c r="A1535" i="1"/>
  <c r="F1534" i="1"/>
  <c r="E1534" i="1"/>
  <c r="D1534" i="1"/>
  <c r="C1534" i="1"/>
  <c r="B1534" i="1"/>
  <c r="A1534" i="1"/>
  <c r="F1533" i="1"/>
  <c r="E1533" i="1"/>
  <c r="D1533" i="1"/>
  <c r="C1533" i="1"/>
  <c r="B1533" i="1"/>
  <c r="A1533" i="1"/>
  <c r="F1532" i="1"/>
  <c r="E1532" i="1"/>
  <c r="D1532" i="1"/>
  <c r="C1532" i="1"/>
  <c r="B1532" i="1"/>
  <c r="A1532" i="1"/>
  <c r="F1531" i="1"/>
  <c r="E1531" i="1"/>
  <c r="D1531" i="1"/>
  <c r="C1531" i="1"/>
  <c r="B1531" i="1"/>
  <c r="A1531" i="1"/>
  <c r="F1530" i="1"/>
  <c r="E1530" i="1"/>
  <c r="D1530" i="1"/>
  <c r="C1530" i="1"/>
  <c r="B1530" i="1"/>
  <c r="A1530" i="1"/>
  <c r="F1529" i="1"/>
  <c r="E1529" i="1"/>
  <c r="D1529" i="1"/>
  <c r="C1529" i="1"/>
  <c r="B1529" i="1"/>
  <c r="A1529" i="1"/>
  <c r="F1528" i="1"/>
  <c r="E1528" i="1"/>
  <c r="D1528" i="1"/>
  <c r="C1528" i="1"/>
  <c r="B1528" i="1"/>
  <c r="A1528" i="1"/>
  <c r="F1527" i="1"/>
  <c r="E1527" i="1"/>
  <c r="D1527" i="1"/>
  <c r="C1527" i="1"/>
  <c r="B1527" i="1"/>
  <c r="A1527" i="1"/>
  <c r="F1526" i="1"/>
  <c r="E1526" i="1"/>
  <c r="D1526" i="1"/>
  <c r="C1526" i="1"/>
  <c r="B1526" i="1"/>
  <c r="A1526" i="1"/>
  <c r="F1525" i="1"/>
  <c r="E1525" i="1"/>
  <c r="D1525" i="1"/>
  <c r="C1525" i="1"/>
  <c r="B1525" i="1"/>
  <c r="A1525" i="1"/>
  <c r="F1524" i="1"/>
  <c r="E1524" i="1"/>
  <c r="D1524" i="1"/>
  <c r="C1524" i="1"/>
  <c r="B1524" i="1"/>
  <c r="A1524" i="1"/>
  <c r="F1523" i="1"/>
  <c r="E1523" i="1"/>
  <c r="D1523" i="1"/>
  <c r="C1523" i="1"/>
  <c r="B1523" i="1"/>
  <c r="A1523" i="1"/>
  <c r="F1522" i="1"/>
  <c r="E1522" i="1"/>
  <c r="D1522" i="1"/>
  <c r="C1522" i="1"/>
  <c r="B1522" i="1"/>
  <c r="A1522" i="1"/>
  <c r="F1521" i="1"/>
  <c r="E1521" i="1"/>
  <c r="D1521" i="1"/>
  <c r="C1521" i="1"/>
  <c r="B1521" i="1"/>
  <c r="A1521" i="1"/>
  <c r="F1520" i="1"/>
  <c r="E1520" i="1"/>
  <c r="D1520" i="1"/>
  <c r="C1520" i="1"/>
  <c r="B1520" i="1"/>
  <c r="A1520" i="1"/>
  <c r="F1519" i="1"/>
  <c r="E1519" i="1"/>
  <c r="D1519" i="1"/>
  <c r="C1519" i="1"/>
  <c r="B1519" i="1"/>
  <c r="A1519" i="1"/>
  <c r="F1518" i="1"/>
  <c r="E1518" i="1"/>
  <c r="D1518" i="1"/>
  <c r="C1518" i="1"/>
  <c r="B1518" i="1"/>
  <c r="A1518" i="1"/>
  <c r="F1517" i="1"/>
  <c r="E1517" i="1"/>
  <c r="D1517" i="1"/>
  <c r="C1517" i="1"/>
  <c r="B1517" i="1"/>
  <c r="A1517" i="1"/>
  <c r="F1516" i="1"/>
  <c r="E1516" i="1"/>
  <c r="D1516" i="1"/>
  <c r="C1516" i="1"/>
  <c r="B1516" i="1"/>
  <c r="A1516" i="1"/>
  <c r="F1515" i="1"/>
  <c r="E1515" i="1"/>
  <c r="D1515" i="1"/>
  <c r="C1515" i="1"/>
  <c r="B1515" i="1"/>
  <c r="A1515" i="1"/>
  <c r="F1514" i="1"/>
  <c r="E1514" i="1"/>
  <c r="D1514" i="1"/>
  <c r="C1514" i="1"/>
  <c r="B1514" i="1"/>
  <c r="A1514" i="1"/>
  <c r="F1513" i="1"/>
  <c r="E1513" i="1"/>
  <c r="D1513" i="1"/>
  <c r="C1513" i="1"/>
  <c r="B1513" i="1"/>
  <c r="A1513" i="1"/>
  <c r="F1512" i="1"/>
  <c r="E1512" i="1"/>
  <c r="D1512" i="1"/>
  <c r="C1512" i="1"/>
  <c r="B1512" i="1"/>
  <c r="A1512" i="1"/>
  <c r="F1511" i="1"/>
  <c r="E1511" i="1"/>
  <c r="D1511" i="1"/>
  <c r="C1511" i="1"/>
  <c r="B1511" i="1"/>
  <c r="A1511" i="1"/>
  <c r="F1510" i="1"/>
  <c r="E1510" i="1"/>
  <c r="D1510" i="1"/>
  <c r="C1510" i="1"/>
  <c r="B1510" i="1"/>
  <c r="A1510" i="1"/>
  <c r="F1509" i="1"/>
  <c r="E1509" i="1"/>
  <c r="D1509" i="1"/>
  <c r="C1509" i="1"/>
  <c r="B1509" i="1"/>
  <c r="A1509" i="1"/>
  <c r="F1508" i="1"/>
  <c r="E1508" i="1"/>
  <c r="D1508" i="1"/>
  <c r="C1508" i="1"/>
  <c r="B1508" i="1"/>
  <c r="A1508" i="1"/>
  <c r="F1507" i="1"/>
  <c r="E1507" i="1"/>
  <c r="D1507" i="1"/>
  <c r="C1507" i="1"/>
  <c r="B1507" i="1"/>
  <c r="A1507" i="1"/>
  <c r="F1506" i="1"/>
  <c r="E1506" i="1"/>
  <c r="D1506" i="1"/>
  <c r="C1506" i="1"/>
  <c r="B1506" i="1"/>
  <c r="A1506" i="1"/>
  <c r="F1505" i="1"/>
  <c r="E1505" i="1"/>
  <c r="D1505" i="1"/>
  <c r="C1505" i="1"/>
  <c r="B1505" i="1"/>
  <c r="A1505" i="1"/>
  <c r="F1504" i="1"/>
  <c r="E1504" i="1"/>
  <c r="D1504" i="1"/>
  <c r="C1504" i="1"/>
  <c r="B1504" i="1"/>
  <c r="A1504" i="1"/>
  <c r="F1503" i="1"/>
  <c r="E1503" i="1"/>
  <c r="D1503" i="1"/>
  <c r="C1503" i="1"/>
  <c r="B1503" i="1"/>
  <c r="A1503" i="1"/>
  <c r="F1502" i="1"/>
  <c r="E1502" i="1"/>
  <c r="D1502" i="1"/>
  <c r="C1502" i="1"/>
  <c r="B1502" i="1"/>
  <c r="A1502" i="1"/>
  <c r="F1501" i="1"/>
  <c r="E1501" i="1"/>
  <c r="D1501" i="1"/>
  <c r="C1501" i="1"/>
  <c r="B1501" i="1"/>
  <c r="A1501" i="1"/>
  <c r="F1500" i="1"/>
  <c r="E1500" i="1"/>
  <c r="D1500" i="1"/>
  <c r="C1500" i="1"/>
  <c r="B1500" i="1"/>
  <c r="A1500" i="1"/>
  <c r="F1499" i="1"/>
  <c r="E1499" i="1"/>
  <c r="D1499" i="1"/>
  <c r="C1499" i="1"/>
  <c r="B1499" i="1"/>
  <c r="A1499" i="1"/>
  <c r="F1498" i="1"/>
  <c r="E1498" i="1"/>
  <c r="D1498" i="1"/>
  <c r="C1498" i="1"/>
  <c r="B1498" i="1"/>
  <c r="A1498" i="1"/>
  <c r="F1497" i="1"/>
  <c r="E1497" i="1"/>
  <c r="D1497" i="1"/>
  <c r="C1497" i="1"/>
  <c r="B1497" i="1"/>
  <c r="A1497" i="1"/>
  <c r="F1496" i="1"/>
  <c r="E1496" i="1"/>
  <c r="D1496" i="1"/>
  <c r="C1496" i="1"/>
  <c r="B1496" i="1"/>
  <c r="A1496" i="1"/>
  <c r="F1495" i="1"/>
  <c r="E1495" i="1"/>
  <c r="D1495" i="1"/>
  <c r="C1495" i="1"/>
  <c r="B1495" i="1"/>
  <c r="A1495" i="1"/>
  <c r="F1494" i="1"/>
  <c r="E1494" i="1"/>
  <c r="D1494" i="1"/>
  <c r="C1494" i="1"/>
  <c r="B1494" i="1"/>
  <c r="A1494" i="1"/>
  <c r="F1493" i="1"/>
  <c r="E1493" i="1"/>
  <c r="D1493" i="1"/>
  <c r="C1493" i="1"/>
  <c r="B1493" i="1"/>
  <c r="A1493" i="1"/>
  <c r="F1492" i="1"/>
  <c r="E1492" i="1"/>
  <c r="D1492" i="1"/>
  <c r="C1492" i="1"/>
  <c r="B1492" i="1"/>
  <c r="A1492" i="1"/>
  <c r="F1491" i="1"/>
  <c r="E1491" i="1"/>
  <c r="D1491" i="1"/>
  <c r="C1491" i="1"/>
  <c r="B1491" i="1"/>
  <c r="A1491" i="1"/>
  <c r="F1490" i="1"/>
  <c r="E1490" i="1"/>
  <c r="D1490" i="1"/>
  <c r="C1490" i="1"/>
  <c r="B1490" i="1"/>
  <c r="A1490" i="1"/>
  <c r="F1489" i="1"/>
  <c r="E1489" i="1"/>
  <c r="D1489" i="1"/>
  <c r="C1489" i="1"/>
  <c r="B1489" i="1"/>
  <c r="A1489" i="1"/>
  <c r="F1488" i="1"/>
  <c r="E1488" i="1"/>
  <c r="D1488" i="1"/>
  <c r="C1488" i="1"/>
  <c r="B1488" i="1"/>
  <c r="A1488" i="1"/>
  <c r="F1487" i="1"/>
  <c r="E1487" i="1"/>
  <c r="D1487" i="1"/>
  <c r="C1487" i="1"/>
  <c r="B1487" i="1"/>
  <c r="A1487" i="1"/>
  <c r="F1486" i="1"/>
  <c r="E1486" i="1"/>
  <c r="D1486" i="1"/>
  <c r="C1486" i="1"/>
  <c r="B1486" i="1"/>
  <c r="A1486" i="1"/>
  <c r="F1485" i="1"/>
  <c r="E1485" i="1"/>
  <c r="D1485" i="1"/>
  <c r="C1485" i="1"/>
  <c r="B1485" i="1"/>
  <c r="A1485" i="1"/>
  <c r="F1484" i="1"/>
  <c r="E1484" i="1"/>
  <c r="D1484" i="1"/>
  <c r="C1484" i="1"/>
  <c r="B1484" i="1"/>
  <c r="A1484" i="1"/>
  <c r="F1483" i="1"/>
  <c r="E1483" i="1"/>
  <c r="D1483" i="1"/>
  <c r="C1483" i="1"/>
  <c r="B1483" i="1"/>
  <c r="A1483" i="1"/>
  <c r="F1482" i="1"/>
  <c r="E1482" i="1"/>
  <c r="D1482" i="1"/>
  <c r="C1482" i="1"/>
  <c r="B1482" i="1"/>
  <c r="A1482" i="1"/>
  <c r="F1481" i="1"/>
  <c r="E1481" i="1"/>
  <c r="D1481" i="1"/>
  <c r="C1481" i="1"/>
  <c r="B1481" i="1"/>
  <c r="A1481" i="1"/>
  <c r="F1480" i="1"/>
  <c r="E1480" i="1"/>
  <c r="D1480" i="1"/>
  <c r="C1480" i="1"/>
  <c r="B1480" i="1"/>
  <c r="A1480" i="1"/>
  <c r="F1479" i="1"/>
  <c r="E1479" i="1"/>
  <c r="D1479" i="1"/>
  <c r="C1479" i="1"/>
  <c r="B1479" i="1"/>
  <c r="A1479" i="1"/>
  <c r="F1478" i="1"/>
  <c r="E1478" i="1"/>
  <c r="D1478" i="1"/>
  <c r="C1478" i="1"/>
  <c r="B1478" i="1"/>
  <c r="A1478" i="1"/>
  <c r="F1477" i="1"/>
  <c r="E1477" i="1"/>
  <c r="D1477" i="1"/>
  <c r="C1477" i="1"/>
  <c r="B1477" i="1"/>
  <c r="A1477" i="1"/>
  <c r="F1476" i="1"/>
  <c r="E1476" i="1"/>
  <c r="D1476" i="1"/>
  <c r="C1476" i="1"/>
  <c r="B1476" i="1"/>
  <c r="A1476" i="1"/>
  <c r="F1475" i="1"/>
  <c r="E1475" i="1"/>
  <c r="D1475" i="1"/>
  <c r="C1475" i="1"/>
  <c r="B1475" i="1"/>
  <c r="A1475" i="1"/>
  <c r="F1474" i="1"/>
  <c r="E1474" i="1"/>
  <c r="D1474" i="1"/>
  <c r="C1474" i="1"/>
  <c r="B1474" i="1"/>
  <c r="A1474" i="1"/>
  <c r="F1473" i="1"/>
  <c r="E1473" i="1"/>
  <c r="D1473" i="1"/>
  <c r="C1473" i="1"/>
  <c r="B1473" i="1"/>
  <c r="A1473" i="1"/>
  <c r="F1472" i="1"/>
  <c r="E1472" i="1"/>
  <c r="D1472" i="1"/>
  <c r="C1472" i="1"/>
  <c r="B1472" i="1"/>
  <c r="A1472" i="1"/>
  <c r="F1471" i="1"/>
  <c r="E1471" i="1"/>
  <c r="D1471" i="1"/>
  <c r="C1471" i="1"/>
  <c r="B1471" i="1"/>
  <c r="A1471" i="1"/>
  <c r="F1470" i="1"/>
  <c r="E1470" i="1"/>
  <c r="D1470" i="1"/>
  <c r="C1470" i="1"/>
  <c r="B1470" i="1"/>
  <c r="A1470" i="1"/>
  <c r="F1469" i="1"/>
  <c r="E1469" i="1"/>
  <c r="D1469" i="1"/>
  <c r="C1469" i="1"/>
  <c r="B1469" i="1"/>
  <c r="A1469" i="1"/>
  <c r="F1468" i="1"/>
  <c r="E1468" i="1"/>
  <c r="D1468" i="1"/>
  <c r="C1468" i="1"/>
  <c r="B1468" i="1"/>
  <c r="A1468" i="1"/>
  <c r="F1467" i="1"/>
  <c r="E1467" i="1"/>
  <c r="D1467" i="1"/>
  <c r="C1467" i="1"/>
  <c r="B1467" i="1"/>
  <c r="A1467" i="1"/>
  <c r="F1466" i="1"/>
  <c r="E1466" i="1"/>
  <c r="D1466" i="1"/>
  <c r="C1466" i="1"/>
  <c r="B1466" i="1"/>
  <c r="A1466" i="1"/>
  <c r="F1465" i="1"/>
  <c r="E1465" i="1"/>
  <c r="D1465" i="1"/>
  <c r="C1465" i="1"/>
  <c r="B1465" i="1"/>
  <c r="A1465" i="1"/>
  <c r="F1464" i="1"/>
  <c r="E1464" i="1"/>
  <c r="D1464" i="1"/>
  <c r="C1464" i="1"/>
  <c r="B1464" i="1"/>
  <c r="A1464" i="1"/>
  <c r="F1463" i="1"/>
  <c r="E1463" i="1"/>
  <c r="D1463" i="1"/>
  <c r="C1463" i="1"/>
  <c r="B1463" i="1"/>
  <c r="A1463" i="1"/>
  <c r="F1462" i="1"/>
  <c r="E1462" i="1"/>
  <c r="D1462" i="1"/>
  <c r="C1462" i="1"/>
  <c r="B1462" i="1"/>
  <c r="A1462" i="1"/>
  <c r="F1461" i="1"/>
  <c r="E1461" i="1"/>
  <c r="D1461" i="1"/>
  <c r="C1461" i="1"/>
  <c r="B1461" i="1"/>
  <c r="A1461" i="1"/>
  <c r="F1460" i="1"/>
  <c r="E1460" i="1"/>
  <c r="D1460" i="1"/>
  <c r="C1460" i="1"/>
  <c r="B1460" i="1"/>
  <c r="A1460" i="1"/>
  <c r="F1459" i="1"/>
  <c r="E1459" i="1"/>
  <c r="D1459" i="1"/>
  <c r="C1459" i="1"/>
  <c r="B1459" i="1"/>
  <c r="A1459" i="1"/>
  <c r="F1458" i="1"/>
  <c r="E1458" i="1"/>
  <c r="D1458" i="1"/>
  <c r="C1458" i="1"/>
  <c r="B1458" i="1"/>
  <c r="A1458" i="1"/>
  <c r="F1457" i="1"/>
  <c r="E1457" i="1"/>
  <c r="D1457" i="1"/>
  <c r="C1457" i="1"/>
  <c r="B1457" i="1"/>
  <c r="A1457" i="1"/>
  <c r="F1456" i="1"/>
  <c r="E1456" i="1"/>
  <c r="D1456" i="1"/>
  <c r="C1456" i="1"/>
  <c r="B1456" i="1"/>
  <c r="A1456" i="1"/>
  <c r="F1455" i="1"/>
  <c r="E1455" i="1"/>
  <c r="D1455" i="1"/>
  <c r="C1455" i="1"/>
  <c r="B1455" i="1"/>
  <c r="A1455" i="1"/>
  <c r="F1454" i="1"/>
  <c r="E1454" i="1"/>
  <c r="D1454" i="1"/>
  <c r="C1454" i="1"/>
  <c r="B1454" i="1"/>
  <c r="A1454" i="1"/>
  <c r="F1453" i="1"/>
  <c r="E1453" i="1"/>
  <c r="D1453" i="1"/>
  <c r="C1453" i="1"/>
  <c r="B1453" i="1"/>
  <c r="A1453" i="1"/>
  <c r="F1452" i="1"/>
  <c r="E1452" i="1"/>
  <c r="D1452" i="1"/>
  <c r="C1452" i="1"/>
  <c r="B1452" i="1"/>
  <c r="A1452" i="1"/>
  <c r="F1451" i="1"/>
  <c r="E1451" i="1"/>
  <c r="D1451" i="1"/>
  <c r="C1451" i="1"/>
  <c r="B1451" i="1"/>
  <c r="A1451" i="1"/>
  <c r="F1450" i="1"/>
  <c r="E1450" i="1"/>
  <c r="D1450" i="1"/>
  <c r="C1450" i="1"/>
  <c r="B1450" i="1"/>
  <c r="A1450" i="1"/>
  <c r="F1449" i="1"/>
  <c r="E1449" i="1"/>
  <c r="D1449" i="1"/>
  <c r="C1449" i="1"/>
  <c r="B1449" i="1"/>
  <c r="A1449" i="1"/>
  <c r="F1448" i="1"/>
  <c r="E1448" i="1"/>
  <c r="D1448" i="1"/>
  <c r="C1448" i="1"/>
  <c r="B1448" i="1"/>
  <c r="A1448" i="1"/>
  <c r="F1447" i="1"/>
  <c r="E1447" i="1"/>
  <c r="D1447" i="1"/>
  <c r="C1447" i="1"/>
  <c r="B1447" i="1"/>
  <c r="A1447" i="1"/>
  <c r="F1446" i="1"/>
  <c r="E1446" i="1"/>
  <c r="D1446" i="1"/>
  <c r="C1446" i="1"/>
  <c r="B1446" i="1"/>
  <c r="A1446" i="1"/>
  <c r="F1445" i="1"/>
  <c r="E1445" i="1"/>
  <c r="D1445" i="1"/>
  <c r="C1445" i="1"/>
  <c r="B1445" i="1"/>
  <c r="A1445" i="1"/>
  <c r="F1444" i="1"/>
  <c r="E1444" i="1"/>
  <c r="D1444" i="1"/>
  <c r="C1444" i="1"/>
  <c r="B1444" i="1"/>
  <c r="A1444" i="1"/>
  <c r="F1443" i="1"/>
  <c r="E1443" i="1"/>
  <c r="D1443" i="1"/>
  <c r="C1443" i="1"/>
  <c r="B1443" i="1"/>
  <c r="A1443" i="1"/>
  <c r="F1442" i="1"/>
  <c r="E1442" i="1"/>
  <c r="D1442" i="1"/>
  <c r="C1442" i="1"/>
  <c r="B1442" i="1"/>
  <c r="A1442" i="1"/>
  <c r="F1441" i="1"/>
  <c r="E1441" i="1"/>
  <c r="D1441" i="1"/>
  <c r="C1441" i="1"/>
  <c r="B1441" i="1"/>
  <c r="A1441" i="1"/>
  <c r="F1440" i="1"/>
  <c r="E1440" i="1"/>
  <c r="D1440" i="1"/>
  <c r="C1440" i="1"/>
  <c r="B1440" i="1"/>
  <c r="A1440" i="1"/>
  <c r="F1439" i="1"/>
  <c r="E1439" i="1"/>
  <c r="D1439" i="1"/>
  <c r="C1439" i="1"/>
  <c r="B1439" i="1"/>
  <c r="A1439" i="1"/>
  <c r="F1438" i="1"/>
  <c r="E1438" i="1"/>
  <c r="D1438" i="1"/>
  <c r="C1438" i="1"/>
  <c r="B1438" i="1"/>
  <c r="A1438" i="1"/>
  <c r="F1437" i="1"/>
  <c r="E1437" i="1"/>
  <c r="D1437" i="1"/>
  <c r="C1437" i="1"/>
  <c r="B1437" i="1"/>
  <c r="A1437" i="1"/>
  <c r="F1436" i="1"/>
  <c r="E1436" i="1"/>
  <c r="D1436" i="1"/>
  <c r="C1436" i="1"/>
  <c r="B1436" i="1"/>
  <c r="A1436" i="1"/>
  <c r="F1435" i="1"/>
  <c r="E1435" i="1"/>
  <c r="D1435" i="1"/>
  <c r="C1435" i="1"/>
  <c r="B1435" i="1"/>
  <c r="A1435" i="1"/>
  <c r="F1434" i="1"/>
  <c r="E1434" i="1"/>
  <c r="D1434" i="1"/>
  <c r="C1434" i="1"/>
  <c r="B1434" i="1"/>
  <c r="A1434" i="1"/>
  <c r="F1433" i="1"/>
  <c r="E1433" i="1"/>
  <c r="D1433" i="1"/>
  <c r="C1433" i="1"/>
  <c r="B1433" i="1"/>
  <c r="A1433" i="1"/>
  <c r="F1432" i="1"/>
  <c r="E1432" i="1"/>
  <c r="D1432" i="1"/>
  <c r="C1432" i="1"/>
  <c r="B1432" i="1"/>
  <c r="A1432" i="1"/>
  <c r="F1431" i="1"/>
  <c r="E1431" i="1"/>
  <c r="D1431" i="1"/>
  <c r="C1431" i="1"/>
  <c r="B1431" i="1"/>
  <c r="A1431" i="1"/>
  <c r="F1430" i="1"/>
  <c r="E1430" i="1"/>
  <c r="D1430" i="1"/>
  <c r="C1430" i="1"/>
  <c r="B1430" i="1"/>
  <c r="A1430" i="1"/>
  <c r="F1429" i="1"/>
  <c r="E1429" i="1"/>
  <c r="D1429" i="1"/>
  <c r="C1429" i="1"/>
  <c r="B1429" i="1"/>
  <c r="A1429" i="1"/>
  <c r="F1428" i="1"/>
  <c r="E1428" i="1"/>
  <c r="D1428" i="1"/>
  <c r="C1428" i="1"/>
  <c r="B1428" i="1"/>
  <c r="A1428" i="1"/>
  <c r="F1427" i="1"/>
  <c r="E1427" i="1"/>
  <c r="D1427" i="1"/>
  <c r="C1427" i="1"/>
  <c r="B1427" i="1"/>
  <c r="A1427" i="1"/>
  <c r="F1426" i="1"/>
  <c r="E1426" i="1"/>
  <c r="D1426" i="1"/>
  <c r="C1426" i="1"/>
  <c r="B1426" i="1"/>
  <c r="A1426" i="1"/>
  <c r="F1425" i="1"/>
  <c r="E1425" i="1"/>
  <c r="D1425" i="1"/>
  <c r="C1425" i="1"/>
  <c r="B1425" i="1"/>
  <c r="A1425" i="1"/>
  <c r="F1424" i="1"/>
  <c r="E1424" i="1"/>
  <c r="D1424" i="1"/>
  <c r="C1424" i="1"/>
  <c r="B1424" i="1"/>
  <c r="A1424" i="1"/>
  <c r="F1423" i="1"/>
  <c r="E1423" i="1"/>
  <c r="D1423" i="1"/>
  <c r="C1423" i="1"/>
  <c r="B1423" i="1"/>
  <c r="A1423" i="1"/>
  <c r="F1422" i="1"/>
  <c r="E1422" i="1"/>
  <c r="D1422" i="1"/>
  <c r="C1422" i="1"/>
  <c r="B1422" i="1"/>
  <c r="A1422" i="1"/>
  <c r="F1421" i="1"/>
  <c r="E1421" i="1"/>
  <c r="D1421" i="1"/>
  <c r="C1421" i="1"/>
  <c r="B1421" i="1"/>
  <c r="A1421" i="1"/>
  <c r="F1420" i="1"/>
  <c r="E1420" i="1"/>
  <c r="D1420" i="1"/>
  <c r="C1420" i="1"/>
  <c r="B1420" i="1"/>
  <c r="A1420" i="1"/>
  <c r="F1419" i="1"/>
  <c r="E1419" i="1"/>
  <c r="D1419" i="1"/>
  <c r="C1419" i="1"/>
  <c r="B1419" i="1"/>
  <c r="A1419" i="1"/>
  <c r="F1418" i="1"/>
  <c r="E1418" i="1"/>
  <c r="D1418" i="1"/>
  <c r="C1418" i="1"/>
  <c r="B1418" i="1"/>
  <c r="A1418" i="1"/>
  <c r="F1417" i="1"/>
  <c r="E1417" i="1"/>
  <c r="D1417" i="1"/>
  <c r="C1417" i="1"/>
  <c r="B1417" i="1"/>
  <c r="A1417" i="1"/>
  <c r="F1416" i="1"/>
  <c r="E1416" i="1"/>
  <c r="D1416" i="1"/>
  <c r="C1416" i="1"/>
  <c r="B1416" i="1"/>
  <c r="A1416" i="1"/>
  <c r="F1415" i="1"/>
  <c r="E1415" i="1"/>
  <c r="D1415" i="1"/>
  <c r="C1415" i="1"/>
  <c r="B1415" i="1"/>
  <c r="A1415" i="1"/>
  <c r="F1414" i="1"/>
  <c r="E1414" i="1"/>
  <c r="D1414" i="1"/>
  <c r="C1414" i="1"/>
  <c r="B1414" i="1"/>
  <c r="A1414" i="1"/>
  <c r="F1413" i="1"/>
  <c r="E1413" i="1"/>
  <c r="D1413" i="1"/>
  <c r="C1413" i="1"/>
  <c r="B1413" i="1"/>
  <c r="A1413" i="1"/>
  <c r="F1412" i="1"/>
  <c r="E1412" i="1"/>
  <c r="D1412" i="1"/>
  <c r="C1412" i="1"/>
  <c r="B1412" i="1"/>
  <c r="A1412" i="1"/>
  <c r="F1411" i="1"/>
  <c r="E1411" i="1"/>
  <c r="D1411" i="1"/>
  <c r="C1411" i="1"/>
  <c r="B1411" i="1"/>
  <c r="A1411" i="1"/>
  <c r="F1410" i="1"/>
  <c r="E1410" i="1"/>
  <c r="D1410" i="1"/>
  <c r="C1410" i="1"/>
  <c r="B1410" i="1"/>
  <c r="A1410" i="1"/>
  <c r="F1409" i="1"/>
  <c r="E1409" i="1"/>
  <c r="D1409" i="1"/>
  <c r="C1409" i="1"/>
  <c r="B1409" i="1"/>
  <c r="A1409" i="1"/>
  <c r="F1408" i="1"/>
  <c r="E1408" i="1"/>
  <c r="D1408" i="1"/>
  <c r="C1408" i="1"/>
  <c r="B1408" i="1"/>
  <c r="A1408" i="1"/>
  <c r="F1407" i="1"/>
  <c r="E1407" i="1"/>
  <c r="D1407" i="1"/>
  <c r="C1407" i="1"/>
  <c r="B1407" i="1"/>
  <c r="A1407" i="1"/>
  <c r="F1406" i="1"/>
  <c r="E1406" i="1"/>
  <c r="D1406" i="1"/>
  <c r="C1406" i="1"/>
  <c r="B1406" i="1"/>
  <c r="A1406" i="1"/>
  <c r="F1405" i="1"/>
  <c r="E1405" i="1"/>
  <c r="D1405" i="1"/>
  <c r="C1405" i="1"/>
  <c r="B1405" i="1"/>
  <c r="A1405" i="1"/>
  <c r="F1404" i="1"/>
  <c r="E1404" i="1"/>
  <c r="D1404" i="1"/>
  <c r="C1404" i="1"/>
  <c r="B1404" i="1"/>
  <c r="A1404" i="1"/>
  <c r="F1403" i="1"/>
  <c r="E1403" i="1"/>
  <c r="D1403" i="1"/>
  <c r="C1403" i="1"/>
  <c r="B1403" i="1"/>
  <c r="A1403" i="1"/>
  <c r="F1402" i="1"/>
  <c r="E1402" i="1"/>
  <c r="D1402" i="1"/>
  <c r="C1402" i="1"/>
  <c r="B1402" i="1"/>
  <c r="A1402" i="1"/>
  <c r="F1401" i="1"/>
  <c r="E1401" i="1"/>
  <c r="D1401" i="1"/>
  <c r="C1401" i="1"/>
  <c r="B1401" i="1"/>
  <c r="A1401" i="1"/>
  <c r="F1400" i="1"/>
  <c r="E1400" i="1"/>
  <c r="D1400" i="1"/>
  <c r="C1400" i="1"/>
  <c r="B1400" i="1"/>
  <c r="A1400" i="1"/>
  <c r="F1399" i="1"/>
  <c r="E1399" i="1"/>
  <c r="D1399" i="1"/>
  <c r="C1399" i="1"/>
  <c r="B1399" i="1"/>
  <c r="A1399" i="1"/>
  <c r="F1398" i="1"/>
  <c r="E1398" i="1"/>
  <c r="D1398" i="1"/>
  <c r="C1398" i="1"/>
  <c r="B1398" i="1"/>
  <c r="A1398" i="1"/>
  <c r="F1397" i="1"/>
  <c r="E1397" i="1"/>
  <c r="D1397" i="1"/>
  <c r="C1397" i="1"/>
  <c r="B1397" i="1"/>
  <c r="A1397" i="1"/>
  <c r="F1396" i="1"/>
  <c r="E1396" i="1"/>
  <c r="D1396" i="1"/>
  <c r="C1396" i="1"/>
  <c r="B1396" i="1"/>
  <c r="A1396" i="1"/>
  <c r="F1395" i="1"/>
  <c r="E1395" i="1"/>
  <c r="D1395" i="1"/>
  <c r="C1395" i="1"/>
  <c r="B1395" i="1"/>
  <c r="A1395" i="1"/>
  <c r="F1394" i="1"/>
  <c r="E1394" i="1"/>
  <c r="D1394" i="1"/>
  <c r="C1394" i="1"/>
  <c r="B1394" i="1"/>
  <c r="A1394" i="1"/>
  <c r="F1393" i="1"/>
  <c r="E1393" i="1"/>
  <c r="D1393" i="1"/>
  <c r="C1393" i="1"/>
  <c r="B1393" i="1"/>
  <c r="A1393" i="1"/>
  <c r="F1392" i="1"/>
  <c r="E1392" i="1"/>
  <c r="D1392" i="1"/>
  <c r="C1392" i="1"/>
  <c r="B1392" i="1"/>
  <c r="A1392" i="1"/>
  <c r="F1391" i="1"/>
  <c r="E1391" i="1"/>
  <c r="D1391" i="1"/>
  <c r="C1391" i="1"/>
  <c r="B1391" i="1"/>
  <c r="A1391" i="1"/>
  <c r="F1390" i="1"/>
  <c r="E1390" i="1"/>
  <c r="D1390" i="1"/>
  <c r="C1390" i="1"/>
  <c r="B1390" i="1"/>
  <c r="A1390" i="1"/>
  <c r="F1389" i="1"/>
  <c r="E1389" i="1"/>
  <c r="D1389" i="1"/>
  <c r="C1389" i="1"/>
  <c r="B1389" i="1"/>
  <c r="A1389" i="1"/>
  <c r="F1388" i="1"/>
  <c r="E1388" i="1"/>
  <c r="D1388" i="1"/>
  <c r="C1388" i="1"/>
  <c r="B1388" i="1"/>
  <c r="A1388" i="1"/>
  <c r="F1387" i="1"/>
  <c r="E1387" i="1"/>
  <c r="D1387" i="1"/>
  <c r="C1387" i="1"/>
  <c r="B1387" i="1"/>
  <c r="A1387" i="1"/>
  <c r="F1386" i="1"/>
  <c r="E1386" i="1"/>
  <c r="D1386" i="1"/>
  <c r="C1386" i="1"/>
  <c r="B1386" i="1"/>
  <c r="A1386" i="1"/>
  <c r="F1385" i="1"/>
  <c r="E1385" i="1"/>
  <c r="D1385" i="1"/>
  <c r="C1385" i="1"/>
  <c r="B1385" i="1"/>
  <c r="A1385" i="1"/>
  <c r="F1384" i="1"/>
  <c r="E1384" i="1"/>
  <c r="D1384" i="1"/>
  <c r="C1384" i="1"/>
  <c r="B1384" i="1"/>
  <c r="A1384" i="1"/>
  <c r="F1383" i="1"/>
  <c r="E1383" i="1"/>
  <c r="D1383" i="1"/>
  <c r="C1383" i="1"/>
  <c r="B1383" i="1"/>
  <c r="A1383" i="1"/>
  <c r="F1382" i="1"/>
  <c r="E1382" i="1"/>
  <c r="D1382" i="1"/>
  <c r="C1382" i="1"/>
  <c r="B1382" i="1"/>
  <c r="A1382" i="1"/>
  <c r="F1381" i="1"/>
  <c r="E1381" i="1"/>
  <c r="D1381" i="1"/>
  <c r="C1381" i="1"/>
  <c r="B1381" i="1"/>
  <c r="A1381" i="1"/>
  <c r="F1380" i="1"/>
  <c r="E1380" i="1"/>
  <c r="D1380" i="1"/>
  <c r="C1380" i="1"/>
  <c r="B1380" i="1"/>
  <c r="A1380" i="1"/>
  <c r="F1379" i="1"/>
  <c r="E1379" i="1"/>
  <c r="D1379" i="1"/>
  <c r="C1379" i="1"/>
  <c r="B1379" i="1"/>
  <c r="A1379" i="1"/>
  <c r="F1378" i="1"/>
  <c r="E1378" i="1"/>
  <c r="D1378" i="1"/>
  <c r="C1378" i="1"/>
  <c r="B1378" i="1"/>
  <c r="A1378" i="1"/>
  <c r="F1377" i="1"/>
  <c r="E1377" i="1"/>
  <c r="D1377" i="1"/>
  <c r="C1377" i="1"/>
  <c r="B1377" i="1"/>
  <c r="A1377" i="1"/>
  <c r="F1376" i="1"/>
  <c r="E1376" i="1"/>
  <c r="D1376" i="1"/>
  <c r="C1376" i="1"/>
  <c r="B1376" i="1"/>
  <c r="A1376" i="1"/>
  <c r="F1375" i="1"/>
  <c r="E1375" i="1"/>
  <c r="D1375" i="1"/>
  <c r="C1375" i="1"/>
  <c r="B1375" i="1"/>
  <c r="A1375" i="1"/>
  <c r="F1374" i="1"/>
  <c r="E1374" i="1"/>
  <c r="D1374" i="1"/>
  <c r="C1374" i="1"/>
  <c r="B1374" i="1"/>
  <c r="A1374" i="1"/>
  <c r="F1373" i="1"/>
  <c r="E1373" i="1"/>
  <c r="D1373" i="1"/>
  <c r="C1373" i="1"/>
  <c r="B1373" i="1"/>
  <c r="A1373" i="1"/>
  <c r="F1372" i="1"/>
  <c r="E1372" i="1"/>
  <c r="D1372" i="1"/>
  <c r="C1372" i="1"/>
  <c r="B1372" i="1"/>
  <c r="A1372" i="1"/>
  <c r="F1371" i="1"/>
  <c r="E1371" i="1"/>
  <c r="D1371" i="1"/>
  <c r="C1371" i="1"/>
  <c r="B1371" i="1"/>
  <c r="A1371" i="1"/>
  <c r="F1370" i="1"/>
  <c r="E1370" i="1"/>
  <c r="D1370" i="1"/>
  <c r="C1370" i="1"/>
  <c r="B1370" i="1"/>
  <c r="A1370" i="1"/>
  <c r="F1369" i="1"/>
  <c r="E1369" i="1"/>
  <c r="D1369" i="1"/>
  <c r="C1369" i="1"/>
  <c r="B1369" i="1"/>
  <c r="A1369" i="1"/>
  <c r="F1368" i="1"/>
  <c r="E1368" i="1"/>
  <c r="D1368" i="1"/>
  <c r="C1368" i="1"/>
  <c r="B1368" i="1"/>
  <c r="A1368" i="1"/>
  <c r="F1367" i="1"/>
  <c r="E1367" i="1"/>
  <c r="D1367" i="1"/>
  <c r="C1367" i="1"/>
  <c r="B1367" i="1"/>
  <c r="A1367" i="1"/>
  <c r="F1366" i="1"/>
  <c r="E1366" i="1"/>
  <c r="D1366" i="1"/>
  <c r="C1366" i="1"/>
  <c r="B1366" i="1"/>
  <c r="A1366" i="1"/>
  <c r="F1365" i="1"/>
  <c r="E1365" i="1"/>
  <c r="D1365" i="1"/>
  <c r="C1365" i="1"/>
  <c r="B1365" i="1"/>
  <c r="A1365" i="1"/>
  <c r="F1364" i="1"/>
  <c r="E1364" i="1"/>
  <c r="D1364" i="1"/>
  <c r="C1364" i="1"/>
  <c r="B1364" i="1"/>
  <c r="A1364" i="1"/>
  <c r="F1363" i="1"/>
  <c r="E1363" i="1"/>
  <c r="D1363" i="1"/>
  <c r="C1363" i="1"/>
  <c r="B1363" i="1"/>
  <c r="A1363" i="1"/>
  <c r="F1362" i="1"/>
  <c r="E1362" i="1"/>
  <c r="D1362" i="1"/>
  <c r="C1362" i="1"/>
  <c r="B1362" i="1"/>
  <c r="A1362" i="1"/>
  <c r="F1361" i="1"/>
  <c r="E1361" i="1"/>
  <c r="D1361" i="1"/>
  <c r="C1361" i="1"/>
  <c r="B1361" i="1"/>
  <c r="A1361" i="1"/>
  <c r="F1360" i="1"/>
  <c r="E1360" i="1"/>
  <c r="D1360" i="1"/>
  <c r="C1360" i="1"/>
  <c r="B1360" i="1"/>
  <c r="A1360" i="1"/>
  <c r="F1359" i="1"/>
  <c r="E1359" i="1"/>
  <c r="D1359" i="1"/>
  <c r="C1359" i="1"/>
  <c r="B1359" i="1"/>
  <c r="A1359" i="1"/>
  <c r="F1358" i="1"/>
  <c r="E1358" i="1"/>
  <c r="D1358" i="1"/>
  <c r="C1358" i="1"/>
  <c r="B1358" i="1"/>
  <c r="A1358" i="1"/>
  <c r="F1357" i="1"/>
  <c r="E1357" i="1"/>
  <c r="D1357" i="1"/>
  <c r="C1357" i="1"/>
  <c r="B1357" i="1"/>
  <c r="A1357" i="1"/>
  <c r="F1356" i="1"/>
  <c r="E1356" i="1"/>
  <c r="D1356" i="1"/>
  <c r="C1356" i="1"/>
  <c r="B1356" i="1"/>
  <c r="A1356" i="1"/>
  <c r="F1355" i="1"/>
  <c r="E1355" i="1"/>
  <c r="D1355" i="1"/>
  <c r="C1355" i="1"/>
  <c r="B1355" i="1"/>
  <c r="A1355" i="1"/>
  <c r="F1354" i="1"/>
  <c r="E1354" i="1"/>
  <c r="D1354" i="1"/>
  <c r="C1354" i="1"/>
  <c r="B1354" i="1"/>
  <c r="A1354" i="1"/>
  <c r="F1353" i="1"/>
  <c r="E1353" i="1"/>
  <c r="D1353" i="1"/>
  <c r="C1353" i="1"/>
  <c r="B1353" i="1"/>
  <c r="A1353" i="1"/>
  <c r="F1352" i="1"/>
  <c r="E1352" i="1"/>
  <c r="D1352" i="1"/>
  <c r="C1352" i="1"/>
  <c r="B1352" i="1"/>
  <c r="A1352" i="1"/>
  <c r="F1351" i="1"/>
  <c r="E1351" i="1"/>
  <c r="D1351" i="1"/>
  <c r="C1351" i="1"/>
  <c r="B1351" i="1"/>
  <c r="A1351" i="1"/>
  <c r="F1350" i="1"/>
  <c r="E1350" i="1"/>
  <c r="D1350" i="1"/>
  <c r="C1350" i="1"/>
  <c r="B1350" i="1"/>
  <c r="A1350" i="1"/>
  <c r="F1349" i="1"/>
  <c r="E1349" i="1"/>
  <c r="D1349" i="1"/>
  <c r="C1349" i="1"/>
  <c r="B1349" i="1"/>
  <c r="A1349" i="1"/>
  <c r="F1348" i="1"/>
  <c r="E1348" i="1"/>
  <c r="D1348" i="1"/>
  <c r="C1348" i="1"/>
  <c r="B1348" i="1"/>
  <c r="A1348" i="1"/>
  <c r="F1347" i="1"/>
  <c r="E1347" i="1"/>
  <c r="D1347" i="1"/>
  <c r="C1347" i="1"/>
  <c r="B1347" i="1"/>
  <c r="A1347" i="1"/>
  <c r="F1346" i="1"/>
  <c r="E1346" i="1"/>
  <c r="D1346" i="1"/>
  <c r="C1346" i="1"/>
  <c r="B1346" i="1"/>
  <c r="A1346" i="1"/>
  <c r="F1345" i="1"/>
  <c r="E1345" i="1"/>
  <c r="D1345" i="1"/>
  <c r="C1345" i="1"/>
  <c r="B1345" i="1"/>
  <c r="A1345" i="1"/>
  <c r="F1344" i="1"/>
  <c r="E1344" i="1"/>
  <c r="D1344" i="1"/>
  <c r="C1344" i="1"/>
  <c r="B1344" i="1"/>
  <c r="A1344" i="1"/>
  <c r="F1343" i="1"/>
  <c r="E1343" i="1"/>
  <c r="D1343" i="1"/>
  <c r="C1343" i="1"/>
  <c r="B1343" i="1"/>
  <c r="A1343" i="1"/>
  <c r="F1342" i="1"/>
  <c r="E1342" i="1"/>
  <c r="D1342" i="1"/>
  <c r="C1342" i="1"/>
  <c r="B1342" i="1"/>
  <c r="A1342" i="1"/>
  <c r="F1341" i="1"/>
  <c r="E1341" i="1"/>
  <c r="D1341" i="1"/>
  <c r="C1341" i="1"/>
  <c r="B1341" i="1"/>
  <c r="A1341" i="1"/>
  <c r="F1340" i="1"/>
  <c r="E1340" i="1"/>
  <c r="D1340" i="1"/>
  <c r="C1340" i="1"/>
  <c r="B1340" i="1"/>
  <c r="A1340" i="1"/>
  <c r="F1339" i="1"/>
  <c r="E1339" i="1"/>
  <c r="D1339" i="1"/>
  <c r="C1339" i="1"/>
  <c r="B1339" i="1"/>
  <c r="A1339" i="1"/>
  <c r="F1338" i="1"/>
  <c r="E1338" i="1"/>
  <c r="D1338" i="1"/>
  <c r="C1338" i="1"/>
  <c r="B1338" i="1"/>
  <c r="A1338" i="1"/>
  <c r="F1337" i="1"/>
  <c r="E1337" i="1"/>
  <c r="D1337" i="1"/>
  <c r="C1337" i="1"/>
  <c r="B1337" i="1"/>
  <c r="A1337" i="1"/>
  <c r="F1336" i="1"/>
  <c r="E1336" i="1"/>
  <c r="D1336" i="1"/>
  <c r="C1336" i="1"/>
  <c r="B1336" i="1"/>
  <c r="A1336" i="1"/>
  <c r="F1335" i="1"/>
  <c r="E1335" i="1"/>
  <c r="D1335" i="1"/>
  <c r="C1335" i="1"/>
  <c r="B1335" i="1"/>
  <c r="A1335" i="1"/>
  <c r="F1334" i="1"/>
  <c r="E1334" i="1"/>
  <c r="D1334" i="1"/>
  <c r="C1334" i="1"/>
  <c r="B1334" i="1"/>
  <c r="A1334" i="1"/>
  <c r="F1333" i="1"/>
  <c r="E1333" i="1"/>
  <c r="D1333" i="1"/>
  <c r="C1333" i="1"/>
  <c r="B1333" i="1"/>
  <c r="A1333" i="1"/>
  <c r="F1332" i="1"/>
  <c r="E1332" i="1"/>
  <c r="D1332" i="1"/>
  <c r="C1332" i="1"/>
  <c r="B1332" i="1"/>
  <c r="A1332" i="1"/>
  <c r="F1331" i="1"/>
  <c r="E1331" i="1"/>
  <c r="D1331" i="1"/>
  <c r="C1331" i="1"/>
  <c r="B1331" i="1"/>
  <c r="A1331" i="1"/>
  <c r="F1330" i="1"/>
  <c r="E1330" i="1"/>
  <c r="D1330" i="1"/>
  <c r="C1330" i="1"/>
  <c r="B1330" i="1"/>
  <c r="A1330" i="1"/>
  <c r="F1329" i="1"/>
  <c r="E1329" i="1"/>
  <c r="D1329" i="1"/>
  <c r="C1329" i="1"/>
  <c r="B1329" i="1"/>
  <c r="A1329" i="1"/>
  <c r="F1328" i="1"/>
  <c r="E1328" i="1"/>
  <c r="D1328" i="1"/>
  <c r="C1328" i="1"/>
  <c r="B1328" i="1"/>
  <c r="A1328" i="1"/>
  <c r="F1327" i="1"/>
  <c r="E1327" i="1"/>
  <c r="D1327" i="1"/>
  <c r="C1327" i="1"/>
  <c r="B1327" i="1"/>
  <c r="A1327" i="1"/>
  <c r="F1326" i="1"/>
  <c r="E1326" i="1"/>
  <c r="D1326" i="1"/>
  <c r="C1326" i="1"/>
  <c r="B1326" i="1"/>
  <c r="A1326" i="1"/>
  <c r="F1325" i="1"/>
  <c r="E1325" i="1"/>
  <c r="D1325" i="1"/>
  <c r="C1325" i="1"/>
  <c r="B1325" i="1"/>
  <c r="A1325" i="1"/>
  <c r="F1324" i="1"/>
  <c r="E1324" i="1"/>
  <c r="D1324" i="1"/>
  <c r="C1324" i="1"/>
  <c r="B1324" i="1"/>
  <c r="A1324" i="1"/>
  <c r="F1323" i="1"/>
  <c r="E1323" i="1"/>
  <c r="D1323" i="1"/>
  <c r="C1323" i="1"/>
  <c r="B1323" i="1"/>
  <c r="A1323" i="1"/>
  <c r="F1322" i="1"/>
  <c r="E1322" i="1"/>
  <c r="D1322" i="1"/>
  <c r="C1322" i="1"/>
  <c r="B1322" i="1"/>
  <c r="A1322" i="1"/>
  <c r="F1321" i="1"/>
  <c r="E1321" i="1"/>
  <c r="D1321" i="1"/>
  <c r="C1321" i="1"/>
  <c r="B1321" i="1"/>
  <c r="A1321" i="1"/>
  <c r="F1320" i="1"/>
  <c r="E1320" i="1"/>
  <c r="D1320" i="1"/>
  <c r="C1320" i="1"/>
  <c r="B1320" i="1"/>
  <c r="A1320" i="1"/>
  <c r="F1319" i="1"/>
  <c r="E1319" i="1"/>
  <c r="D1319" i="1"/>
  <c r="C1319" i="1"/>
  <c r="B1319" i="1"/>
  <c r="A1319" i="1"/>
  <c r="F1318" i="1"/>
  <c r="E1318" i="1"/>
  <c r="D1318" i="1"/>
  <c r="C1318" i="1"/>
  <c r="B1318" i="1"/>
  <c r="A1318" i="1"/>
  <c r="F1317" i="1"/>
  <c r="E1317" i="1"/>
  <c r="D1317" i="1"/>
  <c r="C1317" i="1"/>
  <c r="B1317" i="1"/>
  <c r="A1317" i="1"/>
  <c r="F1316" i="1"/>
  <c r="E1316" i="1"/>
  <c r="D1316" i="1"/>
  <c r="C1316" i="1"/>
  <c r="B1316" i="1"/>
  <c r="A1316" i="1"/>
  <c r="F1315" i="1"/>
  <c r="E1315" i="1"/>
  <c r="D1315" i="1"/>
  <c r="C1315" i="1"/>
  <c r="B1315" i="1"/>
  <c r="A1315" i="1"/>
  <c r="F1314" i="1"/>
  <c r="E1314" i="1"/>
  <c r="D1314" i="1"/>
  <c r="C1314" i="1"/>
  <c r="B1314" i="1"/>
  <c r="A1314" i="1"/>
  <c r="F1313" i="1"/>
  <c r="E1313" i="1"/>
  <c r="D1313" i="1"/>
  <c r="C1313" i="1"/>
  <c r="B1313" i="1"/>
  <c r="A1313" i="1"/>
  <c r="F1312" i="1"/>
  <c r="E1312" i="1"/>
  <c r="D1312" i="1"/>
  <c r="C1312" i="1"/>
  <c r="B1312" i="1"/>
  <c r="A1312" i="1"/>
  <c r="F1311" i="1"/>
  <c r="E1311" i="1"/>
  <c r="D1311" i="1"/>
  <c r="C1311" i="1"/>
  <c r="B1311" i="1"/>
  <c r="A1311" i="1"/>
  <c r="F1310" i="1"/>
  <c r="E1310" i="1"/>
  <c r="D1310" i="1"/>
  <c r="C1310" i="1"/>
  <c r="B1310" i="1"/>
  <c r="A1310" i="1"/>
  <c r="F1309" i="1"/>
  <c r="E1309" i="1"/>
  <c r="D1309" i="1"/>
  <c r="C1309" i="1"/>
  <c r="B1309" i="1"/>
  <c r="A1309" i="1"/>
  <c r="F1308" i="1"/>
  <c r="E1308" i="1"/>
  <c r="D1308" i="1"/>
  <c r="C1308" i="1"/>
  <c r="B1308" i="1"/>
  <c r="A1308" i="1"/>
  <c r="F1307" i="1"/>
  <c r="E1307" i="1"/>
  <c r="D1307" i="1"/>
  <c r="C1307" i="1"/>
  <c r="B1307" i="1"/>
  <c r="A1307" i="1"/>
  <c r="F1306" i="1"/>
  <c r="E1306" i="1"/>
  <c r="D1306" i="1"/>
  <c r="C1306" i="1"/>
  <c r="B1306" i="1"/>
  <c r="A1306" i="1"/>
  <c r="F1305" i="1"/>
  <c r="E1305" i="1"/>
  <c r="D1305" i="1"/>
  <c r="C1305" i="1"/>
  <c r="B1305" i="1"/>
  <c r="A1305" i="1"/>
  <c r="F1304" i="1"/>
  <c r="E1304" i="1"/>
  <c r="D1304" i="1"/>
  <c r="C1304" i="1"/>
  <c r="B1304" i="1"/>
  <c r="A1304" i="1"/>
  <c r="F1303" i="1"/>
  <c r="E1303" i="1"/>
  <c r="D1303" i="1"/>
  <c r="C1303" i="1"/>
  <c r="B1303" i="1"/>
  <c r="A1303" i="1"/>
  <c r="F1302" i="1"/>
  <c r="E1302" i="1"/>
  <c r="D1302" i="1"/>
  <c r="C1302" i="1"/>
  <c r="B1302" i="1"/>
  <c r="A1302" i="1"/>
  <c r="F1301" i="1"/>
  <c r="E1301" i="1"/>
  <c r="D1301" i="1"/>
  <c r="C1301" i="1"/>
  <c r="B1301" i="1"/>
  <c r="A1301" i="1"/>
  <c r="F1300" i="1"/>
  <c r="E1300" i="1"/>
  <c r="D1300" i="1"/>
  <c r="C1300" i="1"/>
  <c r="B1300" i="1"/>
  <c r="A1300" i="1"/>
  <c r="F1299" i="1"/>
  <c r="E1299" i="1"/>
  <c r="D1299" i="1"/>
  <c r="C1299" i="1"/>
  <c r="B1299" i="1"/>
  <c r="A1299" i="1"/>
  <c r="F1298" i="1"/>
  <c r="E1298" i="1"/>
  <c r="D1298" i="1"/>
  <c r="C1298" i="1"/>
  <c r="B1298" i="1"/>
  <c r="A1298" i="1"/>
  <c r="F1297" i="1"/>
  <c r="E1297" i="1"/>
  <c r="D1297" i="1"/>
  <c r="C1297" i="1"/>
  <c r="B1297" i="1"/>
  <c r="A1297" i="1"/>
  <c r="F1296" i="1"/>
  <c r="E1296" i="1"/>
  <c r="D1296" i="1"/>
  <c r="C1296" i="1"/>
  <c r="B1296" i="1"/>
  <c r="A1296" i="1"/>
  <c r="F1295" i="1"/>
  <c r="E1295" i="1"/>
  <c r="D1295" i="1"/>
  <c r="C1295" i="1"/>
  <c r="B1295" i="1"/>
  <c r="A1295" i="1"/>
  <c r="F1294" i="1"/>
  <c r="E1294" i="1"/>
  <c r="D1294" i="1"/>
  <c r="C1294" i="1"/>
  <c r="B1294" i="1"/>
  <c r="A1294" i="1"/>
  <c r="F1293" i="1"/>
  <c r="E1293" i="1"/>
  <c r="D1293" i="1"/>
  <c r="C1293" i="1"/>
  <c r="B1293" i="1"/>
  <c r="A1293" i="1"/>
  <c r="F1292" i="1"/>
  <c r="E1292" i="1"/>
  <c r="D1292" i="1"/>
  <c r="C1292" i="1"/>
  <c r="B1292" i="1"/>
  <c r="A1292" i="1"/>
  <c r="F1291" i="1"/>
  <c r="E1291" i="1"/>
  <c r="D1291" i="1"/>
  <c r="C1291" i="1"/>
  <c r="B1291" i="1"/>
  <c r="A1291" i="1"/>
  <c r="F1290" i="1"/>
  <c r="E1290" i="1"/>
  <c r="D1290" i="1"/>
  <c r="C1290" i="1"/>
  <c r="B1290" i="1"/>
  <c r="A1290" i="1"/>
  <c r="F1289" i="1"/>
  <c r="E1289" i="1"/>
  <c r="D1289" i="1"/>
  <c r="C1289" i="1"/>
  <c r="B1289" i="1"/>
  <c r="A1289" i="1"/>
  <c r="F1288" i="1"/>
  <c r="E1288" i="1"/>
  <c r="D1288" i="1"/>
  <c r="C1288" i="1"/>
  <c r="B1288" i="1"/>
  <c r="A1288" i="1"/>
  <c r="F1287" i="1"/>
  <c r="E1287" i="1"/>
  <c r="D1287" i="1"/>
  <c r="C1287" i="1"/>
  <c r="B1287" i="1"/>
  <c r="A1287" i="1"/>
  <c r="F1286" i="1"/>
  <c r="E1286" i="1"/>
  <c r="D1286" i="1"/>
  <c r="C1286" i="1"/>
  <c r="B1286" i="1"/>
  <c r="A1286" i="1"/>
  <c r="F1285" i="1"/>
  <c r="E1285" i="1"/>
  <c r="D1285" i="1"/>
  <c r="C1285" i="1"/>
  <c r="B1285" i="1"/>
  <c r="A1285" i="1"/>
  <c r="F1284" i="1"/>
  <c r="E1284" i="1"/>
  <c r="D1284" i="1"/>
  <c r="C1284" i="1"/>
  <c r="B1284" i="1"/>
  <c r="A1284" i="1"/>
  <c r="F1283" i="1"/>
  <c r="E1283" i="1"/>
  <c r="D1283" i="1"/>
  <c r="C1283" i="1"/>
  <c r="B1283" i="1"/>
  <c r="A1283" i="1"/>
  <c r="F1282" i="1"/>
  <c r="E1282" i="1"/>
  <c r="D1282" i="1"/>
  <c r="C1282" i="1"/>
  <c r="B1282" i="1"/>
  <c r="A1282" i="1"/>
  <c r="F1281" i="1"/>
  <c r="E1281" i="1"/>
  <c r="D1281" i="1"/>
  <c r="C1281" i="1"/>
  <c r="B1281" i="1"/>
  <c r="A1281" i="1"/>
  <c r="F1280" i="1"/>
  <c r="E1280" i="1"/>
  <c r="D1280" i="1"/>
  <c r="C1280" i="1"/>
  <c r="B1280" i="1"/>
  <c r="A1280" i="1"/>
  <c r="F1279" i="1"/>
  <c r="E1279" i="1"/>
  <c r="D1279" i="1"/>
  <c r="C1279" i="1"/>
  <c r="B1279" i="1"/>
  <c r="A1279" i="1"/>
  <c r="F1278" i="1"/>
  <c r="E1278" i="1"/>
  <c r="D1278" i="1"/>
  <c r="C1278" i="1"/>
  <c r="B1278" i="1"/>
  <c r="A1278" i="1"/>
  <c r="F1277" i="1"/>
  <c r="E1277" i="1"/>
  <c r="D1277" i="1"/>
  <c r="C1277" i="1"/>
  <c r="B1277" i="1"/>
  <c r="A1277" i="1"/>
  <c r="F1276" i="1"/>
  <c r="E1276" i="1"/>
  <c r="D1276" i="1"/>
  <c r="C1276" i="1"/>
  <c r="B1276" i="1"/>
  <c r="A1276" i="1"/>
  <c r="F1275" i="1"/>
  <c r="E1275" i="1"/>
  <c r="D1275" i="1"/>
  <c r="C1275" i="1"/>
  <c r="B1275" i="1"/>
  <c r="A1275" i="1"/>
  <c r="F1274" i="1"/>
  <c r="E1274" i="1"/>
  <c r="D1274" i="1"/>
  <c r="C1274" i="1"/>
  <c r="B1274" i="1"/>
  <c r="A1274" i="1"/>
  <c r="F1273" i="1"/>
  <c r="E1273" i="1"/>
  <c r="D1273" i="1"/>
  <c r="C1273" i="1"/>
  <c r="B1273" i="1"/>
  <c r="A1273" i="1"/>
  <c r="F1272" i="1"/>
  <c r="E1272" i="1"/>
  <c r="D1272" i="1"/>
  <c r="C1272" i="1"/>
  <c r="B1272" i="1"/>
  <c r="A1272" i="1"/>
  <c r="F1271" i="1"/>
  <c r="E1271" i="1"/>
  <c r="D1271" i="1"/>
  <c r="C1271" i="1"/>
  <c r="B1271" i="1"/>
  <c r="A1271" i="1"/>
  <c r="F1270" i="1"/>
  <c r="E1270" i="1"/>
  <c r="D1270" i="1"/>
  <c r="C1270" i="1"/>
  <c r="B1270" i="1"/>
  <c r="A1270" i="1"/>
  <c r="F1269" i="1"/>
  <c r="E1269" i="1"/>
  <c r="D1269" i="1"/>
  <c r="C1269" i="1"/>
  <c r="B1269" i="1"/>
  <c r="A1269" i="1"/>
  <c r="F1268" i="1"/>
  <c r="E1268" i="1"/>
  <c r="D1268" i="1"/>
  <c r="C1268" i="1"/>
  <c r="B1268" i="1"/>
  <c r="A1268" i="1"/>
  <c r="F1267" i="1"/>
  <c r="E1267" i="1"/>
  <c r="D1267" i="1"/>
  <c r="C1267" i="1"/>
  <c r="B1267" i="1"/>
  <c r="A1267" i="1"/>
  <c r="F1266" i="1"/>
  <c r="E1266" i="1"/>
  <c r="D1266" i="1"/>
  <c r="C1266" i="1"/>
  <c r="B1266" i="1"/>
  <c r="A1266" i="1"/>
  <c r="F1265" i="1"/>
  <c r="E1265" i="1"/>
  <c r="D1265" i="1"/>
  <c r="C1265" i="1"/>
  <c r="B1265" i="1"/>
  <c r="A1265" i="1"/>
  <c r="F1264" i="1"/>
  <c r="E1264" i="1"/>
  <c r="D1264" i="1"/>
  <c r="C1264" i="1"/>
  <c r="B1264" i="1"/>
  <c r="A1264" i="1"/>
  <c r="F1263" i="1"/>
  <c r="E1263" i="1"/>
  <c r="D1263" i="1"/>
  <c r="C1263" i="1"/>
  <c r="B1263" i="1"/>
  <c r="A1263" i="1"/>
  <c r="F1262" i="1"/>
  <c r="E1262" i="1"/>
  <c r="D1262" i="1"/>
  <c r="C1262" i="1"/>
  <c r="B1262" i="1"/>
  <c r="A1262" i="1"/>
  <c r="F1261" i="1"/>
  <c r="E1261" i="1"/>
  <c r="D1261" i="1"/>
  <c r="C1261" i="1"/>
  <c r="B1261" i="1"/>
  <c r="A1261" i="1"/>
  <c r="F1260" i="1"/>
  <c r="E1260" i="1"/>
  <c r="D1260" i="1"/>
  <c r="C1260" i="1"/>
  <c r="B1260" i="1"/>
  <c r="A1260" i="1"/>
  <c r="F1259" i="1"/>
  <c r="E1259" i="1"/>
  <c r="D1259" i="1"/>
  <c r="C1259" i="1"/>
  <c r="B1259" i="1"/>
  <c r="A1259" i="1"/>
  <c r="F1258" i="1"/>
  <c r="E1258" i="1"/>
  <c r="D1258" i="1"/>
  <c r="C1258" i="1"/>
  <c r="B1258" i="1"/>
  <c r="A1258" i="1"/>
  <c r="F1257" i="1"/>
  <c r="E1257" i="1"/>
  <c r="D1257" i="1"/>
  <c r="C1257" i="1"/>
  <c r="B1257" i="1"/>
  <c r="A1257" i="1"/>
  <c r="F1256" i="1"/>
  <c r="E1256" i="1"/>
  <c r="D1256" i="1"/>
  <c r="C1256" i="1"/>
  <c r="B1256" i="1"/>
  <c r="A1256" i="1"/>
  <c r="F1255" i="1"/>
  <c r="E1255" i="1"/>
  <c r="D1255" i="1"/>
  <c r="C1255" i="1"/>
  <c r="B1255" i="1"/>
  <c r="A1255" i="1"/>
  <c r="F1254" i="1"/>
  <c r="E1254" i="1"/>
  <c r="D1254" i="1"/>
  <c r="C1254" i="1"/>
  <c r="B1254" i="1"/>
  <c r="A1254" i="1"/>
  <c r="F1253" i="1"/>
  <c r="E1253" i="1"/>
  <c r="D1253" i="1"/>
  <c r="C1253" i="1"/>
  <c r="B1253" i="1"/>
  <c r="A1253" i="1"/>
  <c r="F1252" i="1"/>
  <c r="E1252" i="1"/>
  <c r="D1252" i="1"/>
  <c r="C1252" i="1"/>
  <c r="B1252" i="1"/>
  <c r="A1252" i="1"/>
  <c r="F1251" i="1"/>
  <c r="E1251" i="1"/>
  <c r="D1251" i="1"/>
  <c r="C1251" i="1"/>
  <c r="B1251" i="1"/>
  <c r="A1251" i="1"/>
  <c r="F1250" i="1"/>
  <c r="E1250" i="1"/>
  <c r="D1250" i="1"/>
  <c r="C1250" i="1"/>
  <c r="B1250" i="1"/>
  <c r="A1250" i="1"/>
  <c r="F1249" i="1"/>
  <c r="E1249" i="1"/>
  <c r="D1249" i="1"/>
  <c r="C1249" i="1"/>
  <c r="B1249" i="1"/>
  <c r="A1249" i="1"/>
  <c r="F1248" i="1"/>
  <c r="E1248" i="1"/>
  <c r="D1248" i="1"/>
  <c r="C1248" i="1"/>
  <c r="B1248" i="1"/>
  <c r="A1248" i="1"/>
  <c r="F1247" i="1"/>
  <c r="E1247" i="1"/>
  <c r="D1247" i="1"/>
  <c r="C1247" i="1"/>
  <c r="B1247" i="1"/>
  <c r="A1247" i="1"/>
  <c r="F1246" i="1"/>
  <c r="E1246" i="1"/>
  <c r="D1246" i="1"/>
  <c r="C1246" i="1"/>
  <c r="B1246" i="1"/>
  <c r="A1246" i="1"/>
  <c r="F1245" i="1"/>
  <c r="E1245" i="1"/>
  <c r="D1245" i="1"/>
  <c r="C1245" i="1"/>
  <c r="B1245" i="1"/>
  <c r="A1245" i="1"/>
  <c r="F1244" i="1"/>
  <c r="E1244" i="1"/>
  <c r="D1244" i="1"/>
  <c r="C1244" i="1"/>
  <c r="B1244" i="1"/>
  <c r="A1244" i="1"/>
  <c r="F1243" i="1"/>
  <c r="E1243" i="1"/>
  <c r="D1243" i="1"/>
  <c r="C1243" i="1"/>
  <c r="B1243" i="1"/>
  <c r="A1243" i="1"/>
  <c r="F1242" i="1"/>
  <c r="E1242" i="1"/>
  <c r="D1242" i="1"/>
  <c r="C1242" i="1"/>
  <c r="B1242" i="1"/>
  <c r="A1242" i="1"/>
  <c r="F1241" i="1"/>
  <c r="E1241" i="1"/>
  <c r="D1241" i="1"/>
  <c r="C1241" i="1"/>
  <c r="B1241" i="1"/>
  <c r="A1241" i="1"/>
  <c r="F1240" i="1"/>
  <c r="E1240" i="1"/>
  <c r="D1240" i="1"/>
  <c r="C1240" i="1"/>
  <c r="B1240" i="1"/>
  <c r="A1240" i="1"/>
  <c r="F1239" i="1"/>
  <c r="E1239" i="1"/>
  <c r="D1239" i="1"/>
  <c r="C1239" i="1"/>
  <c r="B1239" i="1"/>
  <c r="A1239" i="1"/>
  <c r="F1238" i="1"/>
  <c r="E1238" i="1"/>
  <c r="D1238" i="1"/>
  <c r="C1238" i="1"/>
  <c r="B1238" i="1"/>
  <c r="A1238" i="1"/>
  <c r="F1237" i="1"/>
  <c r="E1237" i="1"/>
  <c r="D1237" i="1"/>
  <c r="C1237" i="1"/>
  <c r="B1237" i="1"/>
  <c r="A1237" i="1"/>
  <c r="F1236" i="1"/>
  <c r="E1236" i="1"/>
  <c r="D1236" i="1"/>
  <c r="C1236" i="1"/>
  <c r="B1236" i="1"/>
  <c r="A1236" i="1"/>
  <c r="F1235" i="1"/>
  <c r="E1235" i="1"/>
  <c r="D1235" i="1"/>
  <c r="C1235" i="1"/>
  <c r="B1235" i="1"/>
  <c r="A1235" i="1"/>
  <c r="F1234" i="1"/>
  <c r="E1234" i="1"/>
  <c r="D1234" i="1"/>
  <c r="C1234" i="1"/>
  <c r="B1234" i="1"/>
  <c r="A1234" i="1"/>
  <c r="F1233" i="1"/>
  <c r="E1233" i="1"/>
  <c r="D1233" i="1"/>
  <c r="C1233" i="1"/>
  <c r="B1233" i="1"/>
  <c r="A1233" i="1"/>
  <c r="F1232" i="1"/>
  <c r="E1232" i="1"/>
  <c r="D1232" i="1"/>
  <c r="C1232" i="1"/>
  <c r="B1232" i="1"/>
  <c r="A1232" i="1"/>
  <c r="F1231" i="1"/>
  <c r="E1231" i="1"/>
  <c r="D1231" i="1"/>
  <c r="C1231" i="1"/>
  <c r="B1231" i="1"/>
  <c r="A1231" i="1"/>
  <c r="F1230" i="1"/>
  <c r="E1230" i="1"/>
  <c r="D1230" i="1"/>
  <c r="C1230" i="1"/>
  <c r="B1230" i="1"/>
  <c r="A1230" i="1"/>
  <c r="F1229" i="1"/>
  <c r="E1229" i="1"/>
  <c r="D1229" i="1"/>
  <c r="C1229" i="1"/>
  <c r="B1229" i="1"/>
  <c r="A1229" i="1"/>
  <c r="F1228" i="1"/>
  <c r="E1228" i="1"/>
  <c r="D1228" i="1"/>
  <c r="C1228" i="1"/>
  <c r="B1228" i="1"/>
  <c r="A1228" i="1"/>
  <c r="F1227" i="1"/>
  <c r="E1227" i="1"/>
  <c r="D1227" i="1"/>
  <c r="C1227" i="1"/>
  <c r="B1227" i="1"/>
  <c r="A1227" i="1"/>
  <c r="F1226" i="1"/>
  <c r="E1226" i="1"/>
  <c r="D1226" i="1"/>
  <c r="C1226" i="1"/>
  <c r="B1226" i="1"/>
  <c r="A1226" i="1"/>
  <c r="F1225" i="1"/>
  <c r="E1225" i="1"/>
  <c r="D1225" i="1"/>
  <c r="C1225" i="1"/>
  <c r="B1225" i="1"/>
  <c r="A1225" i="1"/>
  <c r="F1224" i="1"/>
  <c r="E1224" i="1"/>
  <c r="D1224" i="1"/>
  <c r="C1224" i="1"/>
  <c r="B1224" i="1"/>
  <c r="A1224" i="1"/>
  <c r="F1223" i="1"/>
  <c r="E1223" i="1"/>
  <c r="D1223" i="1"/>
  <c r="C1223" i="1"/>
  <c r="B1223" i="1"/>
  <c r="A1223" i="1"/>
  <c r="F1222" i="1"/>
  <c r="E1222" i="1"/>
  <c r="D1222" i="1"/>
  <c r="C1222" i="1"/>
  <c r="B1222" i="1"/>
  <c r="A1222" i="1"/>
  <c r="F1221" i="1"/>
  <c r="E1221" i="1"/>
  <c r="D1221" i="1"/>
  <c r="C1221" i="1"/>
  <c r="B1221" i="1"/>
  <c r="A1221" i="1"/>
  <c r="F1220" i="1"/>
  <c r="E1220" i="1"/>
  <c r="D1220" i="1"/>
  <c r="C1220" i="1"/>
  <c r="B1220" i="1"/>
  <c r="A1220" i="1"/>
  <c r="F1219" i="1"/>
  <c r="E1219" i="1"/>
  <c r="D1219" i="1"/>
  <c r="C1219" i="1"/>
  <c r="B1219" i="1"/>
  <c r="A1219" i="1"/>
  <c r="F1218" i="1"/>
  <c r="E1218" i="1"/>
  <c r="D1218" i="1"/>
  <c r="C1218" i="1"/>
  <c r="B1218" i="1"/>
  <c r="A1218" i="1"/>
  <c r="F1217" i="1"/>
  <c r="E1217" i="1"/>
  <c r="D1217" i="1"/>
  <c r="C1217" i="1"/>
  <c r="B1217" i="1"/>
  <c r="A1217" i="1"/>
  <c r="F1216" i="1"/>
  <c r="E1216" i="1"/>
  <c r="D1216" i="1"/>
  <c r="C1216" i="1"/>
  <c r="B1216" i="1"/>
  <c r="A1216" i="1"/>
  <c r="F1215" i="1"/>
  <c r="E1215" i="1"/>
  <c r="D1215" i="1"/>
  <c r="C1215" i="1"/>
  <c r="B1215" i="1"/>
  <c r="A1215" i="1"/>
  <c r="F1214" i="1"/>
  <c r="E1214" i="1"/>
  <c r="D1214" i="1"/>
  <c r="C1214" i="1"/>
  <c r="B1214" i="1"/>
  <c r="A1214" i="1"/>
  <c r="F1213" i="1"/>
  <c r="E1213" i="1"/>
  <c r="D1213" i="1"/>
  <c r="C1213" i="1"/>
  <c r="B1213" i="1"/>
  <c r="A1213" i="1"/>
  <c r="F1212" i="1"/>
  <c r="E1212" i="1"/>
  <c r="D1212" i="1"/>
  <c r="C1212" i="1"/>
  <c r="B1212" i="1"/>
  <c r="A1212" i="1"/>
  <c r="F1211" i="1"/>
  <c r="E1211" i="1"/>
  <c r="D1211" i="1"/>
  <c r="C1211" i="1"/>
  <c r="B1211" i="1"/>
  <c r="A1211" i="1"/>
  <c r="F1210" i="1"/>
  <c r="E1210" i="1"/>
  <c r="D1210" i="1"/>
  <c r="C1210" i="1"/>
  <c r="B1210" i="1"/>
  <c r="A1210" i="1"/>
  <c r="F1209" i="1"/>
  <c r="E1209" i="1"/>
  <c r="D1209" i="1"/>
  <c r="C1209" i="1"/>
  <c r="B1209" i="1"/>
  <c r="A1209" i="1"/>
  <c r="F1208" i="1"/>
  <c r="E1208" i="1"/>
  <c r="D1208" i="1"/>
  <c r="C1208" i="1"/>
  <c r="B1208" i="1"/>
  <c r="A1208" i="1"/>
  <c r="F1207" i="1"/>
  <c r="E1207" i="1"/>
  <c r="D1207" i="1"/>
  <c r="C1207" i="1"/>
  <c r="B1207" i="1"/>
  <c r="A1207" i="1"/>
  <c r="F1206" i="1"/>
  <c r="E1206" i="1"/>
  <c r="D1206" i="1"/>
  <c r="C1206" i="1"/>
  <c r="B1206" i="1"/>
  <c r="A1206" i="1"/>
  <c r="F1205" i="1"/>
  <c r="E1205" i="1"/>
  <c r="D1205" i="1"/>
  <c r="C1205" i="1"/>
  <c r="B1205" i="1"/>
  <c r="A1205" i="1"/>
  <c r="F1204" i="1"/>
  <c r="E1204" i="1"/>
  <c r="D1204" i="1"/>
  <c r="C1204" i="1"/>
  <c r="B1204" i="1"/>
  <c r="A1204" i="1"/>
  <c r="F1203" i="1"/>
  <c r="E1203" i="1"/>
  <c r="D1203" i="1"/>
  <c r="C1203" i="1"/>
  <c r="B1203" i="1"/>
  <c r="A1203" i="1"/>
  <c r="F1202" i="1"/>
  <c r="E1202" i="1"/>
  <c r="D1202" i="1"/>
  <c r="C1202" i="1"/>
  <c r="B1202" i="1"/>
  <c r="A1202" i="1"/>
  <c r="F1201" i="1"/>
  <c r="E1201" i="1"/>
  <c r="D1201" i="1"/>
  <c r="C1201" i="1"/>
  <c r="B1201" i="1"/>
  <c r="A1201" i="1"/>
  <c r="F1200" i="1"/>
  <c r="E1200" i="1"/>
  <c r="D1200" i="1"/>
  <c r="C1200" i="1"/>
  <c r="B1200" i="1"/>
  <c r="A1200" i="1"/>
  <c r="F1199" i="1"/>
  <c r="E1199" i="1"/>
  <c r="D1199" i="1"/>
  <c r="C1199" i="1"/>
  <c r="B1199" i="1"/>
  <c r="A1199" i="1"/>
  <c r="F1198" i="1"/>
  <c r="E1198" i="1"/>
  <c r="D1198" i="1"/>
  <c r="C1198" i="1"/>
  <c r="B1198" i="1"/>
  <c r="A1198" i="1"/>
  <c r="F1197" i="1"/>
  <c r="E1197" i="1"/>
  <c r="D1197" i="1"/>
  <c r="C1197" i="1"/>
  <c r="B1197" i="1"/>
  <c r="A1197" i="1"/>
  <c r="F1196" i="1"/>
  <c r="E1196" i="1"/>
  <c r="D1196" i="1"/>
  <c r="C1196" i="1"/>
  <c r="B1196" i="1"/>
  <c r="A1196" i="1"/>
  <c r="F1195" i="1"/>
  <c r="E1195" i="1"/>
  <c r="D1195" i="1"/>
  <c r="C1195" i="1"/>
  <c r="B1195" i="1"/>
  <c r="A1195" i="1"/>
  <c r="F1194" i="1"/>
  <c r="E1194" i="1"/>
  <c r="D1194" i="1"/>
  <c r="C1194" i="1"/>
  <c r="B1194" i="1"/>
  <c r="A1194" i="1"/>
  <c r="F1193" i="1"/>
  <c r="E1193" i="1"/>
  <c r="D1193" i="1"/>
  <c r="C1193" i="1"/>
  <c r="B1193" i="1"/>
  <c r="A1193" i="1"/>
  <c r="F1192" i="1"/>
  <c r="E1192" i="1"/>
  <c r="D1192" i="1"/>
  <c r="C1192" i="1"/>
  <c r="B1192" i="1"/>
  <c r="A1192" i="1"/>
  <c r="F1191" i="1"/>
  <c r="E1191" i="1"/>
  <c r="D1191" i="1"/>
  <c r="C1191" i="1"/>
  <c r="B1191" i="1"/>
  <c r="A1191" i="1"/>
  <c r="F1190" i="1"/>
  <c r="E1190" i="1"/>
  <c r="D1190" i="1"/>
  <c r="C1190" i="1"/>
  <c r="B1190" i="1"/>
  <c r="A1190" i="1"/>
  <c r="F1189" i="1"/>
  <c r="E1189" i="1"/>
  <c r="D1189" i="1"/>
  <c r="C1189" i="1"/>
  <c r="B1189" i="1"/>
  <c r="A1189" i="1"/>
  <c r="F1188" i="1"/>
  <c r="E1188" i="1"/>
  <c r="D1188" i="1"/>
  <c r="C1188" i="1"/>
  <c r="B1188" i="1"/>
  <c r="A1188" i="1"/>
  <c r="F1187" i="1"/>
  <c r="E1187" i="1"/>
  <c r="D1187" i="1"/>
  <c r="C1187" i="1"/>
  <c r="B1187" i="1"/>
  <c r="A1187" i="1"/>
  <c r="F1186" i="1"/>
  <c r="E1186" i="1"/>
  <c r="D1186" i="1"/>
  <c r="C1186" i="1"/>
  <c r="B1186" i="1"/>
  <c r="A1186" i="1"/>
  <c r="F1185" i="1"/>
  <c r="E1185" i="1"/>
  <c r="D1185" i="1"/>
  <c r="C1185" i="1"/>
  <c r="B1185" i="1"/>
  <c r="A1185" i="1"/>
  <c r="F1184" i="1"/>
  <c r="E1184" i="1"/>
  <c r="D1184" i="1"/>
  <c r="C1184" i="1"/>
  <c r="B1184" i="1"/>
  <c r="A1184" i="1"/>
  <c r="F1183" i="1"/>
  <c r="E1183" i="1"/>
  <c r="D1183" i="1"/>
  <c r="C1183" i="1"/>
  <c r="B1183" i="1"/>
  <c r="A1183" i="1"/>
  <c r="F1182" i="1"/>
  <c r="E1182" i="1"/>
  <c r="D1182" i="1"/>
  <c r="C1182" i="1"/>
  <c r="B1182" i="1"/>
  <c r="A1182" i="1"/>
  <c r="F1181" i="1"/>
  <c r="E1181" i="1"/>
  <c r="D1181" i="1"/>
  <c r="C1181" i="1"/>
  <c r="B1181" i="1"/>
  <c r="A1181" i="1"/>
  <c r="F1180" i="1"/>
  <c r="E1180" i="1"/>
  <c r="D1180" i="1"/>
  <c r="C1180" i="1"/>
  <c r="B1180" i="1"/>
  <c r="A1180" i="1"/>
  <c r="F1179" i="1"/>
  <c r="E1179" i="1"/>
  <c r="D1179" i="1"/>
  <c r="C1179" i="1"/>
  <c r="B1179" i="1"/>
  <c r="A1179" i="1"/>
  <c r="F1178" i="1"/>
  <c r="E1178" i="1"/>
  <c r="D1178" i="1"/>
  <c r="C1178" i="1"/>
  <c r="B1178" i="1"/>
  <c r="A1178" i="1"/>
  <c r="F1177" i="1"/>
  <c r="E1177" i="1"/>
  <c r="D1177" i="1"/>
  <c r="C1177" i="1"/>
  <c r="B1177" i="1"/>
  <c r="A1177" i="1"/>
  <c r="F1176" i="1"/>
  <c r="E1176" i="1"/>
  <c r="D1176" i="1"/>
  <c r="C1176" i="1"/>
  <c r="B1176" i="1"/>
  <c r="A1176" i="1"/>
  <c r="F1175" i="1"/>
  <c r="E1175" i="1"/>
  <c r="D1175" i="1"/>
  <c r="C1175" i="1"/>
  <c r="B1175" i="1"/>
  <c r="A1175" i="1"/>
  <c r="F1174" i="1"/>
  <c r="E1174" i="1"/>
  <c r="D1174" i="1"/>
  <c r="C1174" i="1"/>
  <c r="B1174" i="1"/>
  <c r="A1174" i="1"/>
  <c r="F1173" i="1"/>
  <c r="E1173" i="1"/>
  <c r="D1173" i="1"/>
  <c r="C1173" i="1"/>
  <c r="B1173" i="1"/>
  <c r="A1173" i="1"/>
  <c r="F1172" i="1"/>
  <c r="E1172" i="1"/>
  <c r="D1172" i="1"/>
  <c r="C1172" i="1"/>
  <c r="B1172" i="1"/>
  <c r="A1172" i="1"/>
  <c r="F1171" i="1"/>
  <c r="E1171" i="1"/>
  <c r="D1171" i="1"/>
  <c r="C1171" i="1"/>
  <c r="B1171" i="1"/>
  <c r="A1171" i="1"/>
  <c r="F1170" i="1"/>
  <c r="E1170" i="1"/>
  <c r="D1170" i="1"/>
  <c r="C1170" i="1"/>
  <c r="B1170" i="1"/>
  <c r="A1170" i="1"/>
  <c r="F1169" i="1"/>
  <c r="E1169" i="1"/>
  <c r="D1169" i="1"/>
  <c r="C1169" i="1"/>
  <c r="B1169" i="1"/>
  <c r="A1169" i="1"/>
  <c r="F1168" i="1"/>
  <c r="E1168" i="1"/>
  <c r="D1168" i="1"/>
  <c r="C1168" i="1"/>
  <c r="B1168" i="1"/>
  <c r="A1168" i="1"/>
  <c r="F1167" i="1"/>
  <c r="E1167" i="1"/>
  <c r="D1167" i="1"/>
  <c r="C1167" i="1"/>
  <c r="B1167" i="1"/>
  <c r="A1167" i="1"/>
  <c r="F1166" i="1"/>
  <c r="E1166" i="1"/>
  <c r="D1166" i="1"/>
  <c r="C1166" i="1"/>
  <c r="B1166" i="1"/>
  <c r="A1166" i="1"/>
  <c r="F1165" i="1"/>
  <c r="E1165" i="1"/>
  <c r="D1165" i="1"/>
  <c r="C1165" i="1"/>
  <c r="B1165" i="1"/>
  <c r="A1165" i="1"/>
  <c r="F1164" i="1"/>
  <c r="E1164" i="1"/>
  <c r="D1164" i="1"/>
  <c r="C1164" i="1"/>
  <c r="B1164" i="1"/>
  <c r="A1164" i="1"/>
  <c r="F1163" i="1"/>
  <c r="E1163" i="1"/>
  <c r="D1163" i="1"/>
  <c r="C1163" i="1"/>
  <c r="B1163" i="1"/>
  <c r="A1163" i="1"/>
  <c r="F1162" i="1"/>
  <c r="E1162" i="1"/>
  <c r="D1162" i="1"/>
  <c r="C1162" i="1"/>
  <c r="B1162" i="1"/>
  <c r="A1162" i="1"/>
  <c r="F1161" i="1"/>
  <c r="E1161" i="1"/>
  <c r="D1161" i="1"/>
  <c r="C1161" i="1"/>
  <c r="B1161" i="1"/>
  <c r="A1161" i="1"/>
  <c r="F1160" i="1"/>
  <c r="E1160" i="1"/>
  <c r="D1160" i="1"/>
  <c r="C1160" i="1"/>
  <c r="B1160" i="1"/>
  <c r="A1160" i="1"/>
  <c r="F1159" i="1"/>
  <c r="E1159" i="1"/>
  <c r="D1159" i="1"/>
  <c r="C1159" i="1"/>
  <c r="B1159" i="1"/>
  <c r="A1159" i="1"/>
  <c r="F1158" i="1"/>
  <c r="E1158" i="1"/>
  <c r="D1158" i="1"/>
  <c r="C1158" i="1"/>
  <c r="B1158" i="1"/>
  <c r="A1158" i="1"/>
  <c r="F1157" i="1"/>
  <c r="E1157" i="1"/>
  <c r="D1157" i="1"/>
  <c r="C1157" i="1"/>
  <c r="B1157" i="1"/>
  <c r="A1157" i="1"/>
  <c r="F1156" i="1"/>
  <c r="E1156" i="1"/>
  <c r="D1156" i="1"/>
  <c r="C1156" i="1"/>
  <c r="B1156" i="1"/>
  <c r="A1156" i="1"/>
  <c r="F1155" i="1"/>
  <c r="E1155" i="1"/>
  <c r="D1155" i="1"/>
  <c r="C1155" i="1"/>
  <c r="B1155" i="1"/>
  <c r="A1155" i="1"/>
  <c r="F1154" i="1"/>
  <c r="E1154" i="1"/>
  <c r="D1154" i="1"/>
  <c r="C1154" i="1"/>
  <c r="B1154" i="1"/>
  <c r="A1154" i="1"/>
  <c r="F1153" i="1"/>
  <c r="E1153" i="1"/>
  <c r="D1153" i="1"/>
  <c r="C1153" i="1"/>
  <c r="B1153" i="1"/>
  <c r="A1153" i="1"/>
  <c r="F1152" i="1"/>
  <c r="E1152" i="1"/>
  <c r="D1152" i="1"/>
  <c r="C1152" i="1"/>
  <c r="B1152" i="1"/>
  <c r="A1152" i="1"/>
  <c r="F1151" i="1"/>
  <c r="E1151" i="1"/>
  <c r="D1151" i="1"/>
  <c r="C1151" i="1"/>
  <c r="B1151" i="1"/>
  <c r="A1151" i="1"/>
  <c r="F1150" i="1"/>
  <c r="E1150" i="1"/>
  <c r="D1150" i="1"/>
  <c r="C1150" i="1"/>
  <c r="B1150" i="1"/>
  <c r="A1150" i="1"/>
  <c r="F1149" i="1"/>
  <c r="E1149" i="1"/>
  <c r="D1149" i="1"/>
  <c r="C1149" i="1"/>
  <c r="B1149" i="1"/>
  <c r="A1149" i="1"/>
  <c r="F1148" i="1"/>
  <c r="E1148" i="1"/>
  <c r="D1148" i="1"/>
  <c r="C1148" i="1"/>
  <c r="B1148" i="1"/>
  <c r="A1148" i="1"/>
  <c r="F1147" i="1"/>
  <c r="E1147" i="1"/>
  <c r="D1147" i="1"/>
  <c r="C1147" i="1"/>
  <c r="B1147" i="1"/>
  <c r="A1147" i="1"/>
  <c r="F1146" i="1"/>
  <c r="E1146" i="1"/>
  <c r="D1146" i="1"/>
  <c r="C1146" i="1"/>
  <c r="B1146" i="1"/>
  <c r="A1146" i="1"/>
  <c r="F1145" i="1"/>
  <c r="E1145" i="1"/>
  <c r="D1145" i="1"/>
  <c r="C1145" i="1"/>
  <c r="B1145" i="1"/>
  <c r="A1145" i="1"/>
  <c r="F1144" i="1"/>
  <c r="E1144" i="1"/>
  <c r="D1144" i="1"/>
  <c r="C1144" i="1"/>
  <c r="B1144" i="1"/>
  <c r="A1144" i="1"/>
  <c r="F1143" i="1"/>
  <c r="E1143" i="1"/>
  <c r="D1143" i="1"/>
  <c r="C1143" i="1"/>
  <c r="B1143" i="1"/>
  <c r="A1143" i="1"/>
  <c r="F1142" i="1"/>
  <c r="E1142" i="1"/>
  <c r="D1142" i="1"/>
  <c r="C1142" i="1"/>
  <c r="B1142" i="1"/>
  <c r="A1142" i="1"/>
  <c r="F1141" i="1"/>
  <c r="E1141" i="1"/>
  <c r="D1141" i="1"/>
  <c r="C1141" i="1"/>
  <c r="B1141" i="1"/>
  <c r="A1141" i="1"/>
  <c r="F1140" i="1"/>
  <c r="E1140" i="1"/>
  <c r="D1140" i="1"/>
  <c r="C1140" i="1"/>
  <c r="B1140" i="1"/>
  <c r="A1140" i="1"/>
  <c r="F1139" i="1"/>
  <c r="E1139" i="1"/>
  <c r="D1139" i="1"/>
  <c r="C1139" i="1"/>
  <c r="B1139" i="1"/>
  <c r="A1139" i="1"/>
  <c r="F1138" i="1"/>
  <c r="E1138" i="1"/>
  <c r="D1138" i="1"/>
  <c r="C1138" i="1"/>
  <c r="B1138" i="1"/>
  <c r="A1138" i="1"/>
  <c r="F1137" i="1"/>
  <c r="E1137" i="1"/>
  <c r="D1137" i="1"/>
  <c r="C1137" i="1"/>
  <c r="B1137" i="1"/>
  <c r="A1137" i="1"/>
  <c r="F1136" i="1"/>
  <c r="E1136" i="1"/>
  <c r="D1136" i="1"/>
  <c r="C1136" i="1"/>
  <c r="B1136" i="1"/>
  <c r="A1136" i="1"/>
  <c r="F1135" i="1"/>
  <c r="E1135" i="1"/>
  <c r="D1135" i="1"/>
  <c r="C1135" i="1"/>
  <c r="B1135" i="1"/>
  <c r="A1135" i="1"/>
  <c r="F1134" i="1"/>
  <c r="E1134" i="1"/>
  <c r="D1134" i="1"/>
  <c r="C1134" i="1"/>
  <c r="B1134" i="1"/>
  <c r="A1134" i="1"/>
  <c r="F1133" i="1"/>
  <c r="E1133" i="1"/>
  <c r="D1133" i="1"/>
  <c r="C1133" i="1"/>
  <c r="B1133" i="1"/>
  <c r="A1133" i="1"/>
  <c r="F1132" i="1"/>
  <c r="E1132" i="1"/>
  <c r="D1132" i="1"/>
  <c r="C1132" i="1"/>
  <c r="B1132" i="1"/>
  <c r="A1132" i="1"/>
  <c r="F1131" i="1"/>
  <c r="E1131" i="1"/>
  <c r="D1131" i="1"/>
  <c r="C1131" i="1"/>
  <c r="B1131" i="1"/>
  <c r="A1131" i="1"/>
  <c r="F1130" i="1"/>
  <c r="E1130" i="1"/>
  <c r="D1130" i="1"/>
  <c r="C1130" i="1"/>
  <c r="B1130" i="1"/>
  <c r="A1130" i="1"/>
  <c r="F1129" i="1"/>
  <c r="E1129" i="1"/>
  <c r="D1129" i="1"/>
  <c r="C1129" i="1"/>
  <c r="B1129" i="1"/>
  <c r="A1129" i="1"/>
  <c r="F1128" i="1"/>
  <c r="E1128" i="1"/>
  <c r="D1128" i="1"/>
  <c r="C1128" i="1"/>
  <c r="B1128" i="1"/>
  <c r="A1128" i="1"/>
  <c r="F1127" i="1"/>
  <c r="E1127" i="1"/>
  <c r="D1127" i="1"/>
  <c r="C1127" i="1"/>
  <c r="B1127" i="1"/>
  <c r="A1127" i="1"/>
  <c r="F1126" i="1"/>
  <c r="E1126" i="1"/>
  <c r="D1126" i="1"/>
  <c r="C1126" i="1"/>
  <c r="B1126" i="1"/>
  <c r="A1126" i="1"/>
  <c r="F1125" i="1"/>
  <c r="E1125" i="1"/>
  <c r="D1125" i="1"/>
  <c r="C1125" i="1"/>
  <c r="B1125" i="1"/>
  <c r="A1125" i="1"/>
  <c r="F1124" i="1"/>
  <c r="E1124" i="1"/>
  <c r="D1124" i="1"/>
  <c r="C1124" i="1"/>
  <c r="B1124" i="1"/>
  <c r="A1124" i="1"/>
  <c r="F1123" i="1"/>
  <c r="E1123" i="1"/>
  <c r="D1123" i="1"/>
  <c r="C1123" i="1"/>
  <c r="B1123" i="1"/>
  <c r="A1123" i="1"/>
  <c r="F1122" i="1"/>
  <c r="E1122" i="1"/>
  <c r="D1122" i="1"/>
  <c r="C1122" i="1"/>
  <c r="B1122" i="1"/>
  <c r="A1122" i="1"/>
  <c r="F1121" i="1"/>
  <c r="E1121" i="1"/>
  <c r="D1121" i="1"/>
  <c r="C1121" i="1"/>
  <c r="B1121" i="1"/>
  <c r="A1121" i="1"/>
  <c r="F1120" i="1"/>
  <c r="E1120" i="1"/>
  <c r="D1120" i="1"/>
  <c r="C1120" i="1"/>
  <c r="B1120" i="1"/>
  <c r="A1120" i="1"/>
  <c r="F1119" i="1"/>
  <c r="E1119" i="1"/>
  <c r="D1119" i="1"/>
  <c r="C1119" i="1"/>
  <c r="B1119" i="1"/>
  <c r="A1119" i="1"/>
  <c r="F1118" i="1"/>
  <c r="E1118" i="1"/>
  <c r="D1118" i="1"/>
  <c r="C1118" i="1"/>
  <c r="B1118" i="1"/>
  <c r="A1118" i="1"/>
  <c r="F1117" i="1"/>
  <c r="E1117" i="1"/>
  <c r="D1117" i="1"/>
  <c r="C1117" i="1"/>
  <c r="B1117" i="1"/>
  <c r="A1117" i="1"/>
  <c r="F1116" i="1"/>
  <c r="E1116" i="1"/>
  <c r="D1116" i="1"/>
  <c r="C1116" i="1"/>
  <c r="B1116" i="1"/>
  <c r="A1116" i="1"/>
  <c r="F1115" i="1"/>
  <c r="E1115" i="1"/>
  <c r="D1115" i="1"/>
  <c r="C1115" i="1"/>
  <c r="B1115" i="1"/>
  <c r="A1115" i="1"/>
  <c r="F1114" i="1"/>
  <c r="E1114" i="1"/>
  <c r="D1114" i="1"/>
  <c r="C1114" i="1"/>
  <c r="B1114" i="1"/>
  <c r="A1114" i="1"/>
  <c r="F1113" i="1"/>
  <c r="E1113" i="1"/>
  <c r="D1113" i="1"/>
  <c r="C1113" i="1"/>
  <c r="B1113" i="1"/>
  <c r="A1113" i="1"/>
  <c r="F1112" i="1"/>
  <c r="E1112" i="1"/>
  <c r="D1112" i="1"/>
  <c r="C1112" i="1"/>
  <c r="B1112" i="1"/>
  <c r="A1112" i="1"/>
  <c r="F1111" i="1"/>
  <c r="E1111" i="1"/>
  <c r="D1111" i="1"/>
  <c r="C1111" i="1"/>
  <c r="B1111" i="1"/>
  <c r="A1111" i="1"/>
  <c r="F1110" i="1"/>
  <c r="E1110" i="1"/>
  <c r="D1110" i="1"/>
  <c r="C1110" i="1"/>
  <c r="B1110" i="1"/>
  <c r="A1110" i="1"/>
  <c r="F1109" i="1"/>
  <c r="E1109" i="1"/>
  <c r="D1109" i="1"/>
  <c r="C1109" i="1"/>
  <c r="B1109" i="1"/>
  <c r="A1109" i="1"/>
  <c r="F1108" i="1"/>
  <c r="E1108" i="1"/>
  <c r="D1108" i="1"/>
  <c r="C1108" i="1"/>
  <c r="B1108" i="1"/>
  <c r="A1108" i="1"/>
  <c r="F1107" i="1"/>
  <c r="E1107" i="1"/>
  <c r="D1107" i="1"/>
  <c r="C1107" i="1"/>
  <c r="B1107" i="1"/>
  <c r="A1107" i="1"/>
  <c r="F1106" i="1"/>
  <c r="E1106" i="1"/>
  <c r="D1106" i="1"/>
  <c r="C1106" i="1"/>
  <c r="B1106" i="1"/>
  <c r="A1106" i="1"/>
  <c r="F1105" i="1"/>
  <c r="E1105" i="1"/>
  <c r="D1105" i="1"/>
  <c r="C1105" i="1"/>
  <c r="B1105" i="1"/>
  <c r="A1105" i="1"/>
  <c r="F1104" i="1"/>
  <c r="E1104" i="1"/>
  <c r="D1104" i="1"/>
  <c r="C1104" i="1"/>
  <c r="B1104" i="1"/>
  <c r="A1104" i="1"/>
  <c r="F1103" i="1"/>
  <c r="E1103" i="1"/>
  <c r="D1103" i="1"/>
  <c r="C1103" i="1"/>
  <c r="B1103" i="1"/>
  <c r="A1103" i="1"/>
  <c r="F1102" i="1"/>
  <c r="E1102" i="1"/>
  <c r="D1102" i="1"/>
  <c r="C1102" i="1"/>
  <c r="B1102" i="1"/>
  <c r="A1102" i="1"/>
  <c r="F1101" i="1"/>
  <c r="E1101" i="1"/>
  <c r="D1101" i="1"/>
  <c r="C1101" i="1"/>
  <c r="B1101" i="1"/>
  <c r="A1101" i="1"/>
  <c r="F1100" i="1"/>
  <c r="E1100" i="1"/>
  <c r="D1100" i="1"/>
  <c r="C1100" i="1"/>
  <c r="B1100" i="1"/>
  <c r="A1100" i="1"/>
  <c r="F1099" i="1"/>
  <c r="E1099" i="1"/>
  <c r="D1099" i="1"/>
  <c r="C1099" i="1"/>
  <c r="B1099" i="1"/>
  <c r="A1099" i="1"/>
  <c r="F1098" i="1"/>
  <c r="E1098" i="1"/>
  <c r="D1098" i="1"/>
  <c r="C1098" i="1"/>
  <c r="B1098" i="1"/>
  <c r="A1098" i="1"/>
  <c r="F1097" i="1"/>
  <c r="E1097" i="1"/>
  <c r="D1097" i="1"/>
  <c r="C1097" i="1"/>
  <c r="B1097" i="1"/>
  <c r="A1097" i="1"/>
  <c r="F1096" i="1"/>
  <c r="E1096" i="1"/>
  <c r="D1096" i="1"/>
  <c r="C1096" i="1"/>
  <c r="B1096" i="1"/>
  <c r="A1096" i="1"/>
  <c r="F1095" i="1"/>
  <c r="E1095" i="1"/>
  <c r="D1095" i="1"/>
  <c r="C1095" i="1"/>
  <c r="B1095" i="1"/>
  <c r="A1095" i="1"/>
  <c r="F1094" i="1"/>
  <c r="E1094" i="1"/>
  <c r="D1094" i="1"/>
  <c r="C1094" i="1"/>
  <c r="B1094" i="1"/>
  <c r="A1094" i="1"/>
  <c r="F1093" i="1"/>
  <c r="E1093" i="1"/>
  <c r="D1093" i="1"/>
  <c r="C1093" i="1"/>
  <c r="B1093" i="1"/>
  <c r="A1093" i="1"/>
  <c r="F1092" i="1"/>
  <c r="E1092" i="1"/>
  <c r="D1092" i="1"/>
  <c r="C1092" i="1"/>
  <c r="B1092" i="1"/>
  <c r="A1092" i="1"/>
  <c r="F1091" i="1"/>
  <c r="E1091" i="1"/>
  <c r="D1091" i="1"/>
  <c r="C1091" i="1"/>
  <c r="B1091" i="1"/>
  <c r="A1091" i="1"/>
  <c r="F1090" i="1"/>
  <c r="E1090" i="1"/>
  <c r="D1090" i="1"/>
  <c r="C1090" i="1"/>
  <c r="B1090" i="1"/>
  <c r="A1090" i="1"/>
  <c r="F1089" i="1"/>
  <c r="E1089" i="1"/>
  <c r="D1089" i="1"/>
  <c r="C1089" i="1"/>
  <c r="B1089" i="1"/>
  <c r="A1089" i="1"/>
  <c r="F1088" i="1"/>
  <c r="E1088" i="1"/>
  <c r="D1088" i="1"/>
  <c r="C1088" i="1"/>
  <c r="B1088" i="1"/>
  <c r="A1088" i="1"/>
  <c r="F1087" i="1"/>
  <c r="E1087" i="1"/>
  <c r="D1087" i="1"/>
  <c r="C1087" i="1"/>
  <c r="B1087" i="1"/>
  <c r="A1087" i="1"/>
  <c r="F1086" i="1"/>
  <c r="E1086" i="1"/>
  <c r="D1086" i="1"/>
  <c r="C1086" i="1"/>
  <c r="B1086" i="1"/>
  <c r="A1086" i="1"/>
  <c r="F1085" i="1"/>
  <c r="E1085" i="1"/>
  <c r="D1085" i="1"/>
  <c r="C1085" i="1"/>
  <c r="B1085" i="1"/>
  <c r="A1085" i="1"/>
  <c r="F1084" i="1"/>
  <c r="E1084" i="1"/>
  <c r="D1084" i="1"/>
  <c r="C1084" i="1"/>
  <c r="B1084" i="1"/>
  <c r="A1084" i="1"/>
  <c r="F1083" i="1"/>
  <c r="E1083" i="1"/>
  <c r="D1083" i="1"/>
  <c r="C1083" i="1"/>
  <c r="B1083" i="1"/>
  <c r="A1083" i="1"/>
  <c r="F1082" i="1"/>
  <c r="E1082" i="1"/>
  <c r="D1082" i="1"/>
  <c r="C1082" i="1"/>
  <c r="B1082" i="1"/>
  <c r="A1082" i="1"/>
  <c r="F1081" i="1"/>
  <c r="E1081" i="1"/>
  <c r="D1081" i="1"/>
  <c r="C1081" i="1"/>
  <c r="B1081" i="1"/>
  <c r="A1081" i="1"/>
  <c r="F1080" i="1"/>
  <c r="E1080" i="1"/>
  <c r="D1080" i="1"/>
  <c r="C1080" i="1"/>
  <c r="B1080" i="1"/>
  <c r="A1080" i="1"/>
  <c r="F1079" i="1"/>
  <c r="E1079" i="1"/>
  <c r="D1079" i="1"/>
  <c r="C1079" i="1"/>
  <c r="B1079" i="1"/>
  <c r="A1079" i="1"/>
  <c r="F1078" i="1"/>
  <c r="E1078" i="1"/>
  <c r="D1078" i="1"/>
  <c r="C1078" i="1"/>
  <c r="B1078" i="1"/>
  <c r="A1078" i="1"/>
  <c r="F1077" i="1"/>
  <c r="E1077" i="1"/>
  <c r="D1077" i="1"/>
  <c r="C1077" i="1"/>
  <c r="B1077" i="1"/>
  <c r="A1077" i="1"/>
  <c r="F1076" i="1"/>
  <c r="E1076" i="1"/>
  <c r="D1076" i="1"/>
  <c r="C1076" i="1"/>
  <c r="B1076" i="1"/>
  <c r="A1076" i="1"/>
  <c r="F1075" i="1"/>
  <c r="E1075" i="1"/>
  <c r="D1075" i="1"/>
  <c r="C1075" i="1"/>
  <c r="B1075" i="1"/>
  <c r="A1075" i="1"/>
  <c r="F1074" i="1"/>
  <c r="E1074" i="1"/>
  <c r="D1074" i="1"/>
  <c r="C1074" i="1"/>
  <c r="B1074" i="1"/>
  <c r="A1074" i="1"/>
  <c r="F1073" i="1"/>
  <c r="E1073" i="1"/>
  <c r="D1073" i="1"/>
  <c r="C1073" i="1"/>
  <c r="B1073" i="1"/>
  <c r="A1073" i="1"/>
  <c r="F1072" i="1"/>
  <c r="E1072" i="1"/>
  <c r="D1072" i="1"/>
  <c r="C1072" i="1"/>
  <c r="B1072" i="1"/>
  <c r="A1072" i="1"/>
  <c r="F1071" i="1"/>
  <c r="E1071" i="1"/>
  <c r="D1071" i="1"/>
  <c r="C1071" i="1"/>
  <c r="B1071" i="1"/>
  <c r="A1071" i="1"/>
  <c r="F1070" i="1"/>
  <c r="E1070" i="1"/>
  <c r="D1070" i="1"/>
  <c r="C1070" i="1"/>
  <c r="B1070" i="1"/>
  <c r="A1070" i="1"/>
  <c r="F1069" i="1"/>
  <c r="E1069" i="1"/>
  <c r="D1069" i="1"/>
  <c r="C1069" i="1"/>
  <c r="B1069" i="1"/>
  <c r="A1069" i="1"/>
  <c r="F1068" i="1"/>
  <c r="E1068" i="1"/>
  <c r="D1068" i="1"/>
  <c r="C1068" i="1"/>
  <c r="B1068" i="1"/>
  <c r="A1068" i="1"/>
  <c r="F1067" i="1"/>
  <c r="E1067" i="1"/>
  <c r="D1067" i="1"/>
  <c r="C1067" i="1"/>
  <c r="B1067" i="1"/>
  <c r="A1067" i="1"/>
  <c r="F1066" i="1"/>
  <c r="E1066" i="1"/>
  <c r="D1066" i="1"/>
  <c r="C1066" i="1"/>
  <c r="B1066" i="1"/>
  <c r="A1066" i="1"/>
  <c r="F1065" i="1"/>
  <c r="E1065" i="1"/>
  <c r="D1065" i="1"/>
  <c r="C1065" i="1"/>
  <c r="B1065" i="1"/>
  <c r="A1065" i="1"/>
  <c r="F1064" i="1"/>
  <c r="E1064" i="1"/>
  <c r="D1064" i="1"/>
  <c r="C1064" i="1"/>
  <c r="B1064" i="1"/>
  <c r="A1064" i="1"/>
  <c r="F1063" i="1"/>
  <c r="E1063" i="1"/>
  <c r="D1063" i="1"/>
  <c r="C1063" i="1"/>
  <c r="B1063" i="1"/>
  <c r="A1063" i="1"/>
  <c r="F1062" i="1"/>
  <c r="E1062" i="1"/>
  <c r="D1062" i="1"/>
  <c r="C1062" i="1"/>
  <c r="B1062" i="1"/>
  <c r="A1062" i="1"/>
  <c r="F1061" i="1"/>
  <c r="E1061" i="1"/>
  <c r="D1061" i="1"/>
  <c r="C1061" i="1"/>
  <c r="B1061" i="1"/>
  <c r="A1061" i="1"/>
  <c r="F1060" i="1"/>
  <c r="E1060" i="1"/>
  <c r="D1060" i="1"/>
  <c r="C1060" i="1"/>
  <c r="B1060" i="1"/>
  <c r="A1060" i="1"/>
  <c r="F1059" i="1"/>
  <c r="E1059" i="1"/>
  <c r="D1059" i="1"/>
  <c r="C1059" i="1"/>
  <c r="B1059" i="1"/>
  <c r="A1059" i="1"/>
  <c r="F1058" i="1"/>
  <c r="E1058" i="1"/>
  <c r="D1058" i="1"/>
  <c r="C1058" i="1"/>
  <c r="B1058" i="1"/>
  <c r="A1058" i="1"/>
  <c r="F1057" i="1"/>
  <c r="E1057" i="1"/>
  <c r="D1057" i="1"/>
  <c r="C1057" i="1"/>
  <c r="B1057" i="1"/>
  <c r="A1057" i="1"/>
  <c r="F1056" i="1"/>
  <c r="E1056" i="1"/>
  <c r="D1056" i="1"/>
  <c r="C1056" i="1"/>
  <c r="B1056" i="1"/>
  <c r="A1056" i="1"/>
  <c r="F1055" i="1"/>
  <c r="E1055" i="1"/>
  <c r="D1055" i="1"/>
  <c r="C1055" i="1"/>
  <c r="B1055" i="1"/>
  <c r="A1055" i="1"/>
  <c r="F1054" i="1"/>
  <c r="E1054" i="1"/>
  <c r="D1054" i="1"/>
  <c r="C1054" i="1"/>
  <c r="B1054" i="1"/>
  <c r="A1054" i="1"/>
  <c r="F1053" i="1"/>
  <c r="E1053" i="1"/>
  <c r="D1053" i="1"/>
  <c r="C1053" i="1"/>
  <c r="B1053" i="1"/>
  <c r="A1053" i="1"/>
  <c r="F1052" i="1"/>
  <c r="E1052" i="1"/>
  <c r="D1052" i="1"/>
  <c r="C1052" i="1"/>
  <c r="B1052" i="1"/>
  <c r="A1052" i="1"/>
  <c r="F1051" i="1"/>
  <c r="E1051" i="1"/>
  <c r="D1051" i="1"/>
  <c r="C1051" i="1"/>
  <c r="B1051" i="1"/>
  <c r="A1051" i="1"/>
  <c r="F1050" i="1"/>
  <c r="E1050" i="1"/>
  <c r="D1050" i="1"/>
  <c r="C1050" i="1"/>
  <c r="B1050" i="1"/>
  <c r="A1050" i="1"/>
  <c r="F1049" i="1"/>
  <c r="E1049" i="1"/>
  <c r="D1049" i="1"/>
  <c r="C1049" i="1"/>
  <c r="B1049" i="1"/>
  <c r="A1049" i="1"/>
  <c r="F1048" i="1"/>
  <c r="E1048" i="1"/>
  <c r="D1048" i="1"/>
  <c r="C1048" i="1"/>
  <c r="B1048" i="1"/>
  <c r="A1048" i="1"/>
  <c r="F1047" i="1"/>
  <c r="E1047" i="1"/>
  <c r="D1047" i="1"/>
  <c r="C1047" i="1"/>
  <c r="B1047" i="1"/>
  <c r="A1047" i="1"/>
  <c r="F1046" i="1"/>
  <c r="E1046" i="1"/>
  <c r="D1046" i="1"/>
  <c r="C1046" i="1"/>
  <c r="B1046" i="1"/>
  <c r="A1046" i="1"/>
  <c r="F1045" i="1"/>
  <c r="E1045" i="1"/>
  <c r="D1045" i="1"/>
  <c r="C1045" i="1"/>
  <c r="B1045" i="1"/>
  <c r="A1045" i="1"/>
  <c r="F1044" i="1"/>
  <c r="E1044" i="1"/>
  <c r="D1044" i="1"/>
  <c r="C1044" i="1"/>
  <c r="B1044" i="1"/>
  <c r="A1044" i="1"/>
  <c r="F1043" i="1"/>
  <c r="E1043" i="1"/>
  <c r="D1043" i="1"/>
  <c r="C1043" i="1"/>
  <c r="B1043" i="1"/>
  <c r="A1043" i="1"/>
  <c r="F1042" i="1"/>
  <c r="E1042" i="1"/>
  <c r="D1042" i="1"/>
  <c r="C1042" i="1"/>
  <c r="B1042" i="1"/>
  <c r="A1042" i="1"/>
  <c r="F1041" i="1"/>
  <c r="E1041" i="1"/>
  <c r="D1041" i="1"/>
  <c r="C1041" i="1"/>
  <c r="B1041" i="1"/>
  <c r="A1041" i="1"/>
  <c r="F1040" i="1"/>
  <c r="E1040" i="1"/>
  <c r="D1040" i="1"/>
  <c r="C1040" i="1"/>
  <c r="B1040" i="1"/>
  <c r="A1040" i="1"/>
  <c r="F1039" i="1"/>
  <c r="E1039" i="1"/>
  <c r="D1039" i="1"/>
  <c r="C1039" i="1"/>
  <c r="B1039" i="1"/>
  <c r="A1039" i="1"/>
  <c r="F1038" i="1"/>
  <c r="E1038" i="1"/>
  <c r="D1038" i="1"/>
  <c r="C1038" i="1"/>
  <c r="B1038" i="1"/>
  <c r="A1038" i="1"/>
  <c r="F1037" i="1"/>
  <c r="E1037" i="1"/>
  <c r="D1037" i="1"/>
  <c r="C1037" i="1"/>
  <c r="B1037" i="1"/>
  <c r="A1037" i="1"/>
  <c r="F1036" i="1"/>
  <c r="E1036" i="1"/>
  <c r="D1036" i="1"/>
  <c r="C1036" i="1"/>
  <c r="B1036" i="1"/>
  <c r="A1036" i="1"/>
  <c r="F1035" i="1"/>
  <c r="E1035" i="1"/>
  <c r="D1035" i="1"/>
  <c r="C1035" i="1"/>
  <c r="B1035" i="1"/>
  <c r="A1035" i="1"/>
  <c r="F1034" i="1"/>
  <c r="E1034" i="1"/>
  <c r="D1034" i="1"/>
  <c r="C1034" i="1"/>
  <c r="B1034" i="1"/>
  <c r="A1034" i="1"/>
  <c r="F1033" i="1"/>
  <c r="E1033" i="1"/>
  <c r="D1033" i="1"/>
  <c r="C1033" i="1"/>
  <c r="B1033" i="1"/>
  <c r="A1033" i="1"/>
  <c r="F1032" i="1"/>
  <c r="E1032" i="1"/>
  <c r="D1032" i="1"/>
  <c r="C1032" i="1"/>
  <c r="B1032" i="1"/>
  <c r="A1032" i="1"/>
  <c r="F1031" i="1"/>
  <c r="E1031" i="1"/>
  <c r="D1031" i="1"/>
  <c r="C1031" i="1"/>
  <c r="B1031" i="1"/>
  <c r="A1031" i="1"/>
  <c r="F1030" i="1"/>
  <c r="E1030" i="1"/>
  <c r="D1030" i="1"/>
  <c r="C1030" i="1"/>
  <c r="B1030" i="1"/>
  <c r="A1030" i="1"/>
  <c r="F1029" i="1"/>
  <c r="E1029" i="1"/>
  <c r="D1029" i="1"/>
  <c r="C1029" i="1"/>
  <c r="B1029" i="1"/>
  <c r="A1029" i="1"/>
  <c r="F1028" i="1"/>
  <c r="E1028" i="1"/>
  <c r="D1028" i="1"/>
  <c r="C1028" i="1"/>
  <c r="B1028" i="1"/>
  <c r="A1028" i="1"/>
  <c r="F1027" i="1"/>
  <c r="E1027" i="1"/>
  <c r="D1027" i="1"/>
  <c r="C1027" i="1"/>
  <c r="B1027" i="1"/>
  <c r="A1027" i="1"/>
  <c r="F1026" i="1"/>
  <c r="E1026" i="1"/>
  <c r="D1026" i="1"/>
  <c r="C1026" i="1"/>
  <c r="B1026" i="1"/>
  <c r="A1026" i="1"/>
  <c r="F1025" i="1"/>
  <c r="E1025" i="1"/>
  <c r="D1025" i="1"/>
  <c r="C1025" i="1"/>
  <c r="B1025" i="1"/>
  <c r="A1025" i="1"/>
  <c r="F1024" i="1"/>
  <c r="E1024" i="1"/>
  <c r="D1024" i="1"/>
  <c r="C1024" i="1"/>
  <c r="B1024" i="1"/>
  <c r="A1024" i="1"/>
  <c r="F1023" i="1"/>
  <c r="E1023" i="1"/>
  <c r="D1023" i="1"/>
  <c r="C1023" i="1"/>
  <c r="B1023" i="1"/>
  <c r="A1023" i="1"/>
  <c r="F1022" i="1"/>
  <c r="E1022" i="1"/>
  <c r="D1022" i="1"/>
  <c r="C1022" i="1"/>
  <c r="B1022" i="1"/>
  <c r="A1022" i="1"/>
  <c r="F1021" i="1"/>
  <c r="E1021" i="1"/>
  <c r="D1021" i="1"/>
  <c r="C1021" i="1"/>
  <c r="B1021" i="1"/>
  <c r="A1021" i="1"/>
  <c r="F1020" i="1"/>
  <c r="E1020" i="1"/>
  <c r="D1020" i="1"/>
  <c r="C1020" i="1"/>
  <c r="B1020" i="1"/>
  <c r="A1020" i="1"/>
  <c r="F1019" i="1"/>
  <c r="E1019" i="1"/>
  <c r="D1019" i="1"/>
  <c r="C1019" i="1"/>
  <c r="B1019" i="1"/>
  <c r="A1019" i="1"/>
  <c r="F1018" i="1"/>
  <c r="E1018" i="1"/>
  <c r="D1018" i="1"/>
  <c r="C1018" i="1"/>
  <c r="B1018" i="1"/>
  <c r="A1018" i="1"/>
  <c r="F1017" i="1"/>
  <c r="E1017" i="1"/>
  <c r="D1017" i="1"/>
  <c r="C1017" i="1"/>
  <c r="B1017" i="1"/>
  <c r="A1017" i="1"/>
  <c r="F1016" i="1"/>
  <c r="E1016" i="1"/>
  <c r="D1016" i="1"/>
  <c r="C1016" i="1"/>
  <c r="B1016" i="1"/>
  <c r="A1016" i="1"/>
  <c r="F1015" i="1"/>
  <c r="E1015" i="1"/>
  <c r="D1015" i="1"/>
  <c r="C1015" i="1"/>
  <c r="B1015" i="1"/>
  <c r="A1015" i="1"/>
  <c r="F1014" i="1"/>
  <c r="E1014" i="1"/>
  <c r="D1014" i="1"/>
  <c r="C1014" i="1"/>
  <c r="B1014" i="1"/>
  <c r="A1014" i="1"/>
  <c r="F1013" i="1"/>
  <c r="E1013" i="1"/>
  <c r="D1013" i="1"/>
  <c r="C1013" i="1"/>
  <c r="B1013" i="1"/>
  <c r="A1013" i="1"/>
  <c r="F1012" i="1"/>
  <c r="E1012" i="1"/>
  <c r="D1012" i="1"/>
  <c r="C1012" i="1"/>
  <c r="B1012" i="1"/>
  <c r="A1012" i="1"/>
  <c r="F1011" i="1"/>
  <c r="E1011" i="1"/>
  <c r="D1011" i="1"/>
  <c r="C1011" i="1"/>
  <c r="B1011" i="1"/>
  <c r="A1011" i="1"/>
  <c r="F1010" i="1"/>
  <c r="E1010" i="1"/>
  <c r="D1010" i="1"/>
  <c r="C1010" i="1"/>
  <c r="B1010" i="1"/>
  <c r="A1010" i="1"/>
  <c r="F1009" i="1"/>
  <c r="E1009" i="1"/>
  <c r="D1009" i="1"/>
  <c r="C1009" i="1"/>
  <c r="B1009" i="1"/>
  <c r="A1009" i="1"/>
  <c r="F1008" i="1"/>
  <c r="E1008" i="1"/>
  <c r="D1008" i="1"/>
  <c r="C1008" i="1"/>
  <c r="B1008" i="1"/>
  <c r="A1008" i="1"/>
  <c r="F1007" i="1"/>
  <c r="E1007" i="1"/>
  <c r="D1007" i="1"/>
  <c r="C1007" i="1"/>
  <c r="B1007" i="1"/>
  <c r="A1007" i="1"/>
  <c r="F1006" i="1"/>
  <c r="E1006" i="1"/>
  <c r="D1006" i="1"/>
  <c r="C1006" i="1"/>
  <c r="B1006" i="1"/>
  <c r="A1006" i="1"/>
  <c r="F1005" i="1"/>
  <c r="E1005" i="1"/>
  <c r="D1005" i="1"/>
  <c r="C1005" i="1"/>
  <c r="B1005" i="1"/>
  <c r="A1005" i="1"/>
  <c r="F1004" i="1"/>
  <c r="E1004" i="1"/>
  <c r="D1004" i="1"/>
  <c r="C1004" i="1"/>
  <c r="B1004" i="1"/>
  <c r="A1004" i="1"/>
  <c r="F1003" i="1"/>
  <c r="E1003" i="1"/>
  <c r="D1003" i="1"/>
  <c r="C1003" i="1"/>
  <c r="B1003" i="1"/>
  <c r="A1003" i="1"/>
  <c r="F1002" i="1"/>
  <c r="E1002" i="1"/>
  <c r="D1002" i="1"/>
  <c r="C1002" i="1"/>
  <c r="B1002" i="1"/>
  <c r="A1002" i="1"/>
  <c r="F1001" i="1"/>
  <c r="E1001" i="1"/>
  <c r="D1001" i="1"/>
  <c r="C1001" i="1"/>
  <c r="B1001" i="1"/>
  <c r="A1001" i="1"/>
  <c r="F1000" i="1"/>
  <c r="E1000" i="1"/>
  <c r="D1000" i="1"/>
  <c r="C1000" i="1"/>
  <c r="B1000" i="1"/>
  <c r="A1000" i="1"/>
  <c r="F999" i="1"/>
  <c r="E999" i="1"/>
  <c r="D999" i="1"/>
  <c r="C999" i="1"/>
  <c r="B999" i="1"/>
  <c r="A999" i="1"/>
  <c r="F998" i="1"/>
  <c r="E998" i="1"/>
  <c r="D998" i="1"/>
  <c r="C998" i="1"/>
  <c r="B998" i="1"/>
  <c r="A998" i="1"/>
  <c r="F997" i="1"/>
  <c r="E997" i="1"/>
  <c r="D997" i="1"/>
  <c r="C997" i="1"/>
  <c r="B997" i="1"/>
  <c r="A997" i="1"/>
  <c r="F996" i="1"/>
  <c r="E996" i="1"/>
  <c r="D996" i="1"/>
  <c r="C996" i="1"/>
  <c r="B996" i="1"/>
  <c r="A996" i="1"/>
  <c r="F995" i="1"/>
  <c r="E995" i="1"/>
  <c r="D995" i="1"/>
  <c r="C995" i="1"/>
  <c r="B995" i="1"/>
  <c r="A995" i="1"/>
  <c r="F994" i="1"/>
  <c r="E994" i="1"/>
  <c r="D994" i="1"/>
  <c r="C994" i="1"/>
  <c r="B994" i="1"/>
  <c r="A994" i="1"/>
  <c r="F993" i="1"/>
  <c r="E993" i="1"/>
  <c r="D993" i="1"/>
  <c r="C993" i="1"/>
  <c r="B993" i="1"/>
  <c r="A993" i="1"/>
  <c r="F992" i="1"/>
  <c r="E992" i="1"/>
  <c r="D992" i="1"/>
  <c r="C992" i="1"/>
  <c r="B992" i="1"/>
  <c r="A992" i="1"/>
  <c r="F991" i="1"/>
  <c r="E991" i="1"/>
  <c r="D991" i="1"/>
  <c r="C991" i="1"/>
  <c r="B991" i="1"/>
  <c r="A991" i="1"/>
  <c r="F990" i="1"/>
  <c r="E990" i="1"/>
  <c r="D990" i="1"/>
  <c r="C990" i="1"/>
  <c r="B990" i="1"/>
  <c r="A990" i="1"/>
  <c r="F989" i="1"/>
  <c r="E989" i="1"/>
  <c r="D989" i="1"/>
  <c r="C989" i="1"/>
  <c r="B989" i="1"/>
  <c r="A989" i="1"/>
  <c r="F988" i="1"/>
  <c r="E988" i="1"/>
  <c r="D988" i="1"/>
  <c r="C988" i="1"/>
  <c r="B988" i="1"/>
  <c r="A988" i="1"/>
  <c r="F987" i="1"/>
  <c r="E987" i="1"/>
  <c r="D987" i="1"/>
  <c r="C987" i="1"/>
  <c r="B987" i="1"/>
  <c r="A987" i="1"/>
  <c r="F986" i="1"/>
  <c r="E986" i="1"/>
  <c r="D986" i="1"/>
  <c r="C986" i="1"/>
  <c r="B986" i="1"/>
  <c r="A986" i="1"/>
  <c r="F985" i="1"/>
  <c r="E985" i="1"/>
  <c r="D985" i="1"/>
  <c r="C985" i="1"/>
  <c r="B985" i="1"/>
  <c r="A985" i="1"/>
  <c r="F984" i="1"/>
  <c r="E984" i="1"/>
  <c r="D984" i="1"/>
  <c r="C984" i="1"/>
  <c r="B984" i="1"/>
  <c r="A984" i="1"/>
  <c r="F983" i="1"/>
  <c r="E983" i="1"/>
  <c r="D983" i="1"/>
  <c r="C983" i="1"/>
  <c r="B983" i="1"/>
  <c r="A983" i="1"/>
  <c r="F982" i="1"/>
  <c r="E982" i="1"/>
  <c r="D982" i="1"/>
  <c r="C982" i="1"/>
  <c r="B982" i="1"/>
  <c r="A982" i="1"/>
  <c r="F981" i="1"/>
  <c r="E981" i="1"/>
  <c r="D981" i="1"/>
  <c r="C981" i="1"/>
  <c r="B981" i="1"/>
  <c r="A981" i="1"/>
  <c r="F980" i="1"/>
  <c r="E980" i="1"/>
  <c r="D980" i="1"/>
  <c r="C980" i="1"/>
  <c r="B980" i="1"/>
  <c r="A980" i="1"/>
  <c r="F979" i="1"/>
  <c r="E979" i="1"/>
  <c r="D979" i="1"/>
  <c r="C979" i="1"/>
  <c r="B979" i="1"/>
  <c r="A979" i="1"/>
  <c r="F978" i="1"/>
  <c r="E978" i="1"/>
  <c r="D978" i="1"/>
  <c r="C978" i="1"/>
  <c r="B978" i="1"/>
  <c r="A978" i="1"/>
  <c r="F977" i="1"/>
  <c r="E977" i="1"/>
  <c r="D977" i="1"/>
  <c r="C977" i="1"/>
  <c r="B977" i="1"/>
  <c r="A977" i="1"/>
  <c r="F976" i="1"/>
  <c r="E976" i="1"/>
  <c r="D976" i="1"/>
  <c r="C976" i="1"/>
  <c r="B976" i="1"/>
  <c r="A976" i="1"/>
  <c r="F975" i="1"/>
  <c r="E975" i="1"/>
  <c r="D975" i="1"/>
  <c r="C975" i="1"/>
  <c r="B975" i="1"/>
  <c r="A975" i="1"/>
  <c r="F974" i="1"/>
  <c r="E974" i="1"/>
  <c r="D974" i="1"/>
  <c r="C974" i="1"/>
  <c r="B974" i="1"/>
  <c r="A974" i="1"/>
  <c r="F973" i="1"/>
  <c r="E973" i="1"/>
  <c r="D973" i="1"/>
  <c r="C973" i="1"/>
  <c r="B973" i="1"/>
  <c r="A973" i="1"/>
  <c r="F972" i="1"/>
  <c r="E972" i="1"/>
  <c r="D972" i="1"/>
  <c r="C972" i="1"/>
  <c r="B972" i="1"/>
  <c r="A972" i="1"/>
  <c r="F971" i="1"/>
  <c r="E971" i="1"/>
  <c r="D971" i="1"/>
  <c r="C971" i="1"/>
  <c r="B971" i="1"/>
  <c r="A971" i="1"/>
  <c r="F970" i="1"/>
  <c r="E970" i="1"/>
  <c r="D970" i="1"/>
  <c r="C970" i="1"/>
  <c r="B970" i="1"/>
  <c r="A970" i="1"/>
  <c r="F969" i="1"/>
  <c r="E969" i="1"/>
  <c r="D969" i="1"/>
  <c r="C969" i="1"/>
  <c r="B969" i="1"/>
  <c r="A969" i="1"/>
  <c r="F968" i="1"/>
  <c r="E968" i="1"/>
  <c r="D968" i="1"/>
  <c r="C968" i="1"/>
  <c r="B968" i="1"/>
  <c r="A968" i="1"/>
  <c r="F967" i="1"/>
  <c r="E967" i="1"/>
  <c r="D967" i="1"/>
  <c r="C967" i="1"/>
  <c r="B967" i="1"/>
  <c r="A967" i="1"/>
  <c r="F966" i="1"/>
  <c r="E966" i="1"/>
  <c r="D966" i="1"/>
  <c r="C966" i="1"/>
  <c r="B966" i="1"/>
  <c r="A966" i="1"/>
  <c r="F965" i="1"/>
  <c r="E965" i="1"/>
  <c r="D965" i="1"/>
  <c r="C965" i="1"/>
  <c r="B965" i="1"/>
  <c r="A965" i="1"/>
  <c r="F964" i="1"/>
  <c r="E964" i="1"/>
  <c r="D964" i="1"/>
  <c r="C964" i="1"/>
  <c r="B964" i="1"/>
  <c r="A964" i="1"/>
  <c r="F963" i="1"/>
  <c r="E963" i="1"/>
  <c r="D963" i="1"/>
  <c r="C963" i="1"/>
  <c r="B963" i="1"/>
  <c r="A963" i="1"/>
  <c r="F962" i="1"/>
  <c r="E962" i="1"/>
  <c r="D962" i="1"/>
  <c r="C962" i="1"/>
  <c r="B962" i="1"/>
  <c r="A962" i="1"/>
  <c r="F961" i="1"/>
  <c r="E961" i="1"/>
  <c r="D961" i="1"/>
  <c r="C961" i="1"/>
  <c r="B961" i="1"/>
  <c r="A961" i="1"/>
  <c r="F960" i="1"/>
  <c r="E960" i="1"/>
  <c r="D960" i="1"/>
  <c r="C960" i="1"/>
  <c r="B960" i="1"/>
  <c r="A960" i="1"/>
  <c r="F959" i="1"/>
  <c r="E959" i="1"/>
  <c r="D959" i="1"/>
  <c r="C959" i="1"/>
  <c r="B959" i="1"/>
  <c r="A959" i="1"/>
  <c r="F958" i="1"/>
  <c r="E958" i="1"/>
  <c r="D958" i="1"/>
  <c r="C958" i="1"/>
  <c r="B958" i="1"/>
  <c r="A958" i="1"/>
  <c r="F957" i="1"/>
  <c r="E957" i="1"/>
  <c r="D957" i="1"/>
  <c r="C957" i="1"/>
  <c r="B957" i="1"/>
  <c r="A957" i="1"/>
  <c r="F956" i="1"/>
  <c r="E956" i="1"/>
  <c r="D956" i="1"/>
  <c r="C956" i="1"/>
  <c r="B956" i="1"/>
  <c r="A956" i="1"/>
  <c r="F955" i="1"/>
  <c r="E955" i="1"/>
  <c r="D955" i="1"/>
  <c r="C955" i="1"/>
  <c r="B955" i="1"/>
  <c r="A955" i="1"/>
  <c r="F954" i="1"/>
  <c r="E954" i="1"/>
  <c r="D954" i="1"/>
  <c r="C954" i="1"/>
  <c r="B954" i="1"/>
  <c r="A954" i="1"/>
  <c r="F953" i="1"/>
  <c r="E953" i="1"/>
  <c r="D953" i="1"/>
  <c r="C953" i="1"/>
  <c r="B953" i="1"/>
  <c r="A953" i="1"/>
  <c r="F952" i="1"/>
  <c r="E952" i="1"/>
  <c r="D952" i="1"/>
  <c r="C952" i="1"/>
  <c r="B952" i="1"/>
  <c r="A952" i="1"/>
  <c r="F951" i="1"/>
  <c r="E951" i="1"/>
  <c r="D951" i="1"/>
  <c r="C951" i="1"/>
  <c r="B951" i="1"/>
  <c r="A951" i="1"/>
  <c r="F950" i="1"/>
  <c r="E950" i="1"/>
  <c r="D950" i="1"/>
  <c r="C950" i="1"/>
  <c r="B950" i="1"/>
  <c r="A950" i="1"/>
  <c r="F949" i="1"/>
  <c r="E949" i="1"/>
  <c r="D949" i="1"/>
  <c r="C949" i="1"/>
  <c r="B949" i="1"/>
  <c r="A949" i="1"/>
  <c r="F948" i="1"/>
  <c r="E948" i="1"/>
  <c r="D948" i="1"/>
  <c r="C948" i="1"/>
  <c r="B948" i="1"/>
  <c r="A948" i="1"/>
  <c r="F947" i="1"/>
  <c r="E947" i="1"/>
  <c r="D947" i="1"/>
  <c r="C947" i="1"/>
  <c r="B947" i="1"/>
  <c r="A947" i="1"/>
  <c r="F946" i="1"/>
  <c r="E946" i="1"/>
  <c r="D946" i="1"/>
  <c r="C946" i="1"/>
  <c r="B946" i="1"/>
  <c r="A946" i="1"/>
  <c r="F945" i="1"/>
  <c r="E945" i="1"/>
  <c r="D945" i="1"/>
  <c r="C945" i="1"/>
  <c r="B945" i="1"/>
  <c r="A945" i="1"/>
  <c r="F944" i="1"/>
  <c r="E944" i="1"/>
  <c r="D944" i="1"/>
  <c r="C944" i="1"/>
  <c r="B944" i="1"/>
  <c r="A944" i="1"/>
  <c r="F943" i="1"/>
  <c r="E943" i="1"/>
  <c r="D943" i="1"/>
  <c r="C943" i="1"/>
  <c r="B943" i="1"/>
  <c r="A943" i="1"/>
  <c r="F942" i="1"/>
  <c r="E942" i="1"/>
  <c r="D942" i="1"/>
  <c r="C942" i="1"/>
  <c r="B942" i="1"/>
  <c r="A942" i="1"/>
  <c r="F941" i="1"/>
  <c r="E941" i="1"/>
  <c r="D941" i="1"/>
  <c r="C941" i="1"/>
  <c r="B941" i="1"/>
  <c r="A941" i="1"/>
  <c r="F940" i="1"/>
  <c r="E940" i="1"/>
  <c r="D940" i="1"/>
  <c r="C940" i="1"/>
  <c r="B940" i="1"/>
  <c r="A940" i="1"/>
  <c r="F939" i="1"/>
  <c r="E939" i="1"/>
  <c r="D939" i="1"/>
  <c r="C939" i="1"/>
  <c r="B939" i="1"/>
  <c r="A939" i="1"/>
  <c r="F938" i="1"/>
  <c r="E938" i="1"/>
  <c r="D938" i="1"/>
  <c r="C938" i="1"/>
  <c r="B938" i="1"/>
  <c r="A938" i="1"/>
  <c r="F937" i="1"/>
  <c r="E937" i="1"/>
  <c r="D937" i="1"/>
  <c r="C937" i="1"/>
  <c r="B937" i="1"/>
  <c r="A937" i="1"/>
  <c r="F936" i="1"/>
  <c r="E936" i="1"/>
  <c r="D936" i="1"/>
  <c r="C936" i="1"/>
  <c r="B936" i="1"/>
  <c r="A936" i="1"/>
  <c r="F935" i="1"/>
  <c r="E935" i="1"/>
  <c r="D935" i="1"/>
  <c r="C935" i="1"/>
  <c r="B935" i="1"/>
  <c r="A935" i="1"/>
  <c r="F934" i="1"/>
  <c r="E934" i="1"/>
  <c r="D934" i="1"/>
  <c r="C934" i="1"/>
  <c r="B934" i="1"/>
  <c r="A934" i="1"/>
  <c r="F933" i="1"/>
  <c r="E933" i="1"/>
  <c r="D933" i="1"/>
  <c r="C933" i="1"/>
  <c r="B933" i="1"/>
  <c r="A933" i="1"/>
  <c r="F932" i="1"/>
  <c r="E932" i="1"/>
  <c r="D932" i="1"/>
  <c r="C932" i="1"/>
  <c r="B932" i="1"/>
  <c r="A932" i="1"/>
  <c r="F931" i="1"/>
  <c r="E931" i="1"/>
  <c r="D931" i="1"/>
  <c r="C931" i="1"/>
  <c r="B931" i="1"/>
  <c r="A931" i="1"/>
  <c r="F930" i="1"/>
  <c r="E930" i="1"/>
  <c r="D930" i="1"/>
  <c r="C930" i="1"/>
  <c r="B930" i="1"/>
  <c r="A930" i="1"/>
  <c r="F929" i="1"/>
  <c r="E929" i="1"/>
  <c r="D929" i="1"/>
  <c r="C929" i="1"/>
  <c r="B929" i="1"/>
  <c r="A929" i="1"/>
  <c r="F928" i="1"/>
  <c r="E928" i="1"/>
  <c r="D928" i="1"/>
  <c r="C928" i="1"/>
  <c r="B928" i="1"/>
  <c r="A928" i="1"/>
  <c r="F927" i="1"/>
  <c r="E927" i="1"/>
  <c r="D927" i="1"/>
  <c r="C927" i="1"/>
  <c r="B927" i="1"/>
  <c r="A927" i="1"/>
  <c r="F926" i="1"/>
  <c r="E926" i="1"/>
  <c r="D926" i="1"/>
  <c r="C926" i="1"/>
  <c r="B926" i="1"/>
  <c r="A926" i="1"/>
  <c r="F925" i="1"/>
  <c r="E925" i="1"/>
  <c r="D925" i="1"/>
  <c r="C925" i="1"/>
  <c r="B925" i="1"/>
  <c r="A925" i="1"/>
  <c r="F924" i="1"/>
  <c r="E924" i="1"/>
  <c r="D924" i="1"/>
  <c r="C924" i="1"/>
  <c r="B924" i="1"/>
  <c r="A924" i="1"/>
  <c r="F923" i="1"/>
  <c r="E923" i="1"/>
  <c r="D923" i="1"/>
  <c r="C923" i="1"/>
  <c r="B923" i="1"/>
  <c r="A923" i="1"/>
  <c r="F922" i="1"/>
  <c r="E922" i="1"/>
  <c r="D922" i="1"/>
  <c r="C922" i="1"/>
  <c r="B922" i="1"/>
  <c r="A922" i="1"/>
  <c r="F921" i="1"/>
  <c r="E921" i="1"/>
  <c r="D921" i="1"/>
  <c r="C921" i="1"/>
  <c r="B921" i="1"/>
  <c r="A921" i="1"/>
  <c r="F920" i="1"/>
  <c r="E920" i="1"/>
  <c r="D920" i="1"/>
  <c r="C920" i="1"/>
  <c r="B920" i="1"/>
  <c r="A920" i="1"/>
  <c r="F919" i="1"/>
  <c r="E919" i="1"/>
  <c r="D919" i="1"/>
  <c r="C919" i="1"/>
  <c r="B919" i="1"/>
  <c r="A919" i="1"/>
  <c r="F918" i="1"/>
  <c r="E918" i="1"/>
  <c r="D918" i="1"/>
  <c r="C918" i="1"/>
  <c r="B918" i="1"/>
  <c r="A918" i="1"/>
  <c r="F917" i="1"/>
  <c r="E917" i="1"/>
  <c r="D917" i="1"/>
  <c r="C917" i="1"/>
  <c r="B917" i="1"/>
  <c r="A917" i="1"/>
  <c r="F916" i="1"/>
  <c r="E916" i="1"/>
  <c r="D916" i="1"/>
  <c r="C916" i="1"/>
  <c r="B916" i="1"/>
  <c r="A916" i="1"/>
  <c r="F915" i="1"/>
  <c r="E915" i="1"/>
  <c r="D915" i="1"/>
  <c r="C915" i="1"/>
  <c r="B915" i="1"/>
  <c r="A915" i="1"/>
  <c r="F914" i="1"/>
  <c r="E914" i="1"/>
  <c r="D914" i="1"/>
  <c r="C914" i="1"/>
  <c r="B914" i="1"/>
  <c r="A914" i="1"/>
  <c r="F913" i="1"/>
  <c r="E913" i="1"/>
  <c r="D913" i="1"/>
  <c r="C913" i="1"/>
  <c r="B913" i="1"/>
  <c r="A913" i="1"/>
  <c r="F912" i="1"/>
  <c r="E912" i="1"/>
  <c r="D912" i="1"/>
  <c r="C912" i="1"/>
  <c r="B912" i="1"/>
  <c r="A912" i="1"/>
  <c r="F911" i="1"/>
  <c r="E911" i="1"/>
  <c r="D911" i="1"/>
  <c r="C911" i="1"/>
  <c r="B911" i="1"/>
  <c r="A911" i="1"/>
  <c r="F910" i="1"/>
  <c r="E910" i="1"/>
  <c r="D910" i="1"/>
  <c r="C910" i="1"/>
  <c r="B910" i="1"/>
  <c r="A910" i="1"/>
  <c r="F909" i="1"/>
  <c r="E909" i="1"/>
  <c r="D909" i="1"/>
  <c r="C909" i="1"/>
  <c r="B909" i="1"/>
  <c r="A909" i="1"/>
  <c r="F908" i="1"/>
  <c r="E908" i="1"/>
  <c r="D908" i="1"/>
  <c r="C908" i="1"/>
  <c r="B908" i="1"/>
  <c r="A908" i="1"/>
  <c r="F907" i="1"/>
  <c r="E907" i="1"/>
  <c r="D907" i="1"/>
  <c r="C907" i="1"/>
  <c r="B907" i="1"/>
  <c r="A907" i="1"/>
  <c r="F906" i="1"/>
  <c r="E906" i="1"/>
  <c r="D906" i="1"/>
  <c r="C906" i="1"/>
  <c r="B906" i="1"/>
  <c r="A906" i="1"/>
  <c r="F905" i="1"/>
  <c r="E905" i="1"/>
  <c r="D905" i="1"/>
  <c r="C905" i="1"/>
  <c r="B905" i="1"/>
  <c r="A905" i="1"/>
  <c r="F904" i="1"/>
  <c r="E904" i="1"/>
  <c r="D904" i="1"/>
  <c r="C904" i="1"/>
  <c r="B904" i="1"/>
  <c r="A904" i="1"/>
  <c r="F903" i="1"/>
  <c r="E903" i="1"/>
  <c r="D903" i="1"/>
  <c r="C903" i="1"/>
  <c r="B903" i="1"/>
  <c r="A903" i="1"/>
  <c r="F902" i="1"/>
  <c r="E902" i="1"/>
  <c r="D902" i="1"/>
  <c r="C902" i="1"/>
  <c r="B902" i="1"/>
  <c r="A902" i="1"/>
  <c r="F901" i="1"/>
  <c r="E901" i="1"/>
  <c r="D901" i="1"/>
  <c r="C901" i="1"/>
  <c r="B901" i="1"/>
  <c r="A901" i="1"/>
  <c r="F900" i="1"/>
  <c r="E900" i="1"/>
  <c r="D900" i="1"/>
  <c r="C900" i="1"/>
  <c r="B900" i="1"/>
  <c r="A900" i="1"/>
  <c r="F899" i="1"/>
  <c r="E899" i="1"/>
  <c r="D899" i="1"/>
  <c r="C899" i="1"/>
  <c r="B899" i="1"/>
  <c r="A899" i="1"/>
  <c r="F898" i="1"/>
  <c r="E898" i="1"/>
  <c r="D898" i="1"/>
  <c r="C898" i="1"/>
  <c r="B898" i="1"/>
  <c r="A898" i="1"/>
  <c r="F897" i="1"/>
  <c r="E897" i="1"/>
  <c r="D897" i="1"/>
  <c r="C897" i="1"/>
  <c r="B897" i="1"/>
  <c r="A897" i="1"/>
  <c r="F896" i="1"/>
  <c r="E896" i="1"/>
  <c r="D896" i="1"/>
  <c r="C896" i="1"/>
  <c r="B896" i="1"/>
  <c r="A896" i="1"/>
  <c r="F895" i="1"/>
  <c r="E895" i="1"/>
  <c r="D895" i="1"/>
  <c r="C895" i="1"/>
  <c r="B895" i="1"/>
  <c r="A895" i="1"/>
  <c r="F894" i="1"/>
  <c r="E894" i="1"/>
  <c r="D894" i="1"/>
  <c r="C894" i="1"/>
  <c r="B894" i="1"/>
  <c r="A894" i="1"/>
  <c r="F893" i="1"/>
  <c r="E893" i="1"/>
  <c r="D893" i="1"/>
  <c r="C893" i="1"/>
  <c r="B893" i="1"/>
  <c r="A893" i="1"/>
  <c r="F892" i="1"/>
  <c r="E892" i="1"/>
  <c r="D892" i="1"/>
  <c r="C892" i="1"/>
  <c r="B892" i="1"/>
  <c r="A892" i="1"/>
  <c r="F891" i="1"/>
  <c r="E891" i="1"/>
  <c r="D891" i="1"/>
  <c r="C891" i="1"/>
  <c r="B891" i="1"/>
  <c r="A891" i="1"/>
  <c r="F890" i="1"/>
  <c r="E890" i="1"/>
  <c r="D890" i="1"/>
  <c r="C890" i="1"/>
  <c r="B890" i="1"/>
  <c r="A890" i="1"/>
  <c r="F889" i="1"/>
  <c r="E889" i="1"/>
  <c r="D889" i="1"/>
  <c r="C889" i="1"/>
  <c r="B889" i="1"/>
  <c r="A889" i="1"/>
  <c r="F888" i="1"/>
  <c r="E888" i="1"/>
  <c r="D888" i="1"/>
  <c r="C888" i="1"/>
  <c r="B888" i="1"/>
  <c r="A888" i="1"/>
  <c r="F887" i="1"/>
  <c r="E887" i="1"/>
  <c r="D887" i="1"/>
  <c r="C887" i="1"/>
  <c r="B887" i="1"/>
  <c r="A887" i="1"/>
  <c r="F886" i="1"/>
  <c r="E886" i="1"/>
  <c r="D886" i="1"/>
  <c r="C886" i="1"/>
  <c r="B886" i="1"/>
  <c r="A886" i="1"/>
  <c r="F885" i="1"/>
  <c r="E885" i="1"/>
  <c r="D885" i="1"/>
  <c r="C885" i="1"/>
  <c r="B885" i="1"/>
  <c r="A885" i="1"/>
  <c r="F884" i="1"/>
  <c r="E884" i="1"/>
  <c r="D884" i="1"/>
  <c r="C884" i="1"/>
  <c r="B884" i="1"/>
  <c r="A884" i="1"/>
  <c r="F883" i="1"/>
  <c r="E883" i="1"/>
  <c r="D883" i="1"/>
  <c r="C883" i="1"/>
  <c r="B883" i="1"/>
  <c r="A883" i="1"/>
  <c r="F882" i="1"/>
  <c r="E882" i="1"/>
  <c r="D882" i="1"/>
  <c r="C882" i="1"/>
  <c r="B882" i="1"/>
  <c r="A882" i="1"/>
  <c r="F881" i="1"/>
  <c r="E881" i="1"/>
  <c r="D881" i="1"/>
  <c r="C881" i="1"/>
  <c r="B881" i="1"/>
  <c r="A881" i="1"/>
  <c r="F880" i="1"/>
  <c r="E880" i="1"/>
  <c r="D880" i="1"/>
  <c r="C880" i="1"/>
  <c r="B880" i="1"/>
  <c r="A880" i="1"/>
  <c r="F879" i="1"/>
  <c r="E879" i="1"/>
  <c r="D879" i="1"/>
  <c r="C879" i="1"/>
  <c r="B879" i="1"/>
  <c r="A879" i="1"/>
  <c r="F878" i="1"/>
  <c r="E878" i="1"/>
  <c r="D878" i="1"/>
  <c r="C878" i="1"/>
  <c r="B878" i="1"/>
  <c r="A878" i="1"/>
  <c r="F877" i="1"/>
  <c r="E877" i="1"/>
  <c r="D877" i="1"/>
  <c r="C877" i="1"/>
  <c r="B877" i="1"/>
  <c r="A877" i="1"/>
  <c r="F876" i="1"/>
  <c r="E876" i="1"/>
  <c r="D876" i="1"/>
  <c r="C876" i="1"/>
  <c r="B876" i="1"/>
  <c r="A876" i="1"/>
  <c r="F875" i="1"/>
  <c r="E875" i="1"/>
  <c r="D875" i="1"/>
  <c r="C875" i="1"/>
  <c r="B875" i="1"/>
  <c r="A875" i="1"/>
  <c r="F874" i="1"/>
  <c r="E874" i="1"/>
  <c r="D874" i="1"/>
  <c r="C874" i="1"/>
  <c r="B874" i="1"/>
  <c r="A874" i="1"/>
  <c r="F873" i="1"/>
  <c r="E873" i="1"/>
  <c r="D873" i="1"/>
  <c r="C873" i="1"/>
  <c r="B873" i="1"/>
  <c r="A873" i="1"/>
  <c r="F872" i="1"/>
  <c r="E872" i="1"/>
  <c r="D872" i="1"/>
  <c r="C872" i="1"/>
  <c r="B872" i="1"/>
  <c r="A872" i="1"/>
  <c r="F871" i="1"/>
  <c r="E871" i="1"/>
  <c r="D871" i="1"/>
  <c r="C871" i="1"/>
  <c r="B871" i="1"/>
  <c r="A871" i="1"/>
  <c r="F870" i="1"/>
  <c r="E870" i="1"/>
  <c r="D870" i="1"/>
  <c r="C870" i="1"/>
  <c r="B870" i="1"/>
  <c r="A870" i="1"/>
  <c r="F869" i="1"/>
  <c r="E869" i="1"/>
  <c r="D869" i="1"/>
  <c r="C869" i="1"/>
  <c r="B869" i="1"/>
  <c r="A869" i="1"/>
  <c r="F868" i="1"/>
  <c r="E868" i="1"/>
  <c r="D868" i="1"/>
  <c r="C868" i="1"/>
  <c r="B868" i="1"/>
  <c r="A868" i="1"/>
  <c r="F867" i="1"/>
  <c r="E867" i="1"/>
  <c r="D867" i="1"/>
  <c r="C867" i="1"/>
  <c r="B867" i="1"/>
  <c r="A867" i="1"/>
  <c r="F866" i="1"/>
  <c r="E866" i="1"/>
  <c r="D866" i="1"/>
  <c r="C866" i="1"/>
  <c r="B866" i="1"/>
  <c r="A866" i="1"/>
  <c r="F865" i="1"/>
  <c r="E865" i="1"/>
  <c r="D865" i="1"/>
  <c r="C865" i="1"/>
  <c r="B865" i="1"/>
  <c r="A865" i="1"/>
  <c r="F864" i="1"/>
  <c r="E864" i="1"/>
  <c r="D864" i="1"/>
  <c r="C864" i="1"/>
  <c r="B864" i="1"/>
  <c r="A864" i="1"/>
  <c r="F863" i="1"/>
  <c r="E863" i="1"/>
  <c r="D863" i="1"/>
  <c r="C863" i="1"/>
  <c r="B863" i="1"/>
  <c r="A863" i="1"/>
  <c r="F862" i="1"/>
  <c r="E862" i="1"/>
  <c r="D862" i="1"/>
  <c r="C862" i="1"/>
  <c r="B862" i="1"/>
  <c r="A862" i="1"/>
  <c r="F861" i="1"/>
  <c r="E861" i="1"/>
  <c r="D861" i="1"/>
  <c r="C861" i="1"/>
  <c r="B861" i="1"/>
  <c r="A861" i="1"/>
  <c r="F860" i="1"/>
  <c r="E860" i="1"/>
  <c r="D860" i="1"/>
  <c r="C860" i="1"/>
  <c r="B860" i="1"/>
  <c r="A860" i="1"/>
  <c r="F859" i="1"/>
  <c r="E859" i="1"/>
  <c r="D859" i="1"/>
  <c r="C859" i="1"/>
  <c r="B859" i="1"/>
  <c r="A859" i="1"/>
  <c r="F858" i="1"/>
  <c r="E858" i="1"/>
  <c r="D858" i="1"/>
  <c r="C858" i="1"/>
  <c r="B858" i="1"/>
  <c r="A858" i="1"/>
  <c r="F857" i="1"/>
  <c r="E857" i="1"/>
  <c r="D857" i="1"/>
  <c r="C857" i="1"/>
  <c r="B857" i="1"/>
  <c r="A857" i="1"/>
  <c r="F856" i="1"/>
  <c r="E856" i="1"/>
  <c r="D856" i="1"/>
  <c r="C856" i="1"/>
  <c r="B856" i="1"/>
  <c r="A856" i="1"/>
  <c r="F855" i="1"/>
  <c r="E855" i="1"/>
  <c r="D855" i="1"/>
  <c r="C855" i="1"/>
  <c r="B855" i="1"/>
  <c r="A855" i="1"/>
  <c r="F854" i="1"/>
  <c r="E854" i="1"/>
  <c r="D854" i="1"/>
  <c r="C854" i="1"/>
  <c r="B854" i="1"/>
  <c r="A854" i="1"/>
  <c r="F853" i="1"/>
  <c r="E853" i="1"/>
  <c r="D853" i="1"/>
  <c r="C853" i="1"/>
  <c r="B853" i="1"/>
  <c r="A853" i="1"/>
  <c r="F852" i="1"/>
  <c r="E852" i="1"/>
  <c r="D852" i="1"/>
  <c r="C852" i="1"/>
  <c r="B852" i="1"/>
  <c r="A852" i="1"/>
  <c r="F851" i="1"/>
  <c r="E851" i="1"/>
  <c r="D851" i="1"/>
  <c r="C851" i="1"/>
  <c r="B851" i="1"/>
  <c r="A851" i="1"/>
  <c r="F850" i="1"/>
  <c r="E850" i="1"/>
  <c r="D850" i="1"/>
  <c r="C850" i="1"/>
  <c r="B850" i="1"/>
  <c r="A850" i="1"/>
  <c r="F849" i="1"/>
  <c r="E849" i="1"/>
  <c r="D849" i="1"/>
  <c r="C849" i="1"/>
  <c r="B849" i="1"/>
  <c r="A849" i="1"/>
  <c r="F848" i="1"/>
  <c r="E848" i="1"/>
  <c r="D848" i="1"/>
  <c r="C848" i="1"/>
  <c r="B848" i="1"/>
  <c r="A848" i="1"/>
  <c r="F847" i="1"/>
  <c r="E847" i="1"/>
  <c r="D847" i="1"/>
  <c r="C847" i="1"/>
  <c r="B847" i="1"/>
  <c r="A847" i="1"/>
  <c r="F846" i="1"/>
  <c r="E846" i="1"/>
  <c r="D846" i="1"/>
  <c r="C846" i="1"/>
  <c r="B846" i="1"/>
  <c r="A846" i="1"/>
  <c r="F845" i="1"/>
  <c r="E845" i="1"/>
  <c r="D845" i="1"/>
  <c r="C845" i="1"/>
  <c r="B845" i="1"/>
  <c r="A845" i="1"/>
  <c r="F844" i="1"/>
  <c r="E844" i="1"/>
  <c r="D844" i="1"/>
  <c r="C844" i="1"/>
  <c r="B844" i="1"/>
  <c r="A844" i="1"/>
  <c r="F843" i="1"/>
  <c r="E843" i="1"/>
  <c r="D843" i="1"/>
  <c r="C843" i="1"/>
  <c r="B843" i="1"/>
  <c r="A843" i="1"/>
  <c r="F842" i="1"/>
  <c r="E842" i="1"/>
  <c r="D842" i="1"/>
  <c r="C842" i="1"/>
  <c r="B842" i="1"/>
  <c r="A842" i="1"/>
  <c r="F841" i="1"/>
  <c r="E841" i="1"/>
  <c r="D841" i="1"/>
  <c r="C841" i="1"/>
  <c r="B841" i="1"/>
  <c r="A841" i="1"/>
  <c r="F840" i="1"/>
  <c r="E840" i="1"/>
  <c r="D840" i="1"/>
  <c r="C840" i="1"/>
  <c r="B840" i="1"/>
  <c r="A840" i="1"/>
  <c r="F839" i="1"/>
  <c r="E839" i="1"/>
  <c r="D839" i="1"/>
  <c r="C839" i="1"/>
  <c r="B839" i="1"/>
  <c r="A839" i="1"/>
  <c r="F838" i="1"/>
  <c r="E838" i="1"/>
  <c r="D838" i="1"/>
  <c r="C838" i="1"/>
  <c r="B838" i="1"/>
  <c r="A838" i="1"/>
  <c r="F837" i="1"/>
  <c r="E837" i="1"/>
  <c r="D837" i="1"/>
  <c r="C837" i="1"/>
  <c r="B837" i="1"/>
  <c r="A837" i="1"/>
  <c r="F836" i="1"/>
  <c r="E836" i="1"/>
  <c r="D836" i="1"/>
  <c r="C836" i="1"/>
  <c r="B836" i="1"/>
  <c r="A836" i="1"/>
  <c r="F835" i="1"/>
  <c r="E835" i="1"/>
  <c r="D835" i="1"/>
  <c r="C835" i="1"/>
  <c r="B835" i="1"/>
  <c r="A835" i="1"/>
  <c r="F834" i="1"/>
  <c r="E834" i="1"/>
  <c r="D834" i="1"/>
  <c r="C834" i="1"/>
  <c r="B834" i="1"/>
  <c r="A834" i="1"/>
  <c r="F833" i="1"/>
  <c r="E833" i="1"/>
  <c r="D833" i="1"/>
  <c r="C833" i="1"/>
  <c r="B833" i="1"/>
  <c r="A833" i="1"/>
  <c r="F832" i="1"/>
  <c r="E832" i="1"/>
  <c r="D832" i="1"/>
  <c r="C832" i="1"/>
  <c r="B832" i="1"/>
  <c r="A832" i="1"/>
  <c r="F831" i="1"/>
  <c r="E831" i="1"/>
  <c r="D831" i="1"/>
  <c r="C831" i="1"/>
  <c r="B831" i="1"/>
  <c r="A831" i="1"/>
  <c r="F830" i="1"/>
  <c r="E830" i="1"/>
  <c r="D830" i="1"/>
  <c r="C830" i="1"/>
  <c r="B830" i="1"/>
  <c r="A830" i="1"/>
  <c r="F829" i="1"/>
  <c r="E829" i="1"/>
  <c r="D829" i="1"/>
  <c r="C829" i="1"/>
  <c r="B829" i="1"/>
  <c r="A829" i="1"/>
  <c r="F828" i="1"/>
  <c r="E828" i="1"/>
  <c r="D828" i="1"/>
  <c r="C828" i="1"/>
  <c r="B828" i="1"/>
  <c r="A828" i="1"/>
  <c r="F827" i="1"/>
  <c r="E827" i="1"/>
  <c r="D827" i="1"/>
  <c r="C827" i="1"/>
  <c r="B827" i="1"/>
  <c r="A827" i="1"/>
  <c r="F826" i="1"/>
  <c r="E826" i="1"/>
  <c r="D826" i="1"/>
  <c r="C826" i="1"/>
  <c r="B826" i="1"/>
  <c r="A826" i="1"/>
  <c r="F825" i="1"/>
  <c r="E825" i="1"/>
  <c r="D825" i="1"/>
  <c r="C825" i="1"/>
  <c r="B825" i="1"/>
  <c r="A825" i="1"/>
  <c r="F824" i="1"/>
  <c r="E824" i="1"/>
  <c r="D824" i="1"/>
  <c r="C824" i="1"/>
  <c r="B824" i="1"/>
  <c r="A824" i="1"/>
  <c r="F823" i="1"/>
  <c r="E823" i="1"/>
  <c r="D823" i="1"/>
  <c r="C823" i="1"/>
  <c r="B823" i="1"/>
  <c r="A823" i="1"/>
  <c r="F822" i="1"/>
  <c r="E822" i="1"/>
  <c r="D822" i="1"/>
  <c r="C822" i="1"/>
  <c r="B822" i="1"/>
  <c r="A822" i="1"/>
  <c r="F821" i="1"/>
  <c r="E821" i="1"/>
  <c r="D821" i="1"/>
  <c r="C821" i="1"/>
  <c r="B821" i="1"/>
  <c r="A821" i="1"/>
  <c r="F820" i="1"/>
  <c r="E820" i="1"/>
  <c r="D820" i="1"/>
  <c r="C820" i="1"/>
  <c r="B820" i="1"/>
  <c r="A820" i="1"/>
  <c r="F819" i="1"/>
  <c r="E819" i="1"/>
  <c r="D819" i="1"/>
  <c r="C819" i="1"/>
  <c r="B819" i="1"/>
  <c r="A819" i="1"/>
  <c r="F818" i="1"/>
  <c r="E818" i="1"/>
  <c r="D818" i="1"/>
  <c r="C818" i="1"/>
  <c r="B818" i="1"/>
  <c r="A818" i="1"/>
  <c r="F817" i="1"/>
  <c r="E817" i="1"/>
  <c r="D817" i="1"/>
  <c r="C817" i="1"/>
  <c r="B817" i="1"/>
  <c r="A817" i="1"/>
  <c r="F816" i="1"/>
  <c r="E816" i="1"/>
  <c r="D816" i="1"/>
  <c r="C816" i="1"/>
  <c r="B816" i="1"/>
  <c r="A816" i="1"/>
  <c r="F815" i="1"/>
  <c r="E815" i="1"/>
  <c r="D815" i="1"/>
  <c r="C815" i="1"/>
  <c r="B815" i="1"/>
  <c r="A815" i="1"/>
  <c r="F814" i="1"/>
  <c r="E814" i="1"/>
  <c r="D814" i="1"/>
  <c r="C814" i="1"/>
  <c r="B814" i="1"/>
  <c r="A814" i="1"/>
  <c r="F813" i="1"/>
  <c r="E813" i="1"/>
  <c r="D813" i="1"/>
  <c r="C813" i="1"/>
  <c r="B813" i="1"/>
  <c r="A813" i="1"/>
  <c r="F812" i="1"/>
  <c r="E812" i="1"/>
  <c r="D812" i="1"/>
  <c r="C812" i="1"/>
  <c r="B812" i="1"/>
  <c r="A812" i="1"/>
  <c r="F811" i="1"/>
  <c r="E811" i="1"/>
  <c r="D811" i="1"/>
  <c r="C811" i="1"/>
  <c r="B811" i="1"/>
  <c r="A811" i="1"/>
  <c r="F810" i="1"/>
  <c r="E810" i="1"/>
  <c r="D810" i="1"/>
  <c r="C810" i="1"/>
  <c r="B810" i="1"/>
  <c r="A810" i="1"/>
  <c r="F809" i="1"/>
  <c r="E809" i="1"/>
  <c r="D809" i="1"/>
  <c r="C809" i="1"/>
  <c r="B809" i="1"/>
  <c r="A809" i="1"/>
  <c r="F808" i="1"/>
  <c r="E808" i="1"/>
  <c r="D808" i="1"/>
  <c r="C808" i="1"/>
  <c r="B808" i="1"/>
  <c r="A808" i="1"/>
  <c r="F807" i="1"/>
  <c r="E807" i="1"/>
  <c r="D807" i="1"/>
  <c r="C807" i="1"/>
  <c r="B807" i="1"/>
  <c r="A807" i="1"/>
  <c r="F806" i="1"/>
  <c r="E806" i="1"/>
  <c r="D806" i="1"/>
  <c r="C806" i="1"/>
  <c r="B806" i="1"/>
  <c r="A806" i="1"/>
  <c r="F805" i="1"/>
  <c r="E805" i="1"/>
  <c r="D805" i="1"/>
  <c r="C805" i="1"/>
  <c r="B805" i="1"/>
  <c r="A805" i="1"/>
  <c r="F804" i="1"/>
  <c r="E804" i="1"/>
  <c r="D804" i="1"/>
  <c r="C804" i="1"/>
  <c r="B804" i="1"/>
  <c r="A804" i="1"/>
  <c r="F803" i="1"/>
  <c r="E803" i="1"/>
  <c r="D803" i="1"/>
  <c r="C803" i="1"/>
  <c r="B803" i="1"/>
  <c r="A803" i="1"/>
  <c r="F802" i="1"/>
  <c r="E802" i="1"/>
  <c r="D802" i="1"/>
  <c r="C802" i="1"/>
  <c r="B802" i="1"/>
  <c r="A802" i="1"/>
  <c r="F801" i="1"/>
  <c r="E801" i="1"/>
  <c r="D801" i="1"/>
  <c r="C801" i="1"/>
  <c r="B801" i="1"/>
  <c r="A801" i="1"/>
  <c r="F800" i="1"/>
  <c r="E800" i="1"/>
  <c r="D800" i="1"/>
  <c r="C800" i="1"/>
  <c r="B800" i="1"/>
  <c r="A800" i="1"/>
  <c r="F799" i="1"/>
  <c r="E799" i="1"/>
  <c r="D799" i="1"/>
  <c r="C799" i="1"/>
  <c r="B799" i="1"/>
  <c r="A799" i="1"/>
  <c r="F798" i="1"/>
  <c r="E798" i="1"/>
  <c r="D798" i="1"/>
  <c r="C798" i="1"/>
  <c r="B798" i="1"/>
  <c r="A798" i="1"/>
  <c r="F797" i="1"/>
  <c r="E797" i="1"/>
  <c r="D797" i="1"/>
  <c r="C797" i="1"/>
  <c r="B797" i="1"/>
  <c r="A797" i="1"/>
  <c r="F796" i="1"/>
  <c r="E796" i="1"/>
  <c r="D796" i="1"/>
  <c r="C796" i="1"/>
  <c r="B796" i="1"/>
  <c r="A796" i="1"/>
  <c r="F795" i="1"/>
  <c r="E795" i="1"/>
  <c r="D795" i="1"/>
  <c r="C795" i="1"/>
  <c r="B795" i="1"/>
  <c r="A795" i="1"/>
  <c r="F794" i="1"/>
  <c r="E794" i="1"/>
  <c r="D794" i="1"/>
  <c r="C794" i="1"/>
  <c r="B794" i="1"/>
  <c r="A794" i="1"/>
  <c r="F793" i="1"/>
  <c r="E793" i="1"/>
  <c r="D793" i="1"/>
  <c r="C793" i="1"/>
  <c r="B793" i="1"/>
  <c r="A793" i="1"/>
  <c r="F792" i="1"/>
  <c r="E792" i="1"/>
  <c r="D792" i="1"/>
  <c r="C792" i="1"/>
  <c r="B792" i="1"/>
  <c r="A792" i="1"/>
  <c r="F791" i="1"/>
  <c r="E791" i="1"/>
  <c r="D791" i="1"/>
  <c r="C791" i="1"/>
  <c r="B791" i="1"/>
  <c r="A791" i="1"/>
  <c r="F790" i="1"/>
  <c r="E790" i="1"/>
  <c r="D790" i="1"/>
  <c r="C790" i="1"/>
  <c r="B790" i="1"/>
  <c r="A790" i="1"/>
  <c r="F789" i="1"/>
  <c r="E789" i="1"/>
  <c r="D789" i="1"/>
  <c r="C789" i="1"/>
  <c r="B789" i="1"/>
  <c r="A789" i="1"/>
  <c r="F788" i="1"/>
  <c r="E788" i="1"/>
  <c r="D788" i="1"/>
  <c r="C788" i="1"/>
  <c r="B788" i="1"/>
  <c r="A788" i="1"/>
  <c r="F787" i="1"/>
  <c r="E787" i="1"/>
  <c r="D787" i="1"/>
  <c r="C787" i="1"/>
  <c r="B787" i="1"/>
  <c r="A787" i="1"/>
  <c r="F786" i="1"/>
  <c r="E786" i="1"/>
  <c r="D786" i="1"/>
  <c r="C786" i="1"/>
  <c r="B786" i="1"/>
  <c r="A786" i="1"/>
  <c r="F785" i="1"/>
  <c r="E785" i="1"/>
  <c r="D785" i="1"/>
  <c r="C785" i="1"/>
  <c r="B785" i="1"/>
  <c r="A785" i="1"/>
  <c r="F784" i="1"/>
  <c r="E784" i="1"/>
  <c r="D784" i="1"/>
  <c r="C784" i="1"/>
  <c r="B784" i="1"/>
  <c r="A784" i="1"/>
  <c r="F783" i="1"/>
  <c r="E783" i="1"/>
  <c r="D783" i="1"/>
  <c r="C783" i="1"/>
  <c r="B783" i="1"/>
  <c r="A783" i="1"/>
  <c r="F782" i="1"/>
  <c r="E782" i="1"/>
  <c r="D782" i="1"/>
  <c r="C782" i="1"/>
  <c r="B782" i="1"/>
  <c r="A782" i="1"/>
  <c r="F781" i="1"/>
  <c r="E781" i="1"/>
  <c r="D781" i="1"/>
  <c r="C781" i="1"/>
  <c r="B781" i="1"/>
  <c r="A781" i="1"/>
  <c r="F780" i="1"/>
  <c r="E780" i="1"/>
  <c r="D780" i="1"/>
  <c r="C780" i="1"/>
  <c r="B780" i="1"/>
  <c r="A780" i="1"/>
  <c r="F779" i="1"/>
  <c r="E779" i="1"/>
  <c r="D779" i="1"/>
  <c r="C779" i="1"/>
  <c r="B779" i="1"/>
  <c r="A779" i="1"/>
  <c r="F778" i="1"/>
  <c r="E778" i="1"/>
  <c r="D778" i="1"/>
  <c r="C778" i="1"/>
  <c r="B778" i="1"/>
  <c r="A778" i="1"/>
  <c r="F777" i="1"/>
  <c r="E777" i="1"/>
  <c r="D777" i="1"/>
  <c r="C777" i="1"/>
  <c r="B777" i="1"/>
  <c r="A777" i="1"/>
  <c r="F776" i="1"/>
  <c r="E776" i="1"/>
  <c r="D776" i="1"/>
  <c r="C776" i="1"/>
  <c r="B776" i="1"/>
  <c r="A776" i="1"/>
  <c r="F775" i="1"/>
  <c r="E775" i="1"/>
  <c r="D775" i="1"/>
  <c r="C775" i="1"/>
  <c r="B775" i="1"/>
  <c r="A775" i="1"/>
  <c r="F774" i="1"/>
  <c r="E774" i="1"/>
  <c r="D774" i="1"/>
  <c r="C774" i="1"/>
  <c r="B774" i="1"/>
  <c r="A774" i="1"/>
  <c r="F773" i="1"/>
  <c r="E773" i="1"/>
  <c r="D773" i="1"/>
  <c r="C773" i="1"/>
  <c r="B773" i="1"/>
  <c r="A773" i="1"/>
  <c r="F772" i="1"/>
  <c r="E772" i="1"/>
  <c r="D772" i="1"/>
  <c r="C772" i="1"/>
  <c r="B772" i="1"/>
  <c r="A772" i="1"/>
  <c r="F771" i="1"/>
  <c r="E771" i="1"/>
  <c r="D771" i="1"/>
  <c r="C771" i="1"/>
  <c r="B771" i="1"/>
  <c r="A771" i="1"/>
  <c r="F770" i="1"/>
  <c r="E770" i="1"/>
  <c r="D770" i="1"/>
  <c r="C770" i="1"/>
  <c r="B770" i="1"/>
  <c r="A770" i="1"/>
  <c r="F769" i="1"/>
  <c r="E769" i="1"/>
  <c r="D769" i="1"/>
  <c r="C769" i="1"/>
  <c r="B769" i="1"/>
  <c r="A769" i="1"/>
  <c r="F768" i="1"/>
  <c r="E768" i="1"/>
  <c r="D768" i="1"/>
  <c r="C768" i="1"/>
  <c r="B768" i="1"/>
  <c r="A768" i="1"/>
  <c r="F767" i="1"/>
  <c r="E767" i="1"/>
  <c r="D767" i="1"/>
  <c r="C767" i="1"/>
  <c r="B767" i="1"/>
  <c r="A767" i="1"/>
  <c r="F766" i="1"/>
  <c r="E766" i="1"/>
  <c r="D766" i="1"/>
  <c r="C766" i="1"/>
  <c r="B766" i="1"/>
  <c r="A766" i="1"/>
  <c r="F765" i="1"/>
  <c r="E765" i="1"/>
  <c r="D765" i="1"/>
  <c r="C765" i="1"/>
  <c r="B765" i="1"/>
  <c r="A765" i="1"/>
  <c r="F764" i="1"/>
  <c r="E764" i="1"/>
  <c r="D764" i="1"/>
  <c r="C764" i="1"/>
  <c r="B764" i="1"/>
  <c r="A764" i="1"/>
  <c r="F763" i="1"/>
  <c r="E763" i="1"/>
  <c r="D763" i="1"/>
  <c r="C763" i="1"/>
  <c r="B763" i="1"/>
  <c r="A763" i="1"/>
  <c r="F762" i="1"/>
  <c r="E762" i="1"/>
  <c r="D762" i="1"/>
  <c r="C762" i="1"/>
  <c r="B762" i="1"/>
  <c r="A762" i="1"/>
  <c r="F761" i="1"/>
  <c r="E761" i="1"/>
  <c r="D761" i="1"/>
  <c r="C761" i="1"/>
  <c r="B761" i="1"/>
  <c r="A761" i="1"/>
  <c r="F760" i="1"/>
  <c r="E760" i="1"/>
  <c r="D760" i="1"/>
  <c r="C760" i="1"/>
  <c r="B760" i="1"/>
  <c r="A760" i="1"/>
  <c r="F759" i="1"/>
  <c r="E759" i="1"/>
  <c r="D759" i="1"/>
  <c r="C759" i="1"/>
  <c r="B759" i="1"/>
  <c r="A759" i="1"/>
  <c r="F758" i="1"/>
  <c r="E758" i="1"/>
  <c r="D758" i="1"/>
  <c r="C758" i="1"/>
  <c r="B758" i="1"/>
  <c r="A758" i="1"/>
  <c r="F757" i="1"/>
  <c r="E757" i="1"/>
  <c r="D757" i="1"/>
  <c r="C757" i="1"/>
  <c r="B757" i="1"/>
  <c r="A757" i="1"/>
  <c r="F756" i="1"/>
  <c r="E756" i="1"/>
  <c r="D756" i="1"/>
  <c r="C756" i="1"/>
  <c r="B756" i="1"/>
  <c r="A756" i="1"/>
  <c r="F755" i="1"/>
  <c r="E755" i="1"/>
  <c r="D755" i="1"/>
  <c r="C755" i="1"/>
  <c r="B755" i="1"/>
  <c r="A755" i="1"/>
  <c r="F754" i="1"/>
  <c r="E754" i="1"/>
  <c r="D754" i="1"/>
  <c r="C754" i="1"/>
  <c r="B754" i="1"/>
  <c r="A754" i="1"/>
  <c r="F753" i="1"/>
  <c r="E753" i="1"/>
  <c r="D753" i="1"/>
  <c r="C753" i="1"/>
  <c r="B753" i="1"/>
  <c r="A753" i="1"/>
  <c r="F752" i="1"/>
  <c r="E752" i="1"/>
  <c r="D752" i="1"/>
  <c r="C752" i="1"/>
  <c r="B752" i="1"/>
  <c r="A752" i="1"/>
  <c r="F751" i="1"/>
  <c r="E751" i="1"/>
  <c r="D751" i="1"/>
  <c r="C751" i="1"/>
  <c r="B751" i="1"/>
  <c r="A751" i="1"/>
  <c r="F750" i="1"/>
  <c r="E750" i="1"/>
  <c r="D750" i="1"/>
  <c r="C750" i="1"/>
  <c r="B750" i="1"/>
  <c r="A750" i="1"/>
  <c r="F749" i="1"/>
  <c r="E749" i="1"/>
  <c r="D749" i="1"/>
  <c r="C749" i="1"/>
  <c r="B749" i="1"/>
  <c r="A749" i="1"/>
  <c r="F748" i="1"/>
  <c r="E748" i="1"/>
  <c r="D748" i="1"/>
  <c r="C748" i="1"/>
  <c r="B748" i="1"/>
  <c r="A748" i="1"/>
  <c r="F747" i="1"/>
  <c r="E747" i="1"/>
  <c r="D747" i="1"/>
  <c r="C747" i="1"/>
  <c r="B747" i="1"/>
  <c r="A747" i="1"/>
  <c r="F746" i="1"/>
  <c r="E746" i="1"/>
  <c r="D746" i="1"/>
  <c r="C746" i="1"/>
  <c r="B746" i="1"/>
  <c r="A746" i="1"/>
  <c r="F745" i="1"/>
  <c r="E745" i="1"/>
  <c r="D745" i="1"/>
  <c r="C745" i="1"/>
  <c r="B745" i="1"/>
  <c r="A745" i="1"/>
  <c r="F744" i="1"/>
  <c r="E744" i="1"/>
  <c r="D744" i="1"/>
  <c r="C744" i="1"/>
  <c r="B744" i="1"/>
  <c r="A744" i="1"/>
  <c r="F743" i="1"/>
  <c r="E743" i="1"/>
  <c r="D743" i="1"/>
  <c r="C743" i="1"/>
  <c r="B743" i="1"/>
  <c r="A743" i="1"/>
  <c r="F742" i="1"/>
  <c r="E742" i="1"/>
  <c r="D742" i="1"/>
  <c r="C742" i="1"/>
  <c r="B742" i="1"/>
  <c r="A742" i="1"/>
  <c r="F741" i="1"/>
  <c r="E741" i="1"/>
  <c r="D741" i="1"/>
  <c r="C741" i="1"/>
  <c r="B741" i="1"/>
  <c r="A741" i="1"/>
  <c r="F740" i="1"/>
  <c r="E740" i="1"/>
  <c r="D740" i="1"/>
  <c r="C740" i="1"/>
  <c r="B740" i="1"/>
  <c r="A740" i="1"/>
  <c r="F739" i="1"/>
  <c r="E739" i="1"/>
  <c r="D739" i="1"/>
  <c r="C739" i="1"/>
  <c r="B739" i="1"/>
  <c r="A739" i="1"/>
  <c r="F738" i="1"/>
  <c r="E738" i="1"/>
  <c r="D738" i="1"/>
  <c r="C738" i="1"/>
  <c r="B738" i="1"/>
  <c r="A738" i="1"/>
  <c r="F737" i="1"/>
  <c r="E737" i="1"/>
  <c r="D737" i="1"/>
  <c r="C737" i="1"/>
  <c r="B737" i="1"/>
  <c r="A737" i="1"/>
  <c r="F736" i="1"/>
  <c r="E736" i="1"/>
  <c r="D736" i="1"/>
  <c r="C736" i="1"/>
  <c r="B736" i="1"/>
  <c r="A736" i="1"/>
  <c r="F735" i="1"/>
  <c r="E735" i="1"/>
  <c r="D735" i="1"/>
  <c r="C735" i="1"/>
  <c r="B735" i="1"/>
  <c r="A735" i="1"/>
  <c r="F734" i="1"/>
  <c r="E734" i="1"/>
  <c r="D734" i="1"/>
  <c r="C734" i="1"/>
  <c r="B734" i="1"/>
  <c r="A734" i="1"/>
  <c r="F733" i="1"/>
  <c r="E733" i="1"/>
  <c r="D733" i="1"/>
  <c r="C733" i="1"/>
  <c r="B733" i="1"/>
  <c r="A733" i="1"/>
  <c r="F732" i="1"/>
  <c r="E732" i="1"/>
  <c r="D732" i="1"/>
  <c r="C732" i="1"/>
  <c r="B732" i="1"/>
  <c r="A732" i="1"/>
  <c r="F731" i="1"/>
  <c r="E731" i="1"/>
  <c r="D731" i="1"/>
  <c r="C731" i="1"/>
  <c r="B731" i="1"/>
  <c r="A731" i="1"/>
  <c r="F730" i="1"/>
  <c r="E730" i="1"/>
  <c r="D730" i="1"/>
  <c r="C730" i="1"/>
  <c r="B730" i="1"/>
  <c r="A730" i="1"/>
  <c r="F729" i="1"/>
  <c r="E729" i="1"/>
  <c r="D729" i="1"/>
  <c r="C729" i="1"/>
  <c r="B729" i="1"/>
  <c r="A729" i="1"/>
  <c r="F728" i="1"/>
  <c r="E728" i="1"/>
  <c r="D728" i="1"/>
  <c r="C728" i="1"/>
  <c r="B728" i="1"/>
  <c r="A728" i="1"/>
  <c r="F727" i="1"/>
  <c r="E727" i="1"/>
  <c r="D727" i="1"/>
  <c r="C727" i="1"/>
  <c r="B727" i="1"/>
  <c r="A727" i="1"/>
  <c r="F726" i="1"/>
  <c r="E726" i="1"/>
  <c r="D726" i="1"/>
  <c r="C726" i="1"/>
  <c r="B726" i="1"/>
  <c r="A726" i="1"/>
  <c r="F725" i="1"/>
  <c r="E725" i="1"/>
  <c r="D725" i="1"/>
  <c r="C725" i="1"/>
  <c r="B725" i="1"/>
  <c r="A725" i="1"/>
  <c r="F724" i="1"/>
  <c r="E724" i="1"/>
  <c r="D724" i="1"/>
  <c r="C724" i="1"/>
  <c r="B724" i="1"/>
  <c r="A724" i="1"/>
  <c r="F723" i="1"/>
  <c r="E723" i="1"/>
  <c r="D723" i="1"/>
  <c r="C723" i="1"/>
  <c r="B723" i="1"/>
  <c r="A723" i="1"/>
  <c r="F722" i="1"/>
  <c r="E722" i="1"/>
  <c r="D722" i="1"/>
  <c r="C722" i="1"/>
  <c r="B722" i="1"/>
  <c r="A722" i="1"/>
  <c r="F721" i="1"/>
  <c r="E721" i="1"/>
  <c r="D721" i="1"/>
  <c r="C721" i="1"/>
  <c r="B721" i="1"/>
  <c r="A721" i="1"/>
  <c r="F720" i="1"/>
  <c r="E720" i="1"/>
  <c r="D720" i="1"/>
  <c r="C720" i="1"/>
  <c r="B720" i="1"/>
  <c r="A720" i="1"/>
  <c r="F719" i="1"/>
  <c r="E719" i="1"/>
  <c r="D719" i="1"/>
  <c r="C719" i="1"/>
  <c r="B719" i="1"/>
  <c r="A719" i="1"/>
  <c r="F718" i="1"/>
  <c r="E718" i="1"/>
  <c r="D718" i="1"/>
  <c r="C718" i="1"/>
  <c r="B718" i="1"/>
  <c r="A718" i="1"/>
  <c r="F717" i="1"/>
  <c r="E717" i="1"/>
  <c r="D717" i="1"/>
  <c r="C717" i="1"/>
  <c r="B717" i="1"/>
  <c r="A717" i="1"/>
  <c r="F716" i="1"/>
  <c r="E716" i="1"/>
  <c r="D716" i="1"/>
  <c r="C716" i="1"/>
  <c r="B716" i="1"/>
  <c r="A716" i="1"/>
  <c r="F715" i="1"/>
  <c r="E715" i="1"/>
  <c r="D715" i="1"/>
  <c r="C715" i="1"/>
  <c r="B715" i="1"/>
  <c r="A715" i="1"/>
  <c r="F714" i="1"/>
  <c r="E714" i="1"/>
  <c r="D714" i="1"/>
  <c r="C714" i="1"/>
  <c r="B714" i="1"/>
  <c r="A714" i="1"/>
  <c r="F713" i="1"/>
  <c r="E713" i="1"/>
  <c r="D713" i="1"/>
  <c r="C713" i="1"/>
  <c r="B713" i="1"/>
  <c r="A713" i="1"/>
  <c r="F712" i="1"/>
  <c r="E712" i="1"/>
  <c r="D712" i="1"/>
  <c r="C712" i="1"/>
  <c r="B712" i="1"/>
  <c r="A712" i="1"/>
  <c r="F711" i="1"/>
  <c r="E711" i="1"/>
  <c r="D711" i="1"/>
  <c r="C711" i="1"/>
  <c r="B711" i="1"/>
  <c r="A711" i="1"/>
  <c r="F710" i="1"/>
  <c r="E710" i="1"/>
  <c r="D710" i="1"/>
  <c r="C710" i="1"/>
  <c r="B710" i="1"/>
  <c r="A710" i="1"/>
  <c r="F709" i="1"/>
  <c r="E709" i="1"/>
  <c r="D709" i="1"/>
  <c r="C709" i="1"/>
  <c r="B709" i="1"/>
  <c r="A709" i="1"/>
  <c r="F708" i="1"/>
  <c r="E708" i="1"/>
  <c r="D708" i="1"/>
  <c r="C708" i="1"/>
  <c r="B708" i="1"/>
  <c r="A708" i="1"/>
  <c r="F707" i="1"/>
  <c r="E707" i="1"/>
  <c r="D707" i="1"/>
  <c r="C707" i="1"/>
  <c r="B707" i="1"/>
  <c r="A707" i="1"/>
  <c r="F706" i="1"/>
  <c r="E706" i="1"/>
  <c r="D706" i="1"/>
  <c r="C706" i="1"/>
  <c r="B706" i="1"/>
  <c r="A706" i="1"/>
  <c r="F705" i="1"/>
  <c r="E705" i="1"/>
  <c r="D705" i="1"/>
  <c r="C705" i="1"/>
  <c r="B705" i="1"/>
  <c r="A705" i="1"/>
  <c r="F704" i="1"/>
  <c r="E704" i="1"/>
  <c r="D704" i="1"/>
  <c r="C704" i="1"/>
  <c r="B704" i="1"/>
  <c r="A704" i="1"/>
  <c r="F703" i="1"/>
  <c r="E703" i="1"/>
  <c r="D703" i="1"/>
  <c r="C703" i="1"/>
  <c r="B703" i="1"/>
  <c r="A703" i="1"/>
  <c r="F702" i="1"/>
  <c r="E702" i="1"/>
  <c r="D702" i="1"/>
  <c r="C702" i="1"/>
  <c r="B702" i="1"/>
  <c r="A702" i="1"/>
  <c r="F701" i="1"/>
  <c r="E701" i="1"/>
  <c r="D701" i="1"/>
  <c r="C701" i="1"/>
  <c r="B701" i="1"/>
  <c r="A701" i="1"/>
  <c r="F700" i="1"/>
  <c r="E700" i="1"/>
  <c r="D700" i="1"/>
  <c r="C700" i="1"/>
  <c r="B700" i="1"/>
  <c r="A700" i="1"/>
  <c r="F699" i="1"/>
  <c r="E699" i="1"/>
  <c r="D699" i="1"/>
  <c r="C699" i="1"/>
  <c r="B699" i="1"/>
  <c r="A699" i="1"/>
  <c r="F698" i="1"/>
  <c r="E698" i="1"/>
  <c r="D698" i="1"/>
  <c r="C698" i="1"/>
  <c r="B698" i="1"/>
  <c r="A698" i="1"/>
  <c r="F697" i="1"/>
  <c r="E697" i="1"/>
  <c r="D697" i="1"/>
  <c r="C697" i="1"/>
  <c r="B697" i="1"/>
  <c r="A697" i="1"/>
  <c r="F696" i="1"/>
  <c r="E696" i="1"/>
  <c r="D696" i="1"/>
  <c r="C696" i="1"/>
  <c r="B696" i="1"/>
  <c r="A696" i="1"/>
  <c r="F695" i="1"/>
  <c r="E695" i="1"/>
  <c r="D695" i="1"/>
  <c r="C695" i="1"/>
  <c r="B695" i="1"/>
  <c r="A695" i="1"/>
  <c r="F694" i="1"/>
  <c r="E694" i="1"/>
  <c r="D694" i="1"/>
  <c r="C694" i="1"/>
  <c r="B694" i="1"/>
  <c r="A694" i="1"/>
  <c r="F693" i="1"/>
  <c r="E693" i="1"/>
  <c r="D693" i="1"/>
  <c r="C693" i="1"/>
  <c r="B693" i="1"/>
  <c r="A693" i="1"/>
  <c r="F692" i="1"/>
  <c r="E692" i="1"/>
  <c r="D692" i="1"/>
  <c r="C692" i="1"/>
  <c r="B692" i="1"/>
  <c r="A692" i="1"/>
  <c r="F691" i="1"/>
  <c r="E691" i="1"/>
  <c r="D691" i="1"/>
  <c r="C691" i="1"/>
  <c r="B691" i="1"/>
  <c r="A691" i="1"/>
  <c r="F690" i="1"/>
  <c r="E690" i="1"/>
  <c r="D690" i="1"/>
  <c r="C690" i="1"/>
  <c r="B690" i="1"/>
  <c r="A690" i="1"/>
  <c r="F689" i="1"/>
  <c r="E689" i="1"/>
  <c r="D689" i="1"/>
  <c r="C689" i="1"/>
  <c r="B689" i="1"/>
  <c r="A689" i="1"/>
  <c r="F688" i="1"/>
  <c r="E688" i="1"/>
  <c r="D688" i="1"/>
  <c r="C688" i="1"/>
  <c r="B688" i="1"/>
  <c r="A688" i="1"/>
  <c r="F687" i="1"/>
  <c r="E687" i="1"/>
  <c r="D687" i="1"/>
  <c r="C687" i="1"/>
  <c r="B687" i="1"/>
  <c r="A687" i="1"/>
  <c r="F686" i="1"/>
  <c r="E686" i="1"/>
  <c r="D686" i="1"/>
  <c r="C686" i="1"/>
  <c r="B686" i="1"/>
  <c r="A686" i="1"/>
  <c r="F685" i="1"/>
  <c r="E685" i="1"/>
  <c r="D685" i="1"/>
  <c r="C685" i="1"/>
  <c r="B685" i="1"/>
  <c r="A685" i="1"/>
  <c r="F684" i="1"/>
  <c r="E684" i="1"/>
  <c r="D684" i="1"/>
  <c r="C684" i="1"/>
  <c r="B684" i="1"/>
  <c r="A684" i="1"/>
  <c r="F683" i="1"/>
  <c r="E683" i="1"/>
  <c r="D683" i="1"/>
  <c r="C683" i="1"/>
  <c r="B683" i="1"/>
  <c r="A683" i="1"/>
  <c r="F682" i="1"/>
  <c r="E682" i="1"/>
  <c r="D682" i="1"/>
  <c r="C682" i="1"/>
  <c r="B682" i="1"/>
  <c r="A682" i="1"/>
  <c r="F681" i="1"/>
  <c r="E681" i="1"/>
  <c r="D681" i="1"/>
  <c r="C681" i="1"/>
  <c r="B681" i="1"/>
  <c r="A681" i="1"/>
  <c r="F680" i="1"/>
  <c r="E680" i="1"/>
  <c r="D680" i="1"/>
  <c r="C680" i="1"/>
  <c r="B680" i="1"/>
  <c r="A680" i="1"/>
  <c r="F679" i="1"/>
  <c r="E679" i="1"/>
  <c r="D679" i="1"/>
  <c r="C679" i="1"/>
  <c r="B679" i="1"/>
  <c r="A679" i="1"/>
  <c r="F678" i="1"/>
  <c r="E678" i="1"/>
  <c r="D678" i="1"/>
  <c r="C678" i="1"/>
  <c r="B678" i="1"/>
  <c r="A678" i="1"/>
  <c r="F677" i="1"/>
  <c r="E677" i="1"/>
  <c r="D677" i="1"/>
  <c r="C677" i="1"/>
  <c r="B677" i="1"/>
  <c r="A677" i="1"/>
  <c r="F676" i="1"/>
  <c r="E676" i="1"/>
  <c r="D676" i="1"/>
  <c r="C676" i="1"/>
  <c r="B676" i="1"/>
  <c r="A676" i="1"/>
  <c r="F675" i="1"/>
  <c r="E675" i="1"/>
  <c r="D675" i="1"/>
  <c r="C675" i="1"/>
  <c r="B675" i="1"/>
  <c r="A675" i="1"/>
  <c r="F674" i="1"/>
  <c r="E674" i="1"/>
  <c r="D674" i="1"/>
  <c r="C674" i="1"/>
  <c r="B674" i="1"/>
  <c r="A674" i="1"/>
  <c r="F673" i="1"/>
  <c r="E673" i="1"/>
  <c r="D673" i="1"/>
  <c r="C673" i="1"/>
  <c r="B673" i="1"/>
  <c r="A673" i="1"/>
  <c r="F672" i="1"/>
  <c r="E672" i="1"/>
  <c r="D672" i="1"/>
  <c r="C672" i="1"/>
  <c r="B672" i="1"/>
  <c r="A672" i="1"/>
  <c r="F671" i="1"/>
  <c r="E671" i="1"/>
  <c r="D671" i="1"/>
  <c r="C671" i="1"/>
  <c r="B671" i="1"/>
  <c r="A671" i="1"/>
  <c r="F670" i="1"/>
  <c r="E670" i="1"/>
  <c r="D670" i="1"/>
  <c r="C670" i="1"/>
  <c r="B670" i="1"/>
  <c r="A670" i="1"/>
  <c r="F669" i="1"/>
  <c r="E669" i="1"/>
  <c r="D669" i="1"/>
  <c r="C669" i="1"/>
  <c r="B669" i="1"/>
  <c r="A669" i="1"/>
  <c r="F668" i="1"/>
  <c r="E668" i="1"/>
  <c r="D668" i="1"/>
  <c r="C668" i="1"/>
  <c r="B668" i="1"/>
  <c r="A668" i="1"/>
  <c r="F667" i="1"/>
  <c r="E667" i="1"/>
  <c r="D667" i="1"/>
  <c r="C667" i="1"/>
  <c r="B667" i="1"/>
  <c r="A667" i="1"/>
  <c r="F666" i="1"/>
  <c r="E666" i="1"/>
  <c r="D666" i="1"/>
  <c r="C666" i="1"/>
  <c r="B666" i="1"/>
  <c r="A666" i="1"/>
  <c r="F665" i="1"/>
  <c r="E665" i="1"/>
  <c r="D665" i="1"/>
  <c r="C665" i="1"/>
  <c r="B665" i="1"/>
  <c r="A665" i="1"/>
  <c r="F664" i="1"/>
  <c r="E664" i="1"/>
  <c r="D664" i="1"/>
  <c r="C664" i="1"/>
  <c r="B664" i="1"/>
  <c r="A664" i="1"/>
  <c r="F663" i="1"/>
  <c r="E663" i="1"/>
  <c r="D663" i="1"/>
  <c r="C663" i="1"/>
  <c r="B663" i="1"/>
  <c r="A663" i="1"/>
  <c r="F662" i="1"/>
  <c r="E662" i="1"/>
  <c r="D662" i="1"/>
  <c r="C662" i="1"/>
  <c r="B662" i="1"/>
  <c r="A662" i="1"/>
  <c r="F661" i="1"/>
  <c r="E661" i="1"/>
  <c r="D661" i="1"/>
  <c r="C661" i="1"/>
  <c r="B661" i="1"/>
  <c r="A661" i="1"/>
  <c r="F660" i="1"/>
  <c r="E660" i="1"/>
  <c r="D660" i="1"/>
  <c r="C660" i="1"/>
  <c r="B660" i="1"/>
  <c r="A660" i="1"/>
  <c r="F659" i="1"/>
  <c r="E659" i="1"/>
  <c r="D659" i="1"/>
  <c r="C659" i="1"/>
  <c r="B659" i="1"/>
  <c r="A659" i="1"/>
  <c r="F658" i="1"/>
  <c r="E658" i="1"/>
  <c r="D658" i="1"/>
  <c r="C658" i="1"/>
  <c r="B658" i="1"/>
  <c r="A658" i="1"/>
  <c r="F657" i="1"/>
  <c r="E657" i="1"/>
  <c r="D657" i="1"/>
  <c r="C657" i="1"/>
  <c r="B657" i="1"/>
  <c r="A657" i="1"/>
  <c r="F656" i="1"/>
  <c r="E656" i="1"/>
  <c r="D656" i="1"/>
  <c r="C656" i="1"/>
  <c r="B656" i="1"/>
  <c r="A656" i="1"/>
  <c r="F655" i="1"/>
  <c r="E655" i="1"/>
  <c r="D655" i="1"/>
  <c r="C655" i="1"/>
  <c r="B655" i="1"/>
  <c r="A655" i="1"/>
  <c r="F654" i="1"/>
  <c r="E654" i="1"/>
  <c r="D654" i="1"/>
  <c r="C654" i="1"/>
  <c r="B654" i="1"/>
  <c r="A654" i="1"/>
  <c r="F653" i="1"/>
  <c r="E653" i="1"/>
  <c r="D653" i="1"/>
  <c r="C653" i="1"/>
  <c r="B653" i="1"/>
  <c r="A653" i="1"/>
  <c r="F652" i="1"/>
  <c r="E652" i="1"/>
  <c r="D652" i="1"/>
  <c r="C652" i="1"/>
  <c r="B652" i="1"/>
  <c r="A652" i="1"/>
  <c r="F651" i="1"/>
  <c r="E651" i="1"/>
  <c r="D651" i="1"/>
  <c r="C651" i="1"/>
  <c r="B651" i="1"/>
  <c r="A651" i="1"/>
  <c r="F650" i="1"/>
  <c r="E650" i="1"/>
  <c r="D650" i="1"/>
  <c r="C650" i="1"/>
  <c r="B650" i="1"/>
  <c r="A650" i="1"/>
  <c r="F649" i="1"/>
  <c r="E649" i="1"/>
  <c r="D649" i="1"/>
  <c r="C649" i="1"/>
  <c r="B649" i="1"/>
  <c r="A649" i="1"/>
  <c r="F648" i="1"/>
  <c r="E648" i="1"/>
  <c r="D648" i="1"/>
  <c r="C648" i="1"/>
  <c r="B648" i="1"/>
  <c r="A648" i="1"/>
  <c r="F647" i="1"/>
  <c r="E647" i="1"/>
  <c r="D647" i="1"/>
  <c r="C647" i="1"/>
  <c r="B647" i="1"/>
  <c r="A647" i="1"/>
  <c r="F646" i="1"/>
  <c r="E646" i="1"/>
  <c r="D646" i="1"/>
  <c r="C646" i="1"/>
  <c r="B646" i="1"/>
  <c r="A646" i="1"/>
  <c r="F645" i="1"/>
  <c r="E645" i="1"/>
  <c r="D645" i="1"/>
  <c r="C645" i="1"/>
  <c r="B645" i="1"/>
  <c r="A645" i="1"/>
  <c r="F644" i="1"/>
  <c r="E644" i="1"/>
  <c r="D644" i="1"/>
  <c r="C644" i="1"/>
  <c r="B644" i="1"/>
  <c r="A644" i="1"/>
  <c r="F643" i="1"/>
  <c r="E643" i="1"/>
  <c r="D643" i="1"/>
  <c r="C643" i="1"/>
  <c r="B643" i="1"/>
  <c r="A643" i="1"/>
  <c r="F642" i="1"/>
  <c r="E642" i="1"/>
  <c r="D642" i="1"/>
  <c r="C642" i="1"/>
  <c r="B642" i="1"/>
  <c r="A642" i="1"/>
  <c r="F641" i="1"/>
  <c r="E641" i="1"/>
  <c r="D641" i="1"/>
  <c r="C641" i="1"/>
  <c r="B641" i="1"/>
  <c r="A641" i="1"/>
  <c r="F640" i="1"/>
  <c r="E640" i="1"/>
  <c r="D640" i="1"/>
  <c r="C640" i="1"/>
  <c r="B640" i="1"/>
  <c r="A640" i="1"/>
  <c r="F639" i="1"/>
  <c r="E639" i="1"/>
  <c r="D639" i="1"/>
  <c r="C639" i="1"/>
  <c r="B639" i="1"/>
  <c r="A639" i="1"/>
  <c r="F638" i="1"/>
  <c r="E638" i="1"/>
  <c r="D638" i="1"/>
  <c r="C638" i="1"/>
  <c r="B638" i="1"/>
  <c r="A638" i="1"/>
  <c r="F637" i="1"/>
  <c r="E637" i="1"/>
  <c r="D637" i="1"/>
  <c r="C637" i="1"/>
  <c r="B637" i="1"/>
  <c r="A637" i="1"/>
  <c r="F636" i="1"/>
  <c r="E636" i="1"/>
  <c r="D636" i="1"/>
  <c r="C636" i="1"/>
  <c r="B636" i="1"/>
  <c r="A636" i="1"/>
  <c r="F635" i="1"/>
  <c r="E635" i="1"/>
  <c r="D635" i="1"/>
  <c r="C635" i="1"/>
  <c r="B635" i="1"/>
  <c r="A635" i="1"/>
  <c r="F634" i="1"/>
  <c r="E634" i="1"/>
  <c r="D634" i="1"/>
  <c r="C634" i="1"/>
  <c r="B634" i="1"/>
  <c r="A634" i="1"/>
  <c r="F633" i="1"/>
  <c r="E633" i="1"/>
  <c r="D633" i="1"/>
  <c r="C633" i="1"/>
  <c r="B633" i="1"/>
  <c r="A633" i="1"/>
  <c r="F632" i="1"/>
  <c r="E632" i="1"/>
  <c r="D632" i="1"/>
  <c r="C632" i="1"/>
  <c r="B632" i="1"/>
  <c r="A632" i="1"/>
  <c r="F631" i="1"/>
  <c r="E631" i="1"/>
  <c r="D631" i="1"/>
  <c r="C631" i="1"/>
  <c r="B631" i="1"/>
  <c r="A631" i="1"/>
  <c r="F630" i="1"/>
  <c r="E630" i="1"/>
  <c r="D630" i="1"/>
  <c r="C630" i="1"/>
  <c r="B630" i="1"/>
  <c r="A630" i="1"/>
  <c r="F629" i="1"/>
  <c r="E629" i="1"/>
  <c r="D629" i="1"/>
  <c r="C629" i="1"/>
  <c r="B629" i="1"/>
  <c r="A629" i="1"/>
  <c r="F628" i="1"/>
  <c r="E628" i="1"/>
  <c r="D628" i="1"/>
  <c r="C628" i="1"/>
  <c r="B628" i="1"/>
  <c r="A628" i="1"/>
  <c r="F627" i="1"/>
  <c r="E627" i="1"/>
  <c r="D627" i="1"/>
  <c r="C627" i="1"/>
  <c r="B627" i="1"/>
  <c r="A627" i="1"/>
  <c r="F626" i="1"/>
  <c r="E626" i="1"/>
  <c r="D626" i="1"/>
  <c r="C626" i="1"/>
  <c r="B626" i="1"/>
  <c r="A626" i="1"/>
  <c r="F625" i="1"/>
  <c r="E625" i="1"/>
  <c r="D625" i="1"/>
  <c r="C625" i="1"/>
  <c r="B625" i="1"/>
  <c r="A625" i="1"/>
  <c r="F624" i="1"/>
  <c r="E624" i="1"/>
  <c r="D624" i="1"/>
  <c r="C624" i="1"/>
  <c r="B624" i="1"/>
  <c r="A624" i="1"/>
  <c r="F623" i="1"/>
  <c r="E623" i="1"/>
  <c r="D623" i="1"/>
  <c r="C623" i="1"/>
  <c r="B623" i="1"/>
  <c r="A623" i="1"/>
  <c r="F622" i="1"/>
  <c r="E622" i="1"/>
  <c r="D622" i="1"/>
  <c r="C622" i="1"/>
  <c r="B622" i="1"/>
  <c r="A622" i="1"/>
  <c r="F621" i="1"/>
  <c r="E621" i="1"/>
  <c r="D621" i="1"/>
  <c r="C621" i="1"/>
  <c r="B621" i="1"/>
  <c r="A621" i="1"/>
  <c r="F620" i="1"/>
  <c r="E620" i="1"/>
  <c r="D620" i="1"/>
  <c r="C620" i="1"/>
  <c r="B620" i="1"/>
  <c r="A620" i="1"/>
  <c r="F619" i="1"/>
  <c r="E619" i="1"/>
  <c r="D619" i="1"/>
  <c r="C619" i="1"/>
  <c r="B619" i="1"/>
  <c r="A619" i="1"/>
  <c r="F618" i="1"/>
  <c r="E618" i="1"/>
  <c r="D618" i="1"/>
  <c r="C618" i="1"/>
  <c r="B618" i="1"/>
  <c r="A618" i="1"/>
  <c r="F617" i="1"/>
  <c r="E617" i="1"/>
  <c r="D617" i="1"/>
  <c r="C617" i="1"/>
  <c r="B617" i="1"/>
  <c r="A617" i="1"/>
  <c r="F616" i="1"/>
  <c r="E616" i="1"/>
  <c r="D616" i="1"/>
  <c r="C616" i="1"/>
  <c r="B616" i="1"/>
  <c r="A616" i="1"/>
  <c r="F615" i="1"/>
  <c r="E615" i="1"/>
  <c r="D615" i="1"/>
  <c r="C615" i="1"/>
  <c r="B615" i="1"/>
  <c r="A615" i="1"/>
  <c r="F614" i="1"/>
  <c r="E614" i="1"/>
  <c r="D614" i="1"/>
  <c r="C614" i="1"/>
  <c r="B614" i="1"/>
  <c r="A614" i="1"/>
  <c r="F613" i="1"/>
  <c r="E613" i="1"/>
  <c r="D613" i="1"/>
  <c r="C613" i="1"/>
  <c r="B613" i="1"/>
  <c r="A613" i="1"/>
  <c r="F612" i="1"/>
  <c r="E612" i="1"/>
  <c r="D612" i="1"/>
  <c r="C612" i="1"/>
  <c r="B612" i="1"/>
  <c r="A612" i="1"/>
  <c r="F611" i="1"/>
  <c r="E611" i="1"/>
  <c r="D611" i="1"/>
  <c r="C611" i="1"/>
  <c r="B611" i="1"/>
  <c r="A611" i="1"/>
  <c r="F610" i="1"/>
  <c r="E610" i="1"/>
  <c r="D610" i="1"/>
  <c r="C610" i="1"/>
  <c r="B610" i="1"/>
  <c r="A610" i="1"/>
  <c r="F609" i="1"/>
  <c r="E609" i="1"/>
  <c r="D609" i="1"/>
  <c r="C609" i="1"/>
  <c r="B609" i="1"/>
  <c r="A609" i="1"/>
  <c r="F608" i="1"/>
  <c r="E608" i="1"/>
  <c r="D608" i="1"/>
  <c r="C608" i="1"/>
  <c r="B608" i="1"/>
  <c r="A608" i="1"/>
  <c r="F607" i="1"/>
  <c r="E607" i="1"/>
  <c r="D607" i="1"/>
  <c r="C607" i="1"/>
  <c r="B607" i="1"/>
  <c r="A607" i="1"/>
  <c r="F606" i="1"/>
  <c r="E606" i="1"/>
  <c r="D606" i="1"/>
  <c r="C606" i="1"/>
  <c r="B606" i="1"/>
  <c r="A606" i="1"/>
  <c r="F605" i="1"/>
  <c r="E605" i="1"/>
  <c r="D605" i="1"/>
  <c r="C605" i="1"/>
  <c r="B605" i="1"/>
  <c r="A605" i="1"/>
  <c r="F604" i="1"/>
  <c r="E604" i="1"/>
  <c r="D604" i="1"/>
  <c r="C604" i="1"/>
  <c r="B604" i="1"/>
  <c r="A604" i="1"/>
  <c r="F603" i="1"/>
  <c r="E603" i="1"/>
  <c r="D603" i="1"/>
  <c r="C603" i="1"/>
  <c r="B603" i="1"/>
  <c r="A603" i="1"/>
  <c r="F602" i="1"/>
  <c r="E602" i="1"/>
  <c r="D602" i="1"/>
  <c r="C602" i="1"/>
  <c r="B602" i="1"/>
  <c r="A602" i="1"/>
  <c r="F601" i="1"/>
  <c r="E601" i="1"/>
  <c r="D601" i="1"/>
  <c r="C601" i="1"/>
  <c r="B601" i="1"/>
  <c r="A601" i="1"/>
  <c r="F600" i="1"/>
  <c r="E600" i="1"/>
  <c r="D600" i="1"/>
  <c r="C600" i="1"/>
  <c r="B600" i="1"/>
  <c r="A600" i="1"/>
  <c r="F599" i="1"/>
  <c r="E599" i="1"/>
  <c r="D599" i="1"/>
  <c r="C599" i="1"/>
  <c r="B599" i="1"/>
  <c r="A599" i="1"/>
  <c r="F598" i="1"/>
  <c r="E598" i="1"/>
  <c r="D598" i="1"/>
  <c r="C598" i="1"/>
  <c r="B598" i="1"/>
  <c r="A598" i="1"/>
  <c r="F597" i="1"/>
  <c r="E597" i="1"/>
  <c r="D597" i="1"/>
  <c r="C597" i="1"/>
  <c r="B597" i="1"/>
  <c r="A597" i="1"/>
  <c r="F596" i="1"/>
  <c r="E596" i="1"/>
  <c r="D596" i="1"/>
  <c r="C596" i="1"/>
  <c r="B596" i="1"/>
  <c r="A596" i="1"/>
  <c r="F595" i="1"/>
  <c r="E595" i="1"/>
  <c r="D595" i="1"/>
  <c r="C595" i="1"/>
  <c r="B595" i="1"/>
  <c r="A595" i="1"/>
  <c r="F594" i="1"/>
  <c r="E594" i="1"/>
  <c r="D594" i="1"/>
  <c r="C594" i="1"/>
  <c r="B594" i="1"/>
  <c r="A594" i="1"/>
  <c r="F593" i="1"/>
  <c r="E593" i="1"/>
  <c r="D593" i="1"/>
  <c r="C593" i="1"/>
  <c r="B593" i="1"/>
  <c r="A593" i="1"/>
  <c r="F592" i="1"/>
  <c r="E592" i="1"/>
  <c r="D592" i="1"/>
  <c r="C592" i="1"/>
  <c r="B592" i="1"/>
  <c r="A592" i="1"/>
  <c r="F591" i="1"/>
  <c r="E591" i="1"/>
  <c r="D591" i="1"/>
  <c r="C591" i="1"/>
  <c r="B591" i="1"/>
  <c r="A591" i="1"/>
  <c r="F590" i="1"/>
  <c r="E590" i="1"/>
  <c r="D590" i="1"/>
  <c r="C590" i="1"/>
  <c r="B590" i="1"/>
  <c r="A590" i="1"/>
  <c r="F589" i="1"/>
  <c r="E589" i="1"/>
  <c r="D589" i="1"/>
  <c r="C589" i="1"/>
  <c r="B589" i="1"/>
  <c r="A589" i="1"/>
  <c r="F588" i="1"/>
  <c r="E588" i="1"/>
  <c r="D588" i="1"/>
  <c r="C588" i="1"/>
  <c r="B588" i="1"/>
  <c r="A588" i="1"/>
  <c r="F587" i="1"/>
  <c r="E587" i="1"/>
  <c r="D587" i="1"/>
  <c r="C587" i="1"/>
  <c r="B587" i="1"/>
  <c r="A587" i="1"/>
  <c r="F586" i="1"/>
  <c r="E586" i="1"/>
  <c r="D586" i="1"/>
  <c r="C586" i="1"/>
  <c r="B586" i="1"/>
  <c r="A586" i="1"/>
  <c r="F585" i="1"/>
  <c r="E585" i="1"/>
  <c r="D585" i="1"/>
  <c r="C585" i="1"/>
  <c r="B585" i="1"/>
  <c r="A585" i="1"/>
  <c r="F584" i="1"/>
  <c r="E584" i="1"/>
  <c r="D584" i="1"/>
  <c r="C584" i="1"/>
  <c r="B584" i="1"/>
  <c r="A584" i="1"/>
  <c r="F583" i="1"/>
  <c r="E583" i="1"/>
  <c r="D583" i="1"/>
  <c r="C583" i="1"/>
  <c r="B583" i="1"/>
  <c r="A583" i="1"/>
  <c r="F582" i="1"/>
  <c r="E582" i="1"/>
  <c r="D582" i="1"/>
  <c r="C582" i="1"/>
  <c r="B582" i="1"/>
  <c r="A582" i="1"/>
  <c r="F581" i="1"/>
  <c r="E581" i="1"/>
  <c r="D581" i="1"/>
  <c r="C581" i="1"/>
  <c r="B581" i="1"/>
  <c r="A581" i="1"/>
  <c r="F580" i="1"/>
  <c r="E580" i="1"/>
  <c r="D580" i="1"/>
  <c r="C580" i="1"/>
  <c r="B580" i="1"/>
  <c r="A580" i="1"/>
  <c r="F579" i="1"/>
  <c r="E579" i="1"/>
  <c r="D579" i="1"/>
  <c r="C579" i="1"/>
  <c r="B579" i="1"/>
  <c r="A579" i="1"/>
  <c r="F578" i="1"/>
  <c r="E578" i="1"/>
  <c r="D578" i="1"/>
  <c r="C578" i="1"/>
  <c r="B578" i="1"/>
  <c r="A578" i="1"/>
  <c r="F577" i="1"/>
  <c r="E577" i="1"/>
  <c r="D577" i="1"/>
  <c r="C577" i="1"/>
  <c r="B577" i="1"/>
  <c r="A577" i="1"/>
  <c r="F576" i="1"/>
  <c r="E576" i="1"/>
  <c r="D576" i="1"/>
  <c r="C576" i="1"/>
  <c r="B576" i="1"/>
  <c r="A576" i="1"/>
  <c r="F575" i="1"/>
  <c r="E575" i="1"/>
  <c r="D575" i="1"/>
  <c r="C575" i="1"/>
  <c r="B575" i="1"/>
  <c r="A575" i="1"/>
  <c r="F574" i="1"/>
  <c r="E574" i="1"/>
  <c r="D574" i="1"/>
  <c r="C574" i="1"/>
  <c r="B574" i="1"/>
  <c r="A574" i="1"/>
  <c r="F573" i="1"/>
  <c r="E573" i="1"/>
  <c r="D573" i="1"/>
  <c r="C573" i="1"/>
  <c r="B573" i="1"/>
  <c r="A573" i="1"/>
  <c r="F572" i="1"/>
  <c r="E572" i="1"/>
  <c r="D572" i="1"/>
  <c r="C572" i="1"/>
  <c r="B572" i="1"/>
  <c r="A572" i="1"/>
  <c r="F571" i="1"/>
  <c r="E571" i="1"/>
  <c r="D571" i="1"/>
  <c r="C571" i="1"/>
  <c r="B571" i="1"/>
  <c r="A571" i="1"/>
  <c r="F570" i="1"/>
  <c r="E570" i="1"/>
  <c r="D570" i="1"/>
  <c r="C570" i="1"/>
  <c r="B570" i="1"/>
  <c r="A570" i="1"/>
  <c r="F569" i="1"/>
  <c r="E569" i="1"/>
  <c r="D569" i="1"/>
  <c r="C569" i="1"/>
  <c r="B569" i="1"/>
  <c r="A569" i="1"/>
  <c r="F568" i="1"/>
  <c r="E568" i="1"/>
  <c r="D568" i="1"/>
  <c r="C568" i="1"/>
  <c r="B568" i="1"/>
  <c r="A568" i="1"/>
  <c r="F567" i="1"/>
  <c r="E567" i="1"/>
  <c r="D567" i="1"/>
  <c r="C567" i="1"/>
  <c r="B567" i="1"/>
  <c r="A567" i="1"/>
  <c r="F566" i="1"/>
  <c r="E566" i="1"/>
  <c r="D566" i="1"/>
  <c r="C566" i="1"/>
  <c r="B566" i="1"/>
  <c r="A566" i="1"/>
  <c r="F565" i="1"/>
  <c r="E565" i="1"/>
  <c r="D565" i="1"/>
  <c r="C565" i="1"/>
  <c r="B565" i="1"/>
  <c r="A565" i="1"/>
  <c r="F564" i="1"/>
  <c r="E564" i="1"/>
  <c r="D564" i="1"/>
  <c r="C564" i="1"/>
  <c r="B564" i="1"/>
  <c r="A564" i="1"/>
  <c r="F563" i="1"/>
  <c r="E563" i="1"/>
  <c r="D563" i="1"/>
  <c r="C563" i="1"/>
  <c r="B563" i="1"/>
  <c r="A563" i="1"/>
  <c r="F562" i="1"/>
  <c r="E562" i="1"/>
  <c r="D562" i="1"/>
  <c r="C562" i="1"/>
  <c r="B562" i="1"/>
  <c r="A562" i="1"/>
  <c r="F561" i="1"/>
  <c r="E561" i="1"/>
  <c r="D561" i="1"/>
  <c r="C561" i="1"/>
  <c r="B561" i="1"/>
  <c r="A561" i="1"/>
  <c r="F560" i="1"/>
  <c r="E560" i="1"/>
  <c r="D560" i="1"/>
  <c r="C560" i="1"/>
  <c r="B560" i="1"/>
  <c r="A560" i="1"/>
  <c r="F559" i="1"/>
  <c r="E559" i="1"/>
  <c r="D559" i="1"/>
  <c r="C559" i="1"/>
  <c r="B559" i="1"/>
  <c r="A559" i="1"/>
  <c r="F558" i="1"/>
  <c r="E558" i="1"/>
  <c r="D558" i="1"/>
  <c r="C558" i="1"/>
  <c r="B558" i="1"/>
  <c r="A558" i="1"/>
  <c r="F557" i="1"/>
  <c r="E557" i="1"/>
  <c r="D557" i="1"/>
  <c r="C557" i="1"/>
  <c r="B557" i="1"/>
  <c r="A557" i="1"/>
  <c r="F556" i="1"/>
  <c r="E556" i="1"/>
  <c r="D556" i="1"/>
  <c r="C556" i="1"/>
  <c r="B556" i="1"/>
  <c r="A556" i="1"/>
  <c r="F555" i="1"/>
  <c r="E555" i="1"/>
  <c r="D555" i="1"/>
  <c r="C555" i="1"/>
  <c r="B555" i="1"/>
  <c r="A555" i="1"/>
  <c r="F554" i="1"/>
  <c r="E554" i="1"/>
  <c r="D554" i="1"/>
  <c r="C554" i="1"/>
  <c r="B554" i="1"/>
  <c r="A554" i="1"/>
  <c r="F553" i="1"/>
  <c r="E553" i="1"/>
  <c r="D553" i="1"/>
  <c r="C553" i="1"/>
  <c r="B553" i="1"/>
  <c r="A553" i="1"/>
  <c r="F552" i="1"/>
  <c r="E552" i="1"/>
  <c r="D552" i="1"/>
  <c r="C552" i="1"/>
  <c r="B552" i="1"/>
  <c r="A552" i="1"/>
  <c r="F551" i="1"/>
  <c r="E551" i="1"/>
  <c r="D551" i="1"/>
  <c r="C551" i="1"/>
  <c r="B551" i="1"/>
  <c r="A551" i="1"/>
  <c r="F550" i="1"/>
  <c r="E550" i="1"/>
  <c r="D550" i="1"/>
  <c r="C550" i="1"/>
  <c r="B550" i="1"/>
  <c r="A550" i="1"/>
  <c r="F549" i="1"/>
  <c r="E549" i="1"/>
  <c r="D549" i="1"/>
  <c r="C549" i="1"/>
  <c r="B549" i="1"/>
  <c r="A549" i="1"/>
  <c r="F548" i="1"/>
  <c r="E548" i="1"/>
  <c r="D548" i="1"/>
  <c r="C548" i="1"/>
  <c r="B548" i="1"/>
  <c r="A548" i="1"/>
  <c r="F547" i="1"/>
  <c r="E547" i="1"/>
  <c r="D547" i="1"/>
  <c r="C547" i="1"/>
  <c r="B547" i="1"/>
  <c r="A547" i="1"/>
  <c r="F546" i="1"/>
  <c r="E546" i="1"/>
  <c r="D546" i="1"/>
  <c r="C546" i="1"/>
  <c r="B546" i="1"/>
  <c r="A546" i="1"/>
  <c r="F545" i="1"/>
  <c r="E545" i="1"/>
  <c r="D545" i="1"/>
  <c r="C545" i="1"/>
  <c r="B545" i="1"/>
  <c r="A545" i="1"/>
  <c r="F544" i="1"/>
  <c r="E544" i="1"/>
  <c r="D544" i="1"/>
  <c r="C544" i="1"/>
  <c r="B544" i="1"/>
  <c r="A544" i="1"/>
  <c r="F543" i="1"/>
  <c r="E543" i="1"/>
  <c r="D543" i="1"/>
  <c r="C543" i="1"/>
  <c r="B543" i="1"/>
  <c r="A543" i="1"/>
  <c r="F542" i="1"/>
  <c r="E542" i="1"/>
  <c r="D542" i="1"/>
  <c r="C542" i="1"/>
  <c r="B542" i="1"/>
  <c r="A542" i="1"/>
  <c r="F541" i="1"/>
  <c r="E541" i="1"/>
  <c r="D541" i="1"/>
  <c r="C541" i="1"/>
  <c r="B541" i="1"/>
  <c r="A541" i="1"/>
  <c r="F540" i="1"/>
  <c r="E540" i="1"/>
  <c r="D540" i="1"/>
  <c r="C540" i="1"/>
  <c r="B540" i="1"/>
  <c r="A540" i="1"/>
  <c r="F539" i="1"/>
  <c r="E539" i="1"/>
  <c r="D539" i="1"/>
  <c r="C539" i="1"/>
  <c r="B539" i="1"/>
  <c r="A539" i="1"/>
  <c r="F538" i="1"/>
  <c r="E538" i="1"/>
  <c r="D538" i="1"/>
  <c r="C538" i="1"/>
  <c r="B538" i="1"/>
  <c r="A538" i="1"/>
  <c r="F537" i="1"/>
  <c r="E537" i="1"/>
  <c r="D537" i="1"/>
  <c r="C537" i="1"/>
  <c r="B537" i="1"/>
  <c r="A537" i="1"/>
  <c r="F536" i="1"/>
  <c r="E536" i="1"/>
  <c r="D536" i="1"/>
  <c r="C536" i="1"/>
  <c r="B536" i="1"/>
  <c r="A536" i="1"/>
  <c r="F535" i="1"/>
  <c r="E535" i="1"/>
  <c r="D535" i="1"/>
  <c r="C535" i="1"/>
  <c r="B535" i="1"/>
  <c r="A535" i="1"/>
  <c r="F534" i="1"/>
  <c r="E534" i="1"/>
  <c r="D534" i="1"/>
  <c r="C534" i="1"/>
  <c r="B534" i="1"/>
  <c r="A534" i="1"/>
  <c r="F533" i="1"/>
  <c r="E533" i="1"/>
  <c r="D533" i="1"/>
  <c r="C533" i="1"/>
  <c r="B533" i="1"/>
  <c r="A533" i="1"/>
  <c r="F532" i="1"/>
  <c r="E532" i="1"/>
  <c r="D532" i="1"/>
  <c r="C532" i="1"/>
  <c r="B532" i="1"/>
  <c r="A532" i="1"/>
  <c r="F531" i="1"/>
  <c r="E531" i="1"/>
  <c r="D531" i="1"/>
  <c r="C531" i="1"/>
  <c r="B531" i="1"/>
  <c r="A531" i="1"/>
  <c r="F530" i="1"/>
  <c r="E530" i="1"/>
  <c r="D530" i="1"/>
  <c r="C530" i="1"/>
  <c r="B530" i="1"/>
  <c r="A530" i="1"/>
  <c r="F529" i="1"/>
  <c r="E529" i="1"/>
  <c r="D529" i="1"/>
  <c r="C529" i="1"/>
  <c r="B529" i="1"/>
  <c r="A529" i="1"/>
  <c r="F528" i="1"/>
  <c r="E528" i="1"/>
  <c r="D528" i="1"/>
  <c r="C528" i="1"/>
  <c r="B528" i="1"/>
  <c r="A528" i="1"/>
  <c r="F527" i="1"/>
  <c r="E527" i="1"/>
  <c r="D527" i="1"/>
  <c r="C527" i="1"/>
  <c r="B527" i="1"/>
  <c r="A527" i="1"/>
  <c r="F526" i="1"/>
  <c r="E526" i="1"/>
  <c r="D526" i="1"/>
  <c r="C526" i="1"/>
  <c r="B526" i="1"/>
  <c r="A526" i="1"/>
  <c r="F525" i="1"/>
  <c r="E525" i="1"/>
  <c r="D525" i="1"/>
  <c r="C525" i="1"/>
  <c r="B525" i="1"/>
  <c r="A525" i="1"/>
  <c r="F524" i="1"/>
  <c r="E524" i="1"/>
  <c r="D524" i="1"/>
  <c r="C524" i="1"/>
  <c r="B524" i="1"/>
  <c r="A524" i="1"/>
  <c r="F523" i="1"/>
  <c r="E523" i="1"/>
  <c r="D523" i="1"/>
  <c r="C523" i="1"/>
  <c r="B523" i="1"/>
  <c r="A523" i="1"/>
  <c r="F522" i="1"/>
  <c r="E522" i="1"/>
  <c r="D522" i="1"/>
  <c r="C522" i="1"/>
  <c r="B522" i="1"/>
  <c r="A522" i="1"/>
  <c r="F521" i="1"/>
  <c r="E521" i="1"/>
  <c r="D521" i="1"/>
  <c r="C521" i="1"/>
  <c r="B521" i="1"/>
  <c r="A521" i="1"/>
  <c r="F520" i="1"/>
  <c r="E520" i="1"/>
  <c r="D520" i="1"/>
  <c r="C520" i="1"/>
  <c r="B520" i="1"/>
  <c r="A520" i="1"/>
  <c r="F519" i="1"/>
  <c r="E519" i="1"/>
  <c r="D519" i="1"/>
  <c r="C519" i="1"/>
  <c r="B519" i="1"/>
  <c r="A519" i="1"/>
  <c r="F518" i="1"/>
  <c r="E518" i="1"/>
  <c r="D518" i="1"/>
  <c r="C518" i="1"/>
  <c r="B518" i="1"/>
  <c r="A518" i="1"/>
  <c r="F517" i="1"/>
  <c r="E517" i="1"/>
  <c r="D517" i="1"/>
  <c r="C517" i="1"/>
  <c r="B517" i="1"/>
  <c r="A517" i="1"/>
  <c r="F516" i="1"/>
  <c r="E516" i="1"/>
  <c r="D516" i="1"/>
  <c r="C516" i="1"/>
  <c r="B516" i="1"/>
  <c r="A516" i="1"/>
  <c r="F515" i="1"/>
  <c r="E515" i="1"/>
  <c r="D515" i="1"/>
  <c r="C515" i="1"/>
  <c r="B515" i="1"/>
  <c r="A515" i="1"/>
  <c r="F514" i="1"/>
  <c r="E514" i="1"/>
  <c r="D514" i="1"/>
  <c r="C514" i="1"/>
  <c r="B514" i="1"/>
  <c r="A514" i="1"/>
  <c r="F513" i="1"/>
  <c r="E513" i="1"/>
  <c r="D513" i="1"/>
  <c r="C513" i="1"/>
  <c r="B513" i="1"/>
  <c r="A513" i="1"/>
  <c r="F512" i="1"/>
  <c r="E512" i="1"/>
  <c r="D512" i="1"/>
  <c r="C512" i="1"/>
  <c r="B512" i="1"/>
  <c r="A512" i="1"/>
  <c r="F511" i="1"/>
  <c r="E511" i="1"/>
  <c r="D511" i="1"/>
  <c r="C511" i="1"/>
  <c r="B511" i="1"/>
  <c r="A511" i="1"/>
  <c r="F510" i="1"/>
  <c r="E510" i="1"/>
  <c r="D510" i="1"/>
  <c r="C510" i="1"/>
  <c r="B510" i="1"/>
  <c r="A510" i="1"/>
  <c r="F509" i="1"/>
  <c r="E509" i="1"/>
  <c r="D509" i="1"/>
  <c r="C509" i="1"/>
  <c r="B509" i="1"/>
  <c r="A509" i="1"/>
  <c r="F508" i="1"/>
  <c r="E508" i="1"/>
  <c r="D508" i="1"/>
  <c r="C508" i="1"/>
  <c r="B508" i="1"/>
  <c r="A508" i="1"/>
  <c r="F507" i="1"/>
  <c r="E507" i="1"/>
  <c r="D507" i="1"/>
  <c r="C507" i="1"/>
  <c r="B507" i="1"/>
  <c r="A507" i="1"/>
  <c r="F506" i="1"/>
  <c r="E506" i="1"/>
  <c r="D506" i="1"/>
  <c r="C506" i="1"/>
  <c r="B506" i="1"/>
  <c r="A506" i="1"/>
  <c r="F505" i="1"/>
  <c r="E505" i="1"/>
  <c r="D505" i="1"/>
  <c r="C505" i="1"/>
  <c r="B505" i="1"/>
  <c r="A505" i="1"/>
  <c r="F504" i="1"/>
  <c r="E504" i="1"/>
  <c r="D504" i="1"/>
  <c r="C504" i="1"/>
  <c r="B504" i="1"/>
  <c r="A504" i="1"/>
  <c r="F503" i="1"/>
  <c r="E503" i="1"/>
  <c r="D503" i="1"/>
  <c r="C503" i="1"/>
  <c r="B503" i="1"/>
  <c r="A503" i="1"/>
  <c r="F502" i="1"/>
  <c r="E502" i="1"/>
  <c r="D502" i="1"/>
  <c r="C502" i="1"/>
  <c r="B502" i="1"/>
  <c r="A502" i="1"/>
  <c r="F501" i="1"/>
  <c r="E501" i="1"/>
  <c r="D501" i="1"/>
  <c r="C501" i="1"/>
  <c r="B501" i="1"/>
  <c r="A501" i="1"/>
  <c r="F500" i="1"/>
  <c r="E500" i="1"/>
  <c r="D500" i="1"/>
  <c r="C500" i="1"/>
  <c r="B500" i="1"/>
  <c r="A500" i="1"/>
  <c r="F499" i="1"/>
  <c r="E499" i="1"/>
  <c r="D499" i="1"/>
  <c r="C499" i="1"/>
  <c r="B499" i="1"/>
  <c r="A499" i="1"/>
  <c r="F498" i="1"/>
  <c r="E498" i="1"/>
  <c r="D498" i="1"/>
  <c r="C498" i="1"/>
  <c r="B498" i="1"/>
  <c r="A498" i="1"/>
  <c r="F497" i="1"/>
  <c r="E497" i="1"/>
  <c r="D497" i="1"/>
  <c r="C497" i="1"/>
  <c r="B497" i="1"/>
  <c r="A497" i="1"/>
  <c r="F496" i="1"/>
  <c r="E496" i="1"/>
  <c r="D496" i="1"/>
  <c r="C496" i="1"/>
  <c r="B496" i="1"/>
  <c r="A496" i="1"/>
  <c r="F495" i="1"/>
  <c r="E495" i="1"/>
  <c r="D495" i="1"/>
  <c r="C495" i="1"/>
  <c r="B495" i="1"/>
  <c r="A495" i="1"/>
  <c r="F494" i="1"/>
  <c r="E494" i="1"/>
  <c r="D494" i="1"/>
  <c r="C494" i="1"/>
  <c r="B494" i="1"/>
  <c r="A494" i="1"/>
  <c r="F493" i="1"/>
  <c r="E493" i="1"/>
  <c r="D493" i="1"/>
  <c r="C493" i="1"/>
  <c r="B493" i="1"/>
  <c r="A493" i="1"/>
  <c r="F492" i="1"/>
  <c r="E492" i="1"/>
  <c r="D492" i="1"/>
  <c r="C492" i="1"/>
  <c r="B492" i="1"/>
  <c r="A492" i="1"/>
  <c r="F491" i="1"/>
  <c r="E491" i="1"/>
  <c r="D491" i="1"/>
  <c r="C491" i="1"/>
  <c r="B491" i="1"/>
  <c r="A491" i="1"/>
  <c r="F490" i="1"/>
  <c r="E490" i="1"/>
  <c r="D490" i="1"/>
  <c r="C490" i="1"/>
  <c r="B490" i="1"/>
  <c r="A490" i="1"/>
  <c r="F489" i="1"/>
  <c r="E489" i="1"/>
  <c r="D489" i="1"/>
  <c r="C489" i="1"/>
  <c r="B489" i="1"/>
  <c r="A489" i="1"/>
  <c r="F488" i="1"/>
  <c r="E488" i="1"/>
  <c r="D488" i="1"/>
  <c r="C488" i="1"/>
  <c r="B488" i="1"/>
  <c r="A488" i="1"/>
  <c r="F487" i="1"/>
  <c r="E487" i="1"/>
  <c r="D487" i="1"/>
  <c r="C487" i="1"/>
  <c r="B487" i="1"/>
  <c r="A487" i="1"/>
  <c r="F486" i="1"/>
  <c r="E486" i="1"/>
  <c r="D486" i="1"/>
  <c r="C486" i="1"/>
  <c r="B486" i="1"/>
  <c r="A486" i="1"/>
  <c r="F485" i="1"/>
  <c r="E485" i="1"/>
  <c r="D485" i="1"/>
  <c r="C485" i="1"/>
  <c r="B485" i="1"/>
  <c r="A485" i="1"/>
  <c r="F484" i="1"/>
  <c r="E484" i="1"/>
  <c r="D484" i="1"/>
  <c r="C484" i="1"/>
  <c r="B484" i="1"/>
  <c r="A484" i="1"/>
  <c r="F483" i="1"/>
  <c r="E483" i="1"/>
  <c r="D483" i="1"/>
  <c r="C483" i="1"/>
  <c r="B483" i="1"/>
  <c r="A483" i="1"/>
  <c r="F482" i="1"/>
  <c r="E482" i="1"/>
  <c r="D482" i="1"/>
  <c r="C482" i="1"/>
  <c r="B482" i="1"/>
  <c r="A482" i="1"/>
  <c r="F481" i="1"/>
  <c r="E481" i="1"/>
  <c r="D481" i="1"/>
  <c r="C481" i="1"/>
  <c r="B481" i="1"/>
  <c r="A481" i="1"/>
  <c r="F480" i="1"/>
  <c r="E480" i="1"/>
  <c r="D480" i="1"/>
  <c r="C480" i="1"/>
  <c r="B480" i="1"/>
  <c r="A480" i="1"/>
  <c r="F479" i="1"/>
  <c r="E479" i="1"/>
  <c r="D479" i="1"/>
  <c r="C479" i="1"/>
  <c r="B479" i="1"/>
  <c r="A479" i="1"/>
  <c r="F478" i="1"/>
  <c r="E478" i="1"/>
  <c r="D478" i="1"/>
  <c r="C478" i="1"/>
  <c r="B478" i="1"/>
  <c r="A478" i="1"/>
  <c r="F477" i="1"/>
  <c r="E477" i="1"/>
  <c r="D477" i="1"/>
  <c r="C477" i="1"/>
  <c r="B477" i="1"/>
  <c r="A477" i="1"/>
  <c r="F476" i="1"/>
  <c r="E476" i="1"/>
  <c r="D476" i="1"/>
  <c r="C476" i="1"/>
  <c r="B476" i="1"/>
  <c r="A476" i="1"/>
  <c r="F475" i="1"/>
  <c r="E475" i="1"/>
  <c r="D475" i="1"/>
  <c r="C475" i="1"/>
  <c r="B475" i="1"/>
  <c r="A475" i="1"/>
  <c r="F474" i="1"/>
  <c r="E474" i="1"/>
  <c r="D474" i="1"/>
  <c r="C474" i="1"/>
  <c r="B474" i="1"/>
  <c r="A474" i="1"/>
  <c r="F473" i="1"/>
  <c r="E473" i="1"/>
  <c r="D473" i="1"/>
  <c r="C473" i="1"/>
  <c r="B473" i="1"/>
  <c r="A473" i="1"/>
  <c r="F472" i="1"/>
  <c r="E472" i="1"/>
  <c r="D472" i="1"/>
  <c r="C472" i="1"/>
  <c r="B472" i="1"/>
  <c r="A472" i="1"/>
  <c r="F471" i="1"/>
  <c r="E471" i="1"/>
  <c r="D471" i="1"/>
  <c r="C471" i="1"/>
  <c r="B471" i="1"/>
  <c r="A471" i="1"/>
  <c r="F470" i="1"/>
  <c r="E470" i="1"/>
  <c r="D470" i="1"/>
  <c r="C470" i="1"/>
  <c r="B470" i="1"/>
  <c r="A470" i="1"/>
  <c r="F469" i="1"/>
  <c r="E469" i="1"/>
  <c r="D469" i="1"/>
  <c r="C469" i="1"/>
  <c r="B469" i="1"/>
  <c r="A469" i="1"/>
  <c r="F468" i="1"/>
  <c r="E468" i="1"/>
  <c r="D468" i="1"/>
  <c r="C468" i="1"/>
  <c r="B468" i="1"/>
  <c r="A468" i="1"/>
  <c r="F467" i="1"/>
  <c r="E467" i="1"/>
  <c r="D467" i="1"/>
  <c r="C467" i="1"/>
  <c r="B467" i="1"/>
  <c r="A467" i="1"/>
  <c r="F466" i="1"/>
  <c r="E466" i="1"/>
  <c r="D466" i="1"/>
  <c r="C466" i="1"/>
  <c r="B466" i="1"/>
  <c r="A466" i="1"/>
  <c r="F465" i="1"/>
  <c r="E465" i="1"/>
  <c r="D465" i="1"/>
  <c r="C465" i="1"/>
  <c r="B465" i="1"/>
  <c r="A465" i="1"/>
  <c r="F464" i="1"/>
  <c r="E464" i="1"/>
  <c r="D464" i="1"/>
  <c r="C464" i="1"/>
  <c r="B464" i="1"/>
  <c r="A464" i="1"/>
  <c r="F463" i="1"/>
  <c r="E463" i="1"/>
  <c r="D463" i="1"/>
  <c r="C463" i="1"/>
  <c r="B463" i="1"/>
  <c r="A463" i="1"/>
  <c r="F462" i="1"/>
  <c r="E462" i="1"/>
  <c r="D462" i="1"/>
  <c r="C462" i="1"/>
  <c r="B462" i="1"/>
  <c r="A462" i="1"/>
  <c r="F461" i="1"/>
  <c r="E461" i="1"/>
  <c r="D461" i="1"/>
  <c r="C461" i="1"/>
  <c r="B461" i="1"/>
  <c r="A461" i="1"/>
  <c r="F460" i="1"/>
  <c r="E460" i="1"/>
  <c r="D460" i="1"/>
  <c r="C460" i="1"/>
  <c r="B460" i="1"/>
  <c r="A460" i="1"/>
  <c r="F459" i="1"/>
  <c r="E459" i="1"/>
  <c r="D459" i="1"/>
  <c r="C459" i="1"/>
  <c r="B459" i="1"/>
  <c r="A459" i="1"/>
  <c r="F458" i="1"/>
  <c r="E458" i="1"/>
  <c r="D458" i="1"/>
  <c r="C458" i="1"/>
  <c r="B458" i="1"/>
  <c r="A458" i="1"/>
  <c r="F457" i="1"/>
  <c r="E457" i="1"/>
  <c r="D457" i="1"/>
  <c r="C457" i="1"/>
  <c r="B457" i="1"/>
  <c r="A457" i="1"/>
  <c r="F456" i="1"/>
  <c r="E456" i="1"/>
  <c r="D456" i="1"/>
  <c r="C456" i="1"/>
  <c r="B456" i="1"/>
  <c r="A456" i="1"/>
  <c r="F455" i="1"/>
  <c r="E455" i="1"/>
  <c r="D455" i="1"/>
  <c r="C455" i="1"/>
  <c r="B455" i="1"/>
  <c r="A455" i="1"/>
  <c r="F454" i="1"/>
  <c r="E454" i="1"/>
  <c r="D454" i="1"/>
  <c r="C454" i="1"/>
  <c r="B454" i="1"/>
  <c r="A454" i="1"/>
  <c r="F453" i="1"/>
  <c r="E453" i="1"/>
  <c r="D453" i="1"/>
  <c r="C453" i="1"/>
  <c r="B453" i="1"/>
  <c r="A453" i="1"/>
  <c r="F452" i="1"/>
  <c r="E452" i="1"/>
  <c r="D452" i="1"/>
  <c r="C452" i="1"/>
  <c r="B452" i="1"/>
  <c r="A452" i="1"/>
  <c r="F451" i="1"/>
  <c r="E451" i="1"/>
  <c r="D451" i="1"/>
  <c r="C451" i="1"/>
  <c r="B451" i="1"/>
  <c r="A451" i="1"/>
  <c r="F450" i="1"/>
  <c r="E450" i="1"/>
  <c r="D450" i="1"/>
  <c r="C450" i="1"/>
  <c r="B450" i="1"/>
  <c r="A450" i="1"/>
  <c r="F449" i="1"/>
  <c r="E449" i="1"/>
  <c r="D449" i="1"/>
  <c r="C449" i="1"/>
  <c r="B449" i="1"/>
  <c r="A449" i="1"/>
  <c r="F448" i="1"/>
  <c r="E448" i="1"/>
  <c r="D448" i="1"/>
  <c r="C448" i="1"/>
  <c r="B448" i="1"/>
  <c r="A448" i="1"/>
  <c r="F447" i="1"/>
  <c r="E447" i="1"/>
  <c r="D447" i="1"/>
  <c r="C447" i="1"/>
  <c r="B447" i="1"/>
  <c r="A447" i="1"/>
  <c r="F446" i="1"/>
  <c r="E446" i="1"/>
  <c r="D446" i="1"/>
  <c r="C446" i="1"/>
  <c r="B446" i="1"/>
  <c r="A446" i="1"/>
  <c r="F445" i="1"/>
  <c r="E445" i="1"/>
  <c r="D445" i="1"/>
  <c r="C445" i="1"/>
  <c r="B445" i="1"/>
  <c r="A445" i="1"/>
  <c r="F444" i="1"/>
  <c r="E444" i="1"/>
  <c r="D444" i="1"/>
  <c r="C444" i="1"/>
  <c r="B444" i="1"/>
  <c r="A444" i="1"/>
  <c r="F443" i="1"/>
  <c r="E443" i="1"/>
  <c r="D443" i="1"/>
  <c r="C443" i="1"/>
  <c r="B443" i="1"/>
  <c r="A443" i="1"/>
  <c r="F442" i="1"/>
  <c r="E442" i="1"/>
  <c r="D442" i="1"/>
  <c r="C442" i="1"/>
  <c r="B442" i="1"/>
  <c r="A442" i="1"/>
  <c r="F441" i="1"/>
  <c r="E441" i="1"/>
  <c r="D441" i="1"/>
  <c r="C441" i="1"/>
  <c r="B441" i="1"/>
  <c r="A441" i="1"/>
  <c r="F440" i="1"/>
  <c r="E440" i="1"/>
  <c r="D440" i="1"/>
  <c r="C440" i="1"/>
  <c r="B440" i="1"/>
  <c r="A440" i="1"/>
  <c r="F439" i="1"/>
  <c r="E439" i="1"/>
  <c r="D439" i="1"/>
  <c r="C439" i="1"/>
  <c r="B439" i="1"/>
  <c r="A439" i="1"/>
  <c r="F438" i="1"/>
  <c r="E438" i="1"/>
  <c r="D438" i="1"/>
  <c r="C438" i="1"/>
  <c r="B438" i="1"/>
  <c r="A438" i="1"/>
  <c r="F437" i="1"/>
  <c r="E437" i="1"/>
  <c r="D437" i="1"/>
  <c r="C437" i="1"/>
  <c r="B437" i="1"/>
  <c r="A437" i="1"/>
  <c r="F436" i="1"/>
  <c r="E436" i="1"/>
  <c r="D436" i="1"/>
  <c r="C436" i="1"/>
  <c r="B436" i="1"/>
  <c r="A436" i="1"/>
  <c r="F435" i="1"/>
  <c r="E435" i="1"/>
  <c r="D435" i="1"/>
  <c r="C435" i="1"/>
  <c r="B435" i="1"/>
  <c r="A435" i="1"/>
  <c r="F434" i="1"/>
  <c r="E434" i="1"/>
  <c r="D434" i="1"/>
  <c r="C434" i="1"/>
  <c r="B434" i="1"/>
  <c r="A434" i="1"/>
  <c r="F433" i="1"/>
  <c r="E433" i="1"/>
  <c r="D433" i="1"/>
  <c r="C433" i="1"/>
  <c r="B433" i="1"/>
  <c r="A433" i="1"/>
  <c r="F432" i="1"/>
  <c r="E432" i="1"/>
  <c r="D432" i="1"/>
  <c r="C432" i="1"/>
  <c r="B432" i="1"/>
  <c r="A432" i="1"/>
  <c r="F431" i="1"/>
  <c r="E431" i="1"/>
  <c r="D431" i="1"/>
  <c r="C431" i="1"/>
  <c r="B431" i="1"/>
  <c r="A431" i="1"/>
  <c r="F430" i="1"/>
  <c r="E430" i="1"/>
  <c r="D430" i="1"/>
  <c r="C430" i="1"/>
  <c r="B430" i="1"/>
  <c r="A430" i="1"/>
  <c r="F429" i="1"/>
  <c r="E429" i="1"/>
  <c r="D429" i="1"/>
  <c r="C429" i="1"/>
  <c r="B429" i="1"/>
  <c r="A429" i="1"/>
  <c r="F428" i="1"/>
  <c r="E428" i="1"/>
  <c r="D428" i="1"/>
  <c r="C428" i="1"/>
  <c r="B428" i="1"/>
  <c r="A428" i="1"/>
  <c r="F427" i="1"/>
  <c r="E427" i="1"/>
  <c r="D427" i="1"/>
  <c r="C427" i="1"/>
  <c r="B427" i="1"/>
  <c r="A427" i="1"/>
  <c r="F426" i="1"/>
  <c r="E426" i="1"/>
  <c r="D426" i="1"/>
  <c r="C426" i="1"/>
  <c r="B426" i="1"/>
  <c r="A426" i="1"/>
  <c r="F425" i="1"/>
  <c r="E425" i="1"/>
  <c r="D425" i="1"/>
  <c r="C425" i="1"/>
  <c r="B425" i="1"/>
  <c r="A425" i="1"/>
  <c r="F424" i="1"/>
  <c r="E424" i="1"/>
  <c r="D424" i="1"/>
  <c r="C424" i="1"/>
  <c r="B424" i="1"/>
  <c r="A424" i="1"/>
  <c r="F423" i="1"/>
  <c r="E423" i="1"/>
  <c r="D423" i="1"/>
  <c r="C423" i="1"/>
  <c r="B423" i="1"/>
  <c r="A423" i="1"/>
  <c r="F422" i="1"/>
  <c r="E422" i="1"/>
  <c r="D422" i="1"/>
  <c r="C422" i="1"/>
  <c r="B422" i="1"/>
  <c r="A422" i="1"/>
  <c r="F421" i="1"/>
  <c r="E421" i="1"/>
  <c r="D421" i="1"/>
  <c r="C421" i="1"/>
  <c r="B421" i="1"/>
  <c r="A421" i="1"/>
  <c r="F420" i="1"/>
  <c r="E420" i="1"/>
  <c r="D420" i="1"/>
  <c r="C420" i="1"/>
  <c r="B420" i="1"/>
  <c r="A420" i="1"/>
  <c r="F419" i="1"/>
  <c r="E419" i="1"/>
  <c r="D419" i="1"/>
  <c r="C419" i="1"/>
  <c r="B419" i="1"/>
  <c r="A419" i="1"/>
  <c r="F418" i="1"/>
  <c r="E418" i="1"/>
  <c r="D418" i="1"/>
  <c r="C418" i="1"/>
  <c r="B418" i="1"/>
  <c r="A418" i="1"/>
  <c r="F417" i="1"/>
  <c r="E417" i="1"/>
  <c r="D417" i="1"/>
  <c r="C417" i="1"/>
  <c r="B417" i="1"/>
  <c r="A417" i="1"/>
  <c r="F416" i="1"/>
  <c r="E416" i="1"/>
  <c r="D416" i="1"/>
  <c r="C416" i="1"/>
  <c r="B416" i="1"/>
  <c r="A416" i="1"/>
  <c r="F415" i="1"/>
  <c r="E415" i="1"/>
  <c r="D415" i="1"/>
  <c r="C415" i="1"/>
  <c r="B415" i="1"/>
  <c r="A415" i="1"/>
  <c r="F414" i="1"/>
  <c r="E414" i="1"/>
  <c r="D414" i="1"/>
  <c r="C414" i="1"/>
  <c r="B414" i="1"/>
  <c r="A414" i="1"/>
  <c r="F413" i="1"/>
  <c r="E413" i="1"/>
  <c r="D413" i="1"/>
  <c r="C413" i="1"/>
  <c r="B413" i="1"/>
  <c r="A413" i="1"/>
  <c r="F412" i="1"/>
  <c r="E412" i="1"/>
  <c r="D412" i="1"/>
  <c r="C412" i="1"/>
  <c r="B412" i="1"/>
  <c r="A412" i="1"/>
  <c r="F411" i="1"/>
  <c r="E411" i="1"/>
  <c r="D411" i="1"/>
  <c r="C411" i="1"/>
  <c r="B411" i="1"/>
  <c r="A411" i="1"/>
  <c r="F410" i="1"/>
  <c r="E410" i="1"/>
  <c r="D410" i="1"/>
  <c r="C410" i="1"/>
  <c r="B410" i="1"/>
  <c r="A410" i="1"/>
  <c r="F409" i="1"/>
  <c r="E409" i="1"/>
  <c r="D409" i="1"/>
  <c r="C409" i="1"/>
  <c r="B409" i="1"/>
  <c r="A409" i="1"/>
  <c r="F408" i="1"/>
  <c r="E408" i="1"/>
  <c r="D408" i="1"/>
  <c r="C408" i="1"/>
  <c r="B408" i="1"/>
  <c r="A408" i="1"/>
  <c r="F407" i="1"/>
  <c r="E407" i="1"/>
  <c r="D407" i="1"/>
  <c r="C407" i="1"/>
  <c r="B407" i="1"/>
  <c r="A407" i="1"/>
  <c r="F406" i="1"/>
  <c r="E406" i="1"/>
  <c r="D406" i="1"/>
  <c r="C406" i="1"/>
  <c r="B406" i="1"/>
  <c r="A406" i="1"/>
  <c r="F405" i="1"/>
  <c r="E405" i="1"/>
  <c r="D405" i="1"/>
  <c r="C405" i="1"/>
  <c r="B405" i="1"/>
  <c r="A405" i="1"/>
  <c r="F404" i="1"/>
  <c r="E404" i="1"/>
  <c r="D404" i="1"/>
  <c r="C404" i="1"/>
  <c r="B404" i="1"/>
  <c r="A404" i="1"/>
  <c r="F403" i="1"/>
  <c r="E403" i="1"/>
  <c r="D403" i="1"/>
  <c r="C403" i="1"/>
  <c r="B403" i="1"/>
  <c r="A403" i="1"/>
  <c r="F402" i="1"/>
  <c r="E402" i="1"/>
  <c r="D402" i="1"/>
  <c r="C402" i="1"/>
  <c r="B402" i="1"/>
  <c r="A402" i="1"/>
  <c r="F401" i="1"/>
  <c r="E401" i="1"/>
  <c r="D401" i="1"/>
  <c r="C401" i="1"/>
  <c r="B401" i="1"/>
  <c r="A401" i="1"/>
  <c r="F400" i="1"/>
  <c r="E400" i="1"/>
  <c r="D400" i="1"/>
  <c r="C400" i="1"/>
  <c r="B400" i="1"/>
  <c r="A400" i="1"/>
  <c r="F399" i="1"/>
  <c r="E399" i="1"/>
  <c r="D399" i="1"/>
  <c r="C399" i="1"/>
  <c r="B399" i="1"/>
  <c r="A399" i="1"/>
  <c r="F398" i="1"/>
  <c r="E398" i="1"/>
  <c r="D398" i="1"/>
  <c r="C398" i="1"/>
  <c r="B398" i="1"/>
  <c r="A398" i="1"/>
  <c r="F397" i="1"/>
  <c r="E397" i="1"/>
  <c r="D397" i="1"/>
  <c r="C397" i="1"/>
  <c r="B397" i="1"/>
  <c r="A397" i="1"/>
  <c r="F396" i="1"/>
  <c r="E396" i="1"/>
  <c r="D396" i="1"/>
  <c r="C396" i="1"/>
  <c r="B396" i="1"/>
  <c r="A396" i="1"/>
  <c r="F395" i="1"/>
  <c r="E395" i="1"/>
  <c r="D395" i="1"/>
  <c r="C395" i="1"/>
  <c r="B395" i="1"/>
  <c r="A395" i="1"/>
  <c r="F394" i="1"/>
  <c r="E394" i="1"/>
  <c r="D394" i="1"/>
  <c r="C394" i="1"/>
  <c r="B394" i="1"/>
  <c r="A394" i="1"/>
  <c r="F393" i="1"/>
  <c r="E393" i="1"/>
  <c r="D393" i="1"/>
  <c r="C393" i="1"/>
  <c r="B393" i="1"/>
  <c r="A393" i="1"/>
  <c r="F392" i="1"/>
  <c r="E392" i="1"/>
  <c r="D392" i="1"/>
  <c r="C392" i="1"/>
  <c r="B392" i="1"/>
  <c r="A392" i="1"/>
  <c r="F391" i="1"/>
  <c r="E391" i="1"/>
  <c r="D391" i="1"/>
  <c r="C391" i="1"/>
  <c r="B391" i="1"/>
  <c r="A391" i="1"/>
  <c r="F390" i="1"/>
  <c r="E390" i="1"/>
  <c r="D390" i="1"/>
  <c r="C390" i="1"/>
  <c r="B390" i="1"/>
  <c r="A390" i="1"/>
  <c r="F389" i="1"/>
  <c r="E389" i="1"/>
  <c r="D389" i="1"/>
  <c r="C389" i="1"/>
  <c r="B389" i="1"/>
  <c r="A389" i="1"/>
  <c r="F388" i="1"/>
  <c r="E388" i="1"/>
  <c r="D388" i="1"/>
  <c r="C388" i="1"/>
  <c r="B388" i="1"/>
  <c r="A388" i="1"/>
  <c r="F387" i="1"/>
  <c r="E387" i="1"/>
  <c r="D387" i="1"/>
  <c r="C387" i="1"/>
  <c r="B387" i="1"/>
  <c r="A387" i="1"/>
  <c r="F386" i="1"/>
  <c r="E386" i="1"/>
  <c r="D386" i="1"/>
  <c r="C386" i="1"/>
  <c r="B386" i="1"/>
  <c r="A386" i="1"/>
  <c r="F385" i="1"/>
  <c r="E385" i="1"/>
  <c r="D385" i="1"/>
  <c r="C385" i="1"/>
  <c r="B385" i="1"/>
  <c r="A385" i="1"/>
  <c r="F384" i="1"/>
  <c r="E384" i="1"/>
  <c r="D384" i="1"/>
  <c r="C384" i="1"/>
  <c r="B384" i="1"/>
  <c r="A384" i="1"/>
  <c r="F383" i="1"/>
  <c r="E383" i="1"/>
  <c r="D383" i="1"/>
  <c r="C383" i="1"/>
  <c r="B383" i="1"/>
  <c r="A383" i="1"/>
  <c r="F382" i="1"/>
  <c r="E382" i="1"/>
  <c r="D382" i="1"/>
  <c r="C382" i="1"/>
  <c r="B382" i="1"/>
  <c r="A382" i="1"/>
  <c r="F381" i="1"/>
  <c r="E381" i="1"/>
  <c r="D381" i="1"/>
  <c r="C381" i="1"/>
  <c r="B381" i="1"/>
  <c r="A381" i="1"/>
  <c r="F380" i="1"/>
  <c r="E380" i="1"/>
  <c r="D380" i="1"/>
  <c r="C380" i="1"/>
  <c r="B380" i="1"/>
  <c r="A380" i="1"/>
  <c r="F379" i="1"/>
  <c r="E379" i="1"/>
  <c r="D379" i="1"/>
  <c r="C379" i="1"/>
  <c r="B379" i="1"/>
  <c r="A379" i="1"/>
  <c r="F378" i="1"/>
  <c r="E378" i="1"/>
  <c r="D378" i="1"/>
  <c r="C378" i="1"/>
  <c r="B378" i="1"/>
  <c r="A378" i="1"/>
  <c r="F377" i="1"/>
  <c r="E377" i="1"/>
  <c r="D377" i="1"/>
  <c r="C377" i="1"/>
  <c r="B377" i="1"/>
  <c r="A377" i="1"/>
  <c r="F376" i="1"/>
  <c r="E376" i="1"/>
  <c r="D376" i="1"/>
  <c r="C376" i="1"/>
  <c r="B376" i="1"/>
  <c r="A376" i="1"/>
  <c r="F375" i="1"/>
  <c r="E375" i="1"/>
  <c r="D375" i="1"/>
  <c r="C375" i="1"/>
  <c r="B375" i="1"/>
  <c r="A375" i="1"/>
  <c r="F374" i="1"/>
  <c r="E374" i="1"/>
  <c r="D374" i="1"/>
  <c r="C374" i="1"/>
  <c r="B374" i="1"/>
  <c r="A374" i="1"/>
  <c r="F373" i="1"/>
  <c r="E373" i="1"/>
  <c r="D373" i="1"/>
  <c r="C373" i="1"/>
  <c r="B373" i="1"/>
  <c r="A373" i="1"/>
  <c r="F372" i="1"/>
  <c r="E372" i="1"/>
  <c r="D372" i="1"/>
  <c r="C372" i="1"/>
  <c r="B372" i="1"/>
  <c r="A372" i="1"/>
  <c r="F371" i="1"/>
  <c r="E371" i="1"/>
  <c r="D371" i="1"/>
  <c r="C371" i="1"/>
  <c r="B371" i="1"/>
  <c r="A371" i="1"/>
  <c r="F370" i="1"/>
  <c r="E370" i="1"/>
  <c r="D370" i="1"/>
  <c r="C370" i="1"/>
  <c r="B370" i="1"/>
  <c r="A370" i="1"/>
  <c r="F369" i="1"/>
  <c r="E369" i="1"/>
  <c r="D369" i="1"/>
  <c r="C369" i="1"/>
  <c r="B369" i="1"/>
  <c r="A369" i="1"/>
  <c r="F368" i="1"/>
  <c r="E368" i="1"/>
  <c r="D368" i="1"/>
  <c r="C368" i="1"/>
  <c r="B368" i="1"/>
  <c r="A368" i="1"/>
  <c r="F367" i="1"/>
  <c r="E367" i="1"/>
  <c r="D367" i="1"/>
  <c r="C367" i="1"/>
  <c r="B367" i="1"/>
  <c r="A367" i="1"/>
  <c r="F366" i="1"/>
  <c r="E366" i="1"/>
  <c r="D366" i="1"/>
  <c r="C366" i="1"/>
  <c r="B366" i="1"/>
  <c r="A366" i="1"/>
  <c r="F365" i="1"/>
  <c r="E365" i="1"/>
  <c r="D365" i="1"/>
  <c r="C365" i="1"/>
  <c r="B365" i="1"/>
  <c r="A365" i="1"/>
  <c r="F364" i="1"/>
  <c r="E364" i="1"/>
  <c r="D364" i="1"/>
  <c r="C364" i="1"/>
  <c r="B364" i="1"/>
  <c r="A364" i="1"/>
  <c r="F363" i="1"/>
  <c r="E363" i="1"/>
  <c r="D363" i="1"/>
  <c r="C363" i="1"/>
  <c r="B363" i="1"/>
  <c r="A363" i="1"/>
  <c r="F362" i="1"/>
  <c r="E362" i="1"/>
  <c r="D362" i="1"/>
  <c r="C362" i="1"/>
  <c r="B362" i="1"/>
  <c r="A362" i="1"/>
  <c r="F361" i="1"/>
  <c r="E361" i="1"/>
  <c r="D361" i="1"/>
  <c r="C361" i="1"/>
  <c r="B361" i="1"/>
  <c r="A361" i="1"/>
  <c r="F360" i="1"/>
  <c r="E360" i="1"/>
  <c r="D360" i="1"/>
  <c r="C360" i="1"/>
  <c r="B360" i="1"/>
  <c r="A360" i="1"/>
  <c r="F359" i="1"/>
  <c r="E359" i="1"/>
  <c r="D359" i="1"/>
  <c r="C359" i="1"/>
  <c r="B359" i="1"/>
  <c r="A359" i="1"/>
  <c r="F358" i="1"/>
  <c r="E358" i="1"/>
  <c r="D358" i="1"/>
  <c r="C358" i="1"/>
  <c r="B358" i="1"/>
  <c r="A358" i="1"/>
  <c r="F357" i="1"/>
  <c r="E357" i="1"/>
  <c r="D357" i="1"/>
  <c r="C357" i="1"/>
  <c r="B357" i="1"/>
  <c r="A357" i="1"/>
  <c r="F356" i="1"/>
  <c r="E356" i="1"/>
  <c r="D356" i="1"/>
  <c r="C356" i="1"/>
  <c r="B356" i="1"/>
  <c r="A356" i="1"/>
  <c r="F355" i="1"/>
  <c r="E355" i="1"/>
  <c r="D355" i="1"/>
  <c r="C355" i="1"/>
  <c r="B355" i="1"/>
  <c r="A355" i="1"/>
  <c r="F354" i="1"/>
  <c r="E354" i="1"/>
  <c r="D354" i="1"/>
  <c r="C354" i="1"/>
  <c r="B354" i="1"/>
  <c r="A354" i="1"/>
  <c r="F353" i="1"/>
  <c r="E353" i="1"/>
  <c r="D353" i="1"/>
  <c r="C353" i="1"/>
  <c r="B353" i="1"/>
  <c r="A353" i="1"/>
  <c r="F352" i="1"/>
  <c r="E352" i="1"/>
  <c r="D352" i="1"/>
  <c r="C352" i="1"/>
  <c r="B352" i="1"/>
  <c r="A352" i="1"/>
  <c r="F351" i="1"/>
  <c r="E351" i="1"/>
  <c r="D351" i="1"/>
  <c r="C351" i="1"/>
  <c r="B351" i="1"/>
  <c r="A351" i="1"/>
  <c r="F350" i="1"/>
  <c r="E350" i="1"/>
  <c r="D350" i="1"/>
  <c r="C350" i="1"/>
  <c r="B350" i="1"/>
  <c r="A350" i="1"/>
  <c r="F349" i="1"/>
  <c r="E349" i="1"/>
  <c r="D349" i="1"/>
  <c r="C349" i="1"/>
  <c r="B349" i="1"/>
  <c r="A349" i="1"/>
  <c r="F348" i="1"/>
  <c r="E348" i="1"/>
  <c r="D348" i="1"/>
  <c r="C348" i="1"/>
  <c r="B348" i="1"/>
  <c r="A348" i="1"/>
  <c r="F347" i="1"/>
  <c r="E347" i="1"/>
  <c r="D347" i="1"/>
  <c r="C347" i="1"/>
  <c r="B347" i="1"/>
  <c r="A347" i="1"/>
  <c r="F346" i="1"/>
  <c r="E346" i="1"/>
  <c r="D346" i="1"/>
  <c r="C346" i="1"/>
  <c r="B346" i="1"/>
  <c r="A346" i="1"/>
  <c r="F345" i="1"/>
  <c r="E345" i="1"/>
  <c r="D345" i="1"/>
  <c r="C345" i="1"/>
  <c r="B345" i="1"/>
  <c r="A345" i="1"/>
  <c r="F344" i="1"/>
  <c r="E344" i="1"/>
  <c r="D344" i="1"/>
  <c r="C344" i="1"/>
  <c r="B344" i="1"/>
  <c r="A344" i="1"/>
  <c r="F343" i="1"/>
  <c r="E343" i="1"/>
  <c r="D343" i="1"/>
  <c r="C343" i="1"/>
  <c r="B343" i="1"/>
  <c r="A343" i="1"/>
  <c r="F342" i="1"/>
  <c r="E342" i="1"/>
  <c r="D342" i="1"/>
  <c r="C342" i="1"/>
  <c r="B342" i="1"/>
  <c r="A342" i="1"/>
  <c r="F341" i="1"/>
  <c r="E341" i="1"/>
  <c r="D341" i="1"/>
  <c r="C341" i="1"/>
  <c r="B341" i="1"/>
  <c r="A341" i="1"/>
  <c r="F340" i="1"/>
  <c r="E340" i="1"/>
  <c r="D340" i="1"/>
  <c r="C340" i="1"/>
  <c r="B340" i="1"/>
  <c r="A340" i="1"/>
  <c r="F339" i="1"/>
  <c r="E339" i="1"/>
  <c r="D339" i="1"/>
  <c r="C339" i="1"/>
  <c r="B339" i="1"/>
  <c r="A339" i="1"/>
  <c r="F338" i="1"/>
  <c r="E338" i="1"/>
  <c r="D338" i="1"/>
  <c r="C338" i="1"/>
  <c r="B338" i="1"/>
  <c r="A338" i="1"/>
  <c r="F337" i="1"/>
  <c r="E337" i="1"/>
  <c r="D337" i="1"/>
  <c r="C337" i="1"/>
  <c r="B337" i="1"/>
  <c r="A337" i="1"/>
  <c r="F336" i="1"/>
  <c r="E336" i="1"/>
  <c r="D336" i="1"/>
  <c r="C336" i="1"/>
  <c r="B336" i="1"/>
  <c r="A336" i="1"/>
  <c r="F335" i="1"/>
  <c r="E335" i="1"/>
  <c r="D335" i="1"/>
  <c r="C335" i="1"/>
  <c r="B335" i="1"/>
  <c r="A335" i="1"/>
  <c r="F334" i="1"/>
  <c r="E334" i="1"/>
  <c r="D334" i="1"/>
  <c r="C334" i="1"/>
  <c r="B334" i="1"/>
  <c r="A334" i="1"/>
  <c r="F333" i="1"/>
  <c r="E333" i="1"/>
  <c r="D333" i="1"/>
  <c r="C333" i="1"/>
  <c r="B333" i="1"/>
  <c r="A333" i="1"/>
  <c r="F332" i="1"/>
  <c r="E332" i="1"/>
  <c r="C332" i="1"/>
  <c r="F331" i="1"/>
  <c r="E331" i="1"/>
  <c r="C331" i="1"/>
  <c r="F330" i="1"/>
  <c r="E330" i="1"/>
  <c r="C330" i="1"/>
  <c r="E329" i="1"/>
  <c r="C329" i="1"/>
  <c r="F328" i="1"/>
  <c r="E328" i="1"/>
  <c r="C328" i="1"/>
  <c r="F327" i="1"/>
  <c r="E327" i="1"/>
  <c r="C327" i="1"/>
  <c r="F326" i="1"/>
  <c r="E326" i="1"/>
  <c r="C326" i="1"/>
  <c r="F325" i="1"/>
  <c r="E325" i="1"/>
  <c r="C325" i="1"/>
  <c r="F324" i="1"/>
  <c r="E324" i="1"/>
  <c r="C324" i="1"/>
  <c r="F323" i="1"/>
  <c r="E323" i="1"/>
  <c r="C323" i="1"/>
  <c r="F322" i="1"/>
  <c r="E322" i="1"/>
  <c r="D322" i="1"/>
  <c r="C322" i="1"/>
  <c r="F321" i="1"/>
  <c r="E321" i="1"/>
  <c r="D321" i="1"/>
  <c r="C321" i="1"/>
  <c r="F320" i="1"/>
  <c r="E320" i="1"/>
  <c r="C320" i="1"/>
  <c r="F319" i="1"/>
  <c r="E319" i="1"/>
  <c r="C319" i="1"/>
  <c r="F318" i="1"/>
  <c r="D318" i="1"/>
  <c r="C318" i="1"/>
  <c r="F317" i="1"/>
  <c r="E317" i="1"/>
  <c r="C317" i="1"/>
  <c r="F316" i="1"/>
  <c r="E316" i="1"/>
  <c r="C316" i="1"/>
  <c r="F315" i="1"/>
  <c r="E315" i="1"/>
  <c r="D315" i="1"/>
  <c r="C315" i="1"/>
  <c r="F314" i="1"/>
  <c r="E314" i="1"/>
  <c r="D314" i="1"/>
  <c r="C314" i="1"/>
  <c r="F313" i="1"/>
  <c r="E313" i="1"/>
  <c r="C313" i="1"/>
  <c r="F312" i="1"/>
  <c r="E312" i="1"/>
  <c r="C312" i="1"/>
  <c r="F311" i="1"/>
  <c r="E311" i="1"/>
  <c r="C311" i="1"/>
  <c r="F310" i="1"/>
  <c r="E310" i="1"/>
  <c r="C310" i="1"/>
  <c r="F309" i="1"/>
  <c r="E309" i="1"/>
  <c r="D309" i="1"/>
  <c r="C309" i="1"/>
  <c r="F308" i="1"/>
  <c r="E308" i="1"/>
  <c r="C308" i="1"/>
  <c r="F307" i="1"/>
  <c r="E307" i="1"/>
  <c r="C307" i="1"/>
  <c r="F306" i="1"/>
  <c r="E306" i="1"/>
  <c r="F305" i="1"/>
  <c r="E305" i="1"/>
  <c r="C305" i="1"/>
  <c r="F304" i="1"/>
  <c r="E304" i="1"/>
  <c r="C304" i="1"/>
  <c r="F303" i="1"/>
  <c r="E303" i="1"/>
  <c r="C303" i="1"/>
  <c r="F302" i="1"/>
  <c r="E302" i="1"/>
  <c r="C302" i="1"/>
  <c r="F301" i="1"/>
  <c r="E301" i="1"/>
  <c r="C301" i="1"/>
  <c r="F300" i="1"/>
  <c r="E300" i="1"/>
  <c r="D300" i="1"/>
  <c r="C300" i="1"/>
  <c r="F299" i="1"/>
  <c r="E299" i="1"/>
  <c r="C299" i="1"/>
  <c r="F298" i="1"/>
  <c r="E298" i="1"/>
  <c r="C298" i="1"/>
  <c r="E297" i="1"/>
  <c r="C297" i="1"/>
  <c r="E296" i="1"/>
  <c r="C296" i="1"/>
  <c r="F295" i="1"/>
  <c r="E295" i="1"/>
  <c r="C295" i="1"/>
  <c r="F294" i="1"/>
  <c r="E294" i="1"/>
  <c r="C294" i="1"/>
  <c r="F293" i="1"/>
  <c r="E293" i="1"/>
  <c r="C293" i="1"/>
  <c r="E292" i="1"/>
  <c r="C292" i="1"/>
  <c r="F291" i="1"/>
  <c r="E291" i="1"/>
  <c r="C291" i="1"/>
  <c r="E290" i="1"/>
  <c r="D290" i="1"/>
  <c r="C290" i="1"/>
  <c r="F289" i="1"/>
  <c r="F288" i="1"/>
  <c r="E288" i="1"/>
  <c r="D288" i="1"/>
  <c r="C288" i="1"/>
  <c r="E287" i="1"/>
  <c r="D287" i="1"/>
  <c r="C287" i="1"/>
  <c r="F286" i="1"/>
  <c r="E286" i="1"/>
  <c r="C286" i="1"/>
  <c r="F285" i="1"/>
  <c r="E285" i="1"/>
  <c r="C285" i="1"/>
  <c r="E284" i="1"/>
  <c r="D284" i="1"/>
  <c r="C284" i="1"/>
  <c r="E283" i="1"/>
  <c r="D283" i="1"/>
  <c r="C283" i="1"/>
  <c r="E282" i="1"/>
  <c r="D282" i="1"/>
  <c r="C282" i="1"/>
  <c r="E281" i="1"/>
  <c r="D281" i="1"/>
  <c r="C281" i="1"/>
  <c r="F280" i="1"/>
  <c r="E280" i="1"/>
  <c r="C280" i="1"/>
  <c r="F279" i="1"/>
  <c r="E279" i="1"/>
  <c r="C279" i="1"/>
  <c r="F278" i="1"/>
  <c r="E278" i="1"/>
  <c r="C278" i="1"/>
  <c r="F277" i="1"/>
  <c r="E277" i="1"/>
  <c r="C277" i="1"/>
  <c r="F276" i="1"/>
  <c r="E276" i="1"/>
  <c r="C276" i="1"/>
  <c r="F274" i="1"/>
  <c r="E274" i="1"/>
  <c r="C274" i="1"/>
  <c r="F273" i="1"/>
  <c r="D273" i="1"/>
  <c r="C273" i="1"/>
  <c r="F272" i="1"/>
  <c r="E272" i="1"/>
  <c r="D272" i="1"/>
  <c r="F271" i="1"/>
  <c r="E271" i="1"/>
  <c r="C271" i="1"/>
  <c r="F270" i="1"/>
  <c r="E270" i="1"/>
  <c r="C270" i="1"/>
  <c r="F269" i="1"/>
  <c r="E269" i="1"/>
  <c r="C269" i="1"/>
  <c r="F268" i="1"/>
  <c r="D268" i="1"/>
  <c r="C268" i="1"/>
  <c r="F267" i="1"/>
  <c r="E267" i="1"/>
  <c r="C267" i="1"/>
  <c r="F266" i="1"/>
  <c r="E266" i="1"/>
  <c r="C266" i="1"/>
  <c r="F265" i="1"/>
  <c r="E265" i="1"/>
  <c r="C265" i="1"/>
  <c r="F264" i="1"/>
  <c r="E264" i="1"/>
  <c r="C264" i="1"/>
  <c r="F263" i="1"/>
  <c r="E263" i="1"/>
  <c r="C263" i="1"/>
  <c r="F262" i="1"/>
  <c r="E262" i="1"/>
  <c r="C262" i="1"/>
  <c r="F261" i="1"/>
  <c r="E261" i="1"/>
  <c r="C261" i="1"/>
  <c r="F260" i="1"/>
  <c r="E260" i="1"/>
  <c r="D260" i="1"/>
  <c r="F259" i="1"/>
  <c r="E259" i="1"/>
  <c r="C259" i="1"/>
  <c r="F258" i="1"/>
  <c r="E258" i="1"/>
  <c r="C258" i="1"/>
  <c r="F257" i="1"/>
  <c r="E257" i="1"/>
  <c r="C257" i="1"/>
  <c r="F256" i="1"/>
  <c r="E256" i="1"/>
  <c r="D256" i="1"/>
  <c r="C256" i="1"/>
  <c r="F255" i="1"/>
  <c r="E255" i="1"/>
  <c r="C255" i="1"/>
  <c r="F254" i="1"/>
  <c r="E254" i="1"/>
  <c r="C254" i="1"/>
  <c r="F253" i="1"/>
  <c r="E253" i="1"/>
  <c r="C253" i="1"/>
  <c r="F252" i="1"/>
  <c r="E252" i="1"/>
  <c r="C252" i="1"/>
  <c r="E251" i="1"/>
  <c r="C251" i="1"/>
  <c r="F250" i="1"/>
  <c r="E250" i="1"/>
  <c r="C250" i="1"/>
  <c r="F249" i="1"/>
  <c r="E249" i="1"/>
  <c r="C249" i="1"/>
  <c r="F248" i="1"/>
  <c r="E248" i="1"/>
  <c r="C248" i="1"/>
  <c r="F247" i="1"/>
  <c r="E247" i="1"/>
  <c r="C247" i="1"/>
  <c r="F246" i="1"/>
  <c r="E246" i="1"/>
  <c r="C246" i="1"/>
  <c r="F245" i="1"/>
  <c r="E245" i="1"/>
  <c r="D245" i="1"/>
  <c r="F244" i="1"/>
  <c r="E244" i="1"/>
  <c r="C244" i="1"/>
  <c r="F243" i="1"/>
  <c r="E243" i="1"/>
  <c r="C243" i="1"/>
  <c r="F242" i="1"/>
  <c r="E242" i="1"/>
  <c r="C242" i="1"/>
  <c r="F241" i="1"/>
  <c r="E241" i="1"/>
  <c r="C241" i="1"/>
  <c r="F240" i="1"/>
  <c r="E240" i="1"/>
  <c r="C240" i="1"/>
  <c r="E239" i="1"/>
  <c r="C239" i="1"/>
  <c r="F238" i="1"/>
  <c r="E238" i="1"/>
  <c r="C238" i="1"/>
  <c r="E237" i="1"/>
  <c r="D237" i="1"/>
  <c r="C237" i="1"/>
  <c r="F236" i="1"/>
  <c r="E236" i="1"/>
  <c r="D236" i="1"/>
  <c r="C236" i="1"/>
  <c r="F235" i="1"/>
  <c r="E235" i="1"/>
  <c r="C235" i="1"/>
  <c r="F234" i="1"/>
  <c r="E234" i="1"/>
  <c r="C234" i="1"/>
  <c r="F233" i="1"/>
  <c r="E233" i="1"/>
  <c r="C233" i="1"/>
  <c r="F232" i="1"/>
  <c r="E232" i="1"/>
  <c r="C232" i="1"/>
  <c r="F231" i="1"/>
  <c r="E231" i="1"/>
  <c r="C231" i="1"/>
  <c r="E230" i="1"/>
  <c r="D230" i="1"/>
  <c r="C230" i="1"/>
  <c r="F229" i="1"/>
  <c r="E229" i="1"/>
  <c r="C229" i="1"/>
  <c r="F228" i="1"/>
  <c r="E228" i="1"/>
  <c r="C228" i="1"/>
  <c r="F227" i="1"/>
  <c r="E227" i="1"/>
  <c r="C227" i="1"/>
  <c r="E226" i="1"/>
  <c r="C226" i="1"/>
  <c r="F225" i="1"/>
  <c r="E225" i="1"/>
  <c r="C225" i="1"/>
  <c r="F224" i="1"/>
  <c r="E224" i="1"/>
  <c r="C224" i="1"/>
  <c r="F223" i="1"/>
  <c r="E223" i="1"/>
  <c r="D223" i="1"/>
  <c r="C223" i="1"/>
  <c r="F222" i="1"/>
  <c r="E222" i="1"/>
  <c r="D222" i="1"/>
  <c r="C222" i="1"/>
  <c r="F221" i="1"/>
  <c r="E221" i="1"/>
  <c r="D221" i="1"/>
  <c r="C221" i="1"/>
  <c r="F220" i="1"/>
  <c r="E220" i="1"/>
  <c r="D220" i="1"/>
  <c r="C220" i="1"/>
  <c r="F219" i="1"/>
  <c r="E219" i="1"/>
  <c r="D219" i="1"/>
  <c r="C219" i="1"/>
  <c r="F218" i="1"/>
  <c r="E218" i="1"/>
  <c r="D218" i="1"/>
  <c r="C218" i="1"/>
  <c r="F107" i="1"/>
  <c r="E107" i="1"/>
  <c r="D107" i="1"/>
  <c r="F106" i="1"/>
  <c r="D106" i="1"/>
  <c r="C106" i="1"/>
  <c r="F105" i="1"/>
  <c r="D105" i="1"/>
  <c r="C105" i="1"/>
  <c r="E104" i="1"/>
  <c r="D104" i="1"/>
  <c r="C104" i="1"/>
  <c r="F103" i="1"/>
  <c r="E103" i="1"/>
  <c r="D103" i="1"/>
  <c r="C103" i="1"/>
  <c r="F102" i="1"/>
  <c r="E102" i="1"/>
  <c r="D102" i="1"/>
  <c r="C102" i="1"/>
  <c r="E101" i="1"/>
  <c r="D101" i="1"/>
  <c r="C101" i="1"/>
  <c r="F100" i="1"/>
  <c r="E100" i="1"/>
  <c r="C100" i="1"/>
  <c r="E99" i="1"/>
  <c r="D99" i="1"/>
  <c r="C99" i="1"/>
  <c r="F98" i="1"/>
  <c r="E98" i="1"/>
  <c r="C98" i="1"/>
  <c r="E97" i="1"/>
  <c r="D97" i="1"/>
  <c r="C97" i="1"/>
  <c r="F96" i="1"/>
  <c r="D96" i="1"/>
  <c r="C96" i="1"/>
  <c r="F95" i="1"/>
  <c r="E95" i="1"/>
  <c r="C95" i="1"/>
  <c r="F94" i="1"/>
  <c r="E94" i="1"/>
  <c r="C94" i="1"/>
  <c r="E93" i="1"/>
  <c r="D93" i="1"/>
  <c r="C93" i="1"/>
  <c r="F92" i="1"/>
  <c r="E92" i="1"/>
  <c r="C92" i="1"/>
  <c r="F91" i="1"/>
  <c r="E91" i="1"/>
  <c r="D91" i="1"/>
  <c r="C91" i="1"/>
  <c r="F90" i="1"/>
  <c r="E90" i="1"/>
  <c r="D90" i="1"/>
  <c r="F89" i="1"/>
  <c r="E89" i="1"/>
  <c r="C89" i="1"/>
  <c r="F88" i="1"/>
  <c r="E88" i="1"/>
  <c r="C88" i="1"/>
  <c r="F87" i="1"/>
  <c r="E87" i="1"/>
  <c r="C87" i="1"/>
  <c r="E86" i="1"/>
  <c r="D86" i="1"/>
  <c r="C86" i="1"/>
  <c r="F85" i="1"/>
  <c r="E85" i="1"/>
  <c r="C85" i="1"/>
  <c r="F84" i="1"/>
  <c r="E84" i="1"/>
  <c r="D84" i="1"/>
  <c r="C84" i="1"/>
  <c r="F83" i="1"/>
  <c r="E83" i="1"/>
  <c r="C83" i="1"/>
  <c r="F82" i="1"/>
  <c r="E82" i="1"/>
  <c r="D82" i="1"/>
  <c r="F81" i="1"/>
  <c r="D81" i="1"/>
  <c r="C81" i="1"/>
  <c r="F80" i="1"/>
  <c r="E80" i="1"/>
  <c r="C80" i="1"/>
  <c r="F79" i="1"/>
  <c r="E79" i="1"/>
  <c r="D79" i="1"/>
  <c r="C79" i="1"/>
  <c r="E78" i="1"/>
  <c r="D78" i="1"/>
  <c r="F77" i="1"/>
  <c r="D77" i="1"/>
  <c r="E76" i="1"/>
  <c r="C76" i="1"/>
  <c r="F75" i="1"/>
  <c r="D75" i="1"/>
  <c r="F74" i="1"/>
  <c r="E74" i="1"/>
  <c r="C74" i="1"/>
  <c r="E73" i="1"/>
  <c r="D73" i="1"/>
  <c r="C73" i="1"/>
  <c r="E72" i="1"/>
  <c r="D72" i="1"/>
  <c r="C72" i="1"/>
  <c r="F71" i="1"/>
  <c r="E71" i="1"/>
  <c r="D71" i="1"/>
  <c r="C71" i="1"/>
  <c r="F70" i="1"/>
  <c r="D70" i="1"/>
  <c r="C70" i="1"/>
  <c r="F69" i="1"/>
  <c r="E69" i="1"/>
  <c r="C69" i="1"/>
  <c r="F68" i="1"/>
  <c r="D68" i="1"/>
  <c r="C68" i="1"/>
  <c r="F67" i="1"/>
  <c r="E67" i="1"/>
  <c r="C67" i="1"/>
  <c r="F66" i="1"/>
  <c r="E66" i="1"/>
  <c r="D66" i="1"/>
  <c r="C66" i="1"/>
  <c r="F65" i="1"/>
  <c r="E65" i="1"/>
  <c r="D65" i="1"/>
  <c r="E64" i="1"/>
  <c r="D64" i="1"/>
  <c r="C64" i="1"/>
  <c r="E63" i="1"/>
  <c r="D63" i="1"/>
  <c r="C63" i="1"/>
  <c r="F62" i="1"/>
  <c r="E62" i="1"/>
  <c r="C62" i="1"/>
  <c r="F61" i="1"/>
  <c r="E61" i="1"/>
  <c r="C61" i="1"/>
  <c r="F60" i="1"/>
  <c r="E60" i="1"/>
  <c r="C60" i="1"/>
  <c r="F59" i="1"/>
  <c r="E59" i="1"/>
  <c r="D59" i="1"/>
  <c r="F58" i="1"/>
  <c r="E58" i="1"/>
  <c r="C58" i="1"/>
  <c r="F57" i="1"/>
  <c r="E57" i="1"/>
  <c r="C57" i="1"/>
  <c r="F56" i="1"/>
  <c r="E56" i="1"/>
  <c r="C56" i="1"/>
  <c r="F55" i="1"/>
  <c r="E55" i="1"/>
  <c r="C55" i="1"/>
  <c r="F54" i="1"/>
  <c r="E54" i="1"/>
  <c r="C54" i="1"/>
  <c r="F53" i="1"/>
  <c r="E53" i="1"/>
  <c r="C53" i="1"/>
  <c r="E52" i="1"/>
  <c r="D52" i="1"/>
  <c r="F51" i="1"/>
  <c r="E51" i="1"/>
  <c r="C51" i="1"/>
  <c r="F50" i="1"/>
  <c r="E50" i="1"/>
  <c r="C50" i="1"/>
  <c r="F49" i="1"/>
  <c r="E49" i="1"/>
  <c r="D49" i="1"/>
  <c r="F48" i="1"/>
  <c r="E48" i="1"/>
  <c r="C48" i="1"/>
  <c r="F47" i="1"/>
  <c r="E47" i="1"/>
  <c r="C47" i="1"/>
  <c r="E46" i="1"/>
  <c r="D46" i="1"/>
  <c r="C46" i="1"/>
  <c r="E45" i="1"/>
  <c r="D45" i="1"/>
  <c r="C45" i="1"/>
  <c r="F44" i="1"/>
  <c r="D44" i="1"/>
  <c r="C44" i="1"/>
  <c r="F43" i="1"/>
  <c r="E43" i="1"/>
  <c r="C43" i="1"/>
  <c r="E42" i="1"/>
  <c r="D42" i="1"/>
  <c r="F41" i="1"/>
  <c r="D41" i="1"/>
  <c r="C41" i="1"/>
  <c r="E40" i="1"/>
  <c r="D40" i="1"/>
  <c r="C40" i="1"/>
  <c r="F39" i="1"/>
  <c r="E39" i="1"/>
  <c r="C39" i="1"/>
  <c r="E38" i="1"/>
  <c r="D38" i="1"/>
  <c r="C38" i="1"/>
  <c r="F37" i="1"/>
  <c r="E37" i="1"/>
  <c r="D37" i="1"/>
  <c r="F36" i="1"/>
  <c r="E36" i="1"/>
  <c r="C36" i="1"/>
  <c r="F35" i="1"/>
  <c r="E35" i="1"/>
  <c r="C35" i="1"/>
  <c r="E34" i="1"/>
  <c r="D34" i="1"/>
  <c r="C34" i="1"/>
  <c r="E33" i="1"/>
  <c r="D33" i="1"/>
  <c r="C33" i="1"/>
  <c r="E32" i="1"/>
  <c r="D32" i="1"/>
  <c r="C32" i="1"/>
  <c r="F31" i="1"/>
  <c r="E31" i="1"/>
  <c r="C31" i="1"/>
  <c r="F30" i="1"/>
  <c r="E30" i="1"/>
  <c r="C30" i="1"/>
  <c r="F29" i="1"/>
  <c r="E29" i="1"/>
  <c r="D29" i="1"/>
  <c r="F28" i="1"/>
  <c r="E28" i="1"/>
  <c r="D28" i="1"/>
  <c r="C28" i="1"/>
  <c r="F27" i="1"/>
  <c r="E27" i="1"/>
  <c r="C27" i="1"/>
  <c r="F26" i="1"/>
  <c r="E26" i="1"/>
  <c r="D26" i="1"/>
  <c r="F25" i="1"/>
  <c r="E25" i="1"/>
  <c r="C25" i="1"/>
  <c r="F24" i="1"/>
  <c r="E24" i="1"/>
  <c r="C24" i="1"/>
  <c r="F23" i="1"/>
  <c r="E23" i="1"/>
  <c r="C23" i="1"/>
  <c r="F22" i="1"/>
  <c r="D22" i="1"/>
  <c r="C22" i="1"/>
  <c r="F21" i="1"/>
  <c r="E21" i="1"/>
  <c r="C21" i="1"/>
  <c r="F20" i="1"/>
  <c r="E20" i="1"/>
  <c r="C20" i="1"/>
  <c r="F19" i="1"/>
  <c r="E19" i="1"/>
  <c r="C19" i="1"/>
  <c r="F18" i="1"/>
  <c r="E18" i="1"/>
  <c r="D18" i="1"/>
  <c r="C18" i="1"/>
  <c r="E17" i="1"/>
  <c r="D17" i="1"/>
  <c r="F16" i="1"/>
  <c r="D16" i="1"/>
  <c r="C16" i="1"/>
  <c r="F15" i="1"/>
  <c r="D15" i="1"/>
  <c r="C15" i="1"/>
  <c r="E14" i="1"/>
  <c r="D14" i="1"/>
  <c r="C14" i="1"/>
  <c r="E13" i="1"/>
  <c r="D13" i="1"/>
  <c r="C13" i="1"/>
  <c r="F12" i="1"/>
  <c r="D12" i="1"/>
  <c r="C12" i="1"/>
  <c r="F11" i="1"/>
  <c r="C11" i="1"/>
  <c r="F10" i="1"/>
  <c r="E10" i="1"/>
  <c r="C10" i="1"/>
  <c r="F9" i="1"/>
  <c r="E9" i="1"/>
  <c r="C9" i="1"/>
  <c r="F8" i="1"/>
  <c r="E8" i="1"/>
  <c r="C8" i="1"/>
  <c r="E7" i="1"/>
  <c r="D7" i="1"/>
  <c r="C7" i="1"/>
  <c r="F6" i="1"/>
  <c r="E6" i="1"/>
  <c r="C6" i="1"/>
  <c r="F5" i="1"/>
  <c r="E5" i="1"/>
  <c r="C5" i="1"/>
  <c r="F4" i="1"/>
  <c r="E4" i="1"/>
  <c r="D4" i="1"/>
  <c r="C4" i="1"/>
  <c r="F3" i="1"/>
  <c r="E3" i="1"/>
  <c r="C3" i="1"/>
  <c r="F2" i="1"/>
  <c r="E2" i="1"/>
  <c r="C2" i="1"/>
  <c r="F217" i="1"/>
  <c r="E217" i="1"/>
  <c r="C217" i="1"/>
  <c r="F216" i="1"/>
  <c r="E216" i="1"/>
  <c r="C216" i="1"/>
  <c r="F215" i="1"/>
  <c r="E215" i="1"/>
  <c r="C215" i="1"/>
  <c r="F214" i="1"/>
  <c r="E214" i="1"/>
  <c r="C214" i="1"/>
  <c r="F213" i="1"/>
  <c r="E213" i="1"/>
  <c r="C213" i="1"/>
  <c r="F212" i="1"/>
  <c r="E212" i="1"/>
  <c r="C212" i="1"/>
  <c r="E211" i="1"/>
  <c r="D211" i="1"/>
  <c r="C211" i="1"/>
  <c r="E210" i="1"/>
  <c r="D210" i="1"/>
  <c r="C210" i="1"/>
  <c r="F209" i="1"/>
  <c r="D209" i="1"/>
  <c r="C209" i="1"/>
  <c r="F208" i="1"/>
  <c r="E208" i="1"/>
  <c r="C208" i="1"/>
  <c r="F207" i="1"/>
  <c r="E207" i="1"/>
  <c r="C207" i="1"/>
  <c r="F206" i="1"/>
  <c r="E206" i="1"/>
  <c r="C206" i="1"/>
  <c r="F205" i="1"/>
  <c r="E205" i="1"/>
  <c r="C205" i="1"/>
  <c r="F204" i="1"/>
  <c r="E204" i="1"/>
  <c r="C204" i="1"/>
  <c r="F203" i="1"/>
  <c r="E203" i="1"/>
  <c r="C203" i="1"/>
  <c r="F202" i="1"/>
  <c r="E202" i="1"/>
  <c r="C202" i="1"/>
  <c r="F201" i="1"/>
  <c r="E201" i="1"/>
  <c r="C201" i="1"/>
  <c r="F200" i="1"/>
  <c r="E200" i="1"/>
  <c r="C200" i="1"/>
  <c r="F199" i="1"/>
  <c r="E199" i="1"/>
  <c r="D199" i="1"/>
  <c r="C199" i="1"/>
  <c r="F198" i="1"/>
  <c r="E198" i="1"/>
  <c r="C198" i="1"/>
  <c r="F197" i="1"/>
  <c r="E197" i="1"/>
  <c r="C197" i="1"/>
  <c r="F196" i="1"/>
  <c r="E196" i="1"/>
  <c r="D196" i="1"/>
  <c r="C196" i="1"/>
  <c r="F195" i="1"/>
  <c r="E195" i="1"/>
  <c r="C195" i="1"/>
  <c r="F194" i="1"/>
  <c r="E194" i="1"/>
  <c r="C194" i="1"/>
  <c r="F193" i="1"/>
  <c r="E193" i="1"/>
  <c r="C193" i="1"/>
  <c r="F192" i="1"/>
  <c r="E192" i="1"/>
  <c r="C192" i="1"/>
  <c r="F191" i="1"/>
  <c r="E191" i="1"/>
  <c r="D191" i="1"/>
  <c r="C191" i="1"/>
  <c r="F190" i="1"/>
  <c r="E190" i="1"/>
  <c r="C190" i="1"/>
  <c r="F189" i="1"/>
  <c r="E189" i="1"/>
  <c r="C189" i="1"/>
  <c r="F188" i="1"/>
  <c r="E188" i="1"/>
  <c r="C188" i="1"/>
  <c r="F187" i="1"/>
  <c r="E187" i="1"/>
  <c r="C187" i="1"/>
  <c r="E186" i="1"/>
  <c r="D186" i="1"/>
  <c r="C186" i="1"/>
  <c r="F185" i="1"/>
  <c r="E185" i="1"/>
  <c r="C185" i="1"/>
  <c r="F184" i="1"/>
  <c r="E184" i="1"/>
  <c r="C184" i="1"/>
  <c r="F183" i="1"/>
  <c r="E183" i="1"/>
  <c r="D183" i="1"/>
  <c r="F181" i="1"/>
  <c r="E181" i="1"/>
  <c r="D181" i="1"/>
  <c r="F166" i="1"/>
  <c r="E166" i="1"/>
  <c r="D166" i="1"/>
  <c r="F162" i="1"/>
  <c r="D162" i="1"/>
  <c r="C162" i="1"/>
  <c r="F161" i="1"/>
  <c r="D161" i="1"/>
  <c r="C161" i="1"/>
  <c r="F147" i="1"/>
  <c r="D147" i="1"/>
  <c r="F126" i="1"/>
  <c r="E126" i="1"/>
  <c r="D126" i="1"/>
  <c r="F125" i="1"/>
  <c r="E125" i="1"/>
  <c r="D125" i="1"/>
  <c r="F119" i="1"/>
  <c r="E119" i="1"/>
  <c r="D119" i="1"/>
  <c r="F145" i="1"/>
  <c r="E145" i="1"/>
  <c r="C145" i="1"/>
  <c r="F160" i="1"/>
  <c r="E160" i="1"/>
  <c r="C160" i="1"/>
  <c r="F157" i="1"/>
  <c r="E157" i="1"/>
  <c r="C157" i="1"/>
  <c r="F165" i="1"/>
  <c r="E165" i="1"/>
  <c r="C165" i="1"/>
  <c r="F109" i="1"/>
  <c r="E109" i="1"/>
  <c r="C109" i="1"/>
  <c r="E137" i="1"/>
  <c r="D137" i="1"/>
  <c r="C137" i="1"/>
  <c r="F118" i="1"/>
  <c r="E118" i="1"/>
  <c r="C118" i="1"/>
  <c r="F169" i="1"/>
  <c r="E169" i="1"/>
  <c r="C169" i="1"/>
  <c r="F156" i="1"/>
  <c r="E156" i="1"/>
  <c r="C156" i="1"/>
  <c r="F136" i="1"/>
  <c r="E136" i="1"/>
  <c r="C136" i="1"/>
  <c r="F112" i="1"/>
  <c r="E112" i="1"/>
  <c r="C112" i="1"/>
  <c r="F180" i="1"/>
  <c r="E180" i="1"/>
  <c r="C180" i="1"/>
  <c r="F172" i="1"/>
  <c r="E172" i="1"/>
  <c r="C172" i="1"/>
  <c r="E164" i="1"/>
  <c r="D164" i="1"/>
  <c r="C164" i="1"/>
  <c r="F171" i="1"/>
  <c r="E171" i="1"/>
  <c r="C171" i="1"/>
  <c r="E111" i="1"/>
  <c r="D111" i="1"/>
  <c r="C111" i="1"/>
  <c r="F135" i="1"/>
  <c r="E135" i="1"/>
  <c r="C135" i="1"/>
  <c r="F182" i="1"/>
  <c r="E182" i="1"/>
  <c r="C182" i="1"/>
  <c r="E170" i="1"/>
  <c r="C170" i="1"/>
  <c r="E163" i="1"/>
  <c r="D163" i="1"/>
  <c r="C163" i="1"/>
  <c r="F117" i="1"/>
  <c r="E117" i="1"/>
  <c r="C117" i="1"/>
  <c r="F144" i="1"/>
  <c r="E144" i="1"/>
  <c r="C144" i="1"/>
  <c r="F150" i="1"/>
  <c r="E150" i="1"/>
  <c r="C150" i="1"/>
  <c r="E178" i="1"/>
  <c r="C178" i="1"/>
  <c r="F143" i="1"/>
  <c r="E143" i="1"/>
  <c r="C143" i="1"/>
  <c r="E131" i="1"/>
  <c r="D131" i="1"/>
  <c r="C131" i="1"/>
  <c r="F124" i="1"/>
  <c r="E124" i="1"/>
  <c r="C124" i="1"/>
  <c r="F155" i="1"/>
  <c r="E155" i="1"/>
  <c r="D155" i="1"/>
  <c r="C155" i="1"/>
  <c r="F134" i="1"/>
  <c r="E134" i="1"/>
  <c r="D134" i="1"/>
  <c r="C134" i="1"/>
  <c r="F153" i="1"/>
  <c r="E153" i="1"/>
  <c r="C153" i="1"/>
  <c r="E130" i="1"/>
  <c r="D130" i="1"/>
  <c r="C130" i="1"/>
  <c r="E154" i="1"/>
  <c r="C154" i="1"/>
  <c r="F152" i="1"/>
  <c r="E152" i="1"/>
  <c r="C152" i="1"/>
  <c r="F133" i="1"/>
  <c r="E133" i="1"/>
  <c r="C133" i="1"/>
  <c r="F146" i="1"/>
  <c r="E146" i="1"/>
  <c r="C146" i="1"/>
  <c r="F129" i="1"/>
  <c r="E129" i="1"/>
  <c r="C129" i="1"/>
  <c r="F110" i="1"/>
  <c r="E110" i="1"/>
  <c r="C110" i="1"/>
  <c r="F140" i="1"/>
  <c r="E140" i="1"/>
  <c r="C140" i="1"/>
  <c r="F149" i="1"/>
  <c r="E149" i="1"/>
  <c r="C149" i="1"/>
  <c r="E176" i="1"/>
  <c r="C176" i="1"/>
  <c r="F168" i="1"/>
  <c r="E168" i="1"/>
  <c r="C168" i="1"/>
  <c r="E151" i="1"/>
  <c r="D151" i="1"/>
  <c r="C151" i="1"/>
  <c r="E128" i="1"/>
  <c r="D128" i="1"/>
  <c r="C128" i="1"/>
  <c r="F132" i="1"/>
  <c r="E132" i="1"/>
  <c r="C132" i="1"/>
  <c r="F142" i="1"/>
  <c r="E142" i="1"/>
  <c r="C142" i="1"/>
  <c r="F179" i="1"/>
  <c r="E179" i="1"/>
  <c r="C179" i="1"/>
  <c r="F175" i="1"/>
  <c r="E175" i="1"/>
  <c r="C175" i="1"/>
  <c r="F123" i="1"/>
  <c r="E123" i="1"/>
  <c r="D123" i="1"/>
  <c r="C123" i="1"/>
  <c r="F108" i="1"/>
  <c r="E108" i="1"/>
  <c r="C108" i="1"/>
  <c r="F177" i="1"/>
  <c r="E177" i="1"/>
  <c r="C177" i="1"/>
  <c r="F116" i="1"/>
  <c r="E116" i="1"/>
  <c r="C116" i="1"/>
  <c r="F115" i="1"/>
  <c r="E115" i="1"/>
  <c r="C115" i="1"/>
  <c r="F159" i="1"/>
  <c r="E159" i="1"/>
  <c r="C159" i="1"/>
  <c r="E139" i="1"/>
  <c r="D139" i="1"/>
  <c r="C139" i="1"/>
  <c r="F167" i="1"/>
  <c r="E167" i="1"/>
  <c r="C167" i="1"/>
  <c r="E114" i="1"/>
  <c r="D114" i="1"/>
  <c r="C114" i="1"/>
  <c r="F148" i="1"/>
  <c r="E148" i="1"/>
  <c r="E158" i="1"/>
  <c r="D158" i="1"/>
  <c r="C158" i="1"/>
  <c r="F122" i="1"/>
  <c r="E122" i="1"/>
  <c r="C122" i="1"/>
  <c r="F174" i="1"/>
  <c r="E174" i="1"/>
  <c r="C174" i="1"/>
  <c r="F121" i="1"/>
  <c r="E121" i="1"/>
  <c r="D121" i="1"/>
  <c r="C121" i="1"/>
  <c r="F113" i="1"/>
  <c r="C113" i="1"/>
  <c r="F141" i="1"/>
  <c r="E141" i="1"/>
  <c r="C141" i="1"/>
  <c r="F173" i="1"/>
  <c r="E173" i="1"/>
  <c r="C173" i="1"/>
  <c r="F120" i="1"/>
  <c r="E120" i="1"/>
  <c r="C120" i="1"/>
  <c r="F127" i="1"/>
  <c r="E127" i="1"/>
  <c r="C127" i="1"/>
  <c r="F138" i="1"/>
  <c r="E138" i="1"/>
  <c r="C1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tc={CFDA4981-BAC5-3D4F-921A-CD2CD50EC7AC}</author>
    <author>tc={C6F15E30-59C2-9341-9134-6334AFD31B68}</author>
    <author>tc={21A7698B-3FDE-6146-BC23-494E6D47B017}</author>
    <author>tc={69AC492C-82A2-C24E-A32B-9199905120AC}</author>
    <author>tc={97B33400-2630-3047-B119-8751BBDE986E}</author>
    <author>tc={F474A684-3C84-7A46-A4D5-78FDEC267A24}</author>
    <author>tc={3F6C56C1-D151-8944-BEDF-04B542019CE9}</author>
    <author>tc={13ACB9FA-C115-1F4F-82C7-0992AC92AD9D}</author>
    <author>tc={584095EA-AF71-034C-BB3E-B883377B5A4B}</author>
    <author>tc={6E2A31D1-63FD-6941-9B67-B5A591E3598D}</author>
    <author>tc={63ECF4EF-128C-C84E-A2C5-5DD4F689CC2C}</author>
    <author>tc={08C5C4D0-D10B-0C4C-978B-E545ACEA1CDE}</author>
    <author>tc={75D9ED90-0201-3542-9789-EA4AABBAA217}</author>
    <author>tc={CA4258A2-4703-5D46-9E68-6CE0683A3A9E}</author>
    <author>tc={CB8D3A6E-5942-6947-8FB8-EF7D4B6EF567}</author>
    <author>tc={ABAA49E5-F503-C04B-B534-5850338F1CF0}</author>
    <author>tc={57E1293A-7B24-0548-A42A-ED6028923CB4}</author>
    <author>tc={FADA3FC3-5615-5F4C-9670-16FF1EA7A346}</author>
    <author>tc={6442E0A3-11E4-1C4C-9E99-B3EBD4D4D850}</author>
    <author>tc={2613B02C-1F9B-D749-9A85-1FB848D9B7D7}</author>
    <author>tc={4E98FE72-7BAB-3443-8947-116981D18E04}</author>
    <author>tc={5B87172F-4997-E640-B9B1-D9AADF9C6A01}</author>
    <author>tc={8D3C771B-B7CB-7C4E-B029-CA698B1EAEC4}</author>
    <author>tc={296879F6-BB78-9843-A042-5AA63DF86CF7}</author>
    <author>tc={7AD40F2E-8B28-4E44-8C51-4773CB541061}</author>
    <author>tc={3960EA77-0C78-7445-9D84-81DE56E641FF}</author>
    <author>tc={7FF53CF0-154B-6E43-BC25-63FC195F31B3}</author>
    <author>tc={EC11F5BD-1034-D54B-8BD7-3E38D090F6EE}</author>
    <author>tc={7B2CE49A-4740-974B-B868-B6BE03B12C56}</author>
    <author>tc={69CD7CBD-E715-7346-A0AE-A1A66E72654C}</author>
    <author>tc={7BA45916-0B3C-A34E-9990-2BF890DA2ABF}</author>
    <author>tc={88F86604-F8AF-2F4E-8C3B-8BC8E1C06BB6}</author>
    <author>tc={C2CF96CF-7376-6D40-8FD0-8469787348A9}</author>
    <author>tc={502DE55E-8F42-6941-BECB-6F628511D0D9}</author>
    <author>tc={C157B7F0-7F81-FB48-814E-886AC419AC4C}</author>
    <author>tc={9A93EAAB-7F12-C44C-8C3E-75DD645821C1}</author>
    <author>tc={C67A4D54-0EAE-A947-89A1-21D3247F575F}</author>
    <author>tc={968A20CA-9743-DA44-BECB-65DC68F20518}</author>
    <author>tc={67DBF3A5-EF3F-E74D-9BFD-7308F3FF7815}</author>
    <author>tc={8C21754B-3B6F-8B48-A1C9-77B998CBCBA7}</author>
    <author>tc={594AEBC4-57AA-EA4A-A0AF-516FF16836E1}</author>
    <author>tc={A075B7A1-1DFA-E44F-A5C7-770E4371600C}</author>
    <author>tc={1CB5F688-9F3D-2B4C-969F-FD3717EB8FD8}</author>
    <author>tc={562DFBE1-9199-EC4E-90F5-E04BD365561D}</author>
    <author>tc={54460EB4-1F49-E849-B219-D4BF19D9D3FD}</author>
    <author>tc={4D691C06-290F-4947-BE18-B3E1364DCCBD}</author>
    <author>tc={6550C880-AC6F-5B4E-8B23-65D26E700E1F}</author>
    <author>tc={C2536F16-F2DE-8F4F-BB65-A8AB2E2E2697}</author>
    <author>tc={89CA6514-8E92-9A4E-9722-A9042A97749B}</author>
    <author>tc={CFD3F827-3F69-E840-8E38-F1FEF1F1040F}</author>
    <author>tc={37A8334E-D977-3C46-8838-5BF16D56AC2A}</author>
    <author>tc={51130B5A-FD51-9E42-9C81-A096997EC669}</author>
    <author>tc={09B3184F-014B-1844-92D7-C0AC124BAC74}</author>
    <author>tc={088215D8-F7DA-484F-B5A1-73C32F4930D2}</author>
    <author>tc={6B875922-685F-F048-8283-C6799042BE22}</author>
    <author>tc={D3720765-F3CA-9B48-94D1-C4B970122319}</author>
    <author>tc={27083A64-96C7-3D4C-B434-9C03C4CBB929}</author>
    <author>tc={F350F39E-1DA3-0242-8CE9-0C4E8A3A18F7}</author>
    <author>tc={EB52C2F6-D4D9-E04E-923E-6DC1B2AE9A51}</author>
    <author>tc={5751B47F-9C95-8448-A04E-1A8C9E22515F}</author>
    <author>tc={9746BF8F-B8F7-2D41-B5DF-ADC3B7775928}</author>
    <author>tc={1ACD72F6-1C1D-394E-83E5-5F672D160EAA}</author>
    <author>tc={9F67BFE0-B5AA-F146-959B-CA693E876899}</author>
    <author>tc={3620DAC1-8719-7948-B27A-D049735A6227}</author>
    <author>tc={C49E29ED-5311-1A46-BC3C-584809EACE64}</author>
    <author>tc={82F402B2-7508-6C4A-96BC-0F4A0164C077}</author>
  </authors>
  <commentList>
    <comment ref="B4" authorId="0" shapeId="0" xr:uid="{CFDA4981-BAC5-3D4F-921A-CD2CD50EC7AC}">
      <text>
        <t>[Threaded comment]
Your version of Excel allows you to read this threaded comment; however, any edits to it will get removed if the file is opened in a newer version of Excel. Learn more: https://go.microsoft.com/fwlink/?linkid=870924
Comment:
    TAXI</t>
      </text>
    </comment>
    <comment ref="B7" authorId="1" shapeId="0" xr:uid="{C6F15E30-59C2-9341-9134-6334AFD31B68}">
      <text>
        <t>[Threaded comment]
Your version of Excel allows you to read this threaded comment; however, any edits to it will get removed if the file is opened in a newer version of Excel. Learn more: https://go.microsoft.com/fwlink/?linkid=870924
Comment:
    TAXI</t>
      </text>
    </comment>
    <comment ref="B13" authorId="2" shapeId="0" xr:uid="{21A7698B-3FDE-6146-BC23-494E6D47B017}">
      <text>
        <t>[Threaded comment]
Your version of Excel allows you to read this threaded comment; however, any edits to it will get removed if the file is opened in a newer version of Excel. Learn more: https://go.microsoft.com/fwlink/?linkid=870924
Comment:
    TAXi</t>
      </text>
    </comment>
    <comment ref="B18" authorId="3" shapeId="0" xr:uid="{69AC492C-82A2-C24E-A32B-9199905120AC}">
      <text>
        <t>[Threaded comment]
Your version of Excel allows you to read this threaded comment; however, any edits to it will get removed if the file is opened in a newer version of Excel. Learn more: https://go.microsoft.com/fwlink/?linkid=870924
Comment:
    ДР САНИ</t>
      </text>
    </comment>
    <comment ref="B19" authorId="4" shapeId="0" xr:uid="{97B33400-2630-3047-B119-8751BBDE986E}">
      <text>
        <t>[Threaded comment]
Your version of Excel allows you to read this threaded comment; however, any edits to it will get removed if the file is opened in a newer version of Excel. Learn more: https://go.microsoft.com/fwlink/?linkid=870924
Comment:
    600 за мою и данину, 450 гусейну</t>
      </text>
    </comment>
    <comment ref="B20" authorId="5" shapeId="0" xr:uid="{F474A684-3C84-7A46-A4D5-78FDEC267A24}">
      <text>
        <t>[Threaded comment]
Your version of Excel allows you to read this threaded comment; however, any edits to it will get removed if the file is opened in a newer version of Excel. Learn more: https://go.microsoft.com/fwlink/?linkid=870924
Comment:
    TAXI</t>
      </text>
    </comment>
    <comment ref="B25" authorId="6" shapeId="0" xr:uid="{3F6C56C1-D151-8944-BEDF-04B542019CE9}">
      <text>
        <t>[Threaded comment]
Your version of Excel allows you to read this threaded comment; however, any edits to it will get removed if the file is opened in a newer version of Excel. Learn more: https://go.microsoft.com/fwlink/?linkid=870924
Comment:
    Tele 2</t>
      </text>
    </comment>
    <comment ref="B30" authorId="7" shapeId="0" xr:uid="{13ACB9FA-C115-1F4F-82C7-0992AC92AD9D}">
      <text>
        <t>[Threaded comment]
Your version of Excel allows you to read this threaded comment; however, any edits to it will get removed if the file is opened in a newer version of Excel. Learn more: https://go.microsoft.com/fwlink/?linkid=870924
Comment:
    TICKETS S7 in WOLGOGRAD UND ZURÜCK</t>
      </text>
    </comment>
    <comment ref="B31" authorId="8" shapeId="0" xr:uid="{584095EA-AF71-034C-BB3E-B883377B5A4B}">
      <text>
        <t>[Threaded comment]
Your version of Excel allows you to read this threaded comment; however, any edits to it will get removed if the file is opened in a newer version of Excel. Learn more: https://go.microsoft.com/fwlink/?linkid=870924
Comment:
    AEROEXPRESS</t>
      </text>
    </comment>
    <comment ref="B32" authorId="9" shapeId="0" xr:uid="{6E2A31D1-63FD-6941-9B67-B5A591E3598D}">
      <text>
        <t>[Threaded comment]
Your version of Excel allows you to read this threaded comment; however, any edits to it will get removed if the file is opened in a newer version of Excel. Learn more: https://go.microsoft.com/fwlink/?linkid=870924
Comment:
    USBECHKA</t>
      </text>
    </comment>
    <comment ref="B34" authorId="10" shapeId="0" xr:uid="{63ECF4EF-128C-C84E-A2C5-5DD4F689CC2C}">
      <text>
        <t>[Threaded comment]
Your version of Excel allows you to read this threaded comment; however, any edits to it will get removed if the file is opened in a newer version of Excel. Learn more: https://go.microsoft.com/fwlink/?linkid=870924
Comment:
    PIZZA IN HOOKAH</t>
      </text>
    </comment>
    <comment ref="B35" authorId="11" shapeId="0" xr:uid="{08C5C4D0-D10B-0C4C-978B-E545ACEA1CDE}">
      <text>
        <t>[Threaded comment]
Your version of Excel allows you to read this threaded comment; however, any edits to it will get removed if the file is opened in a newer version of Excel. Learn more: https://go.microsoft.com/fwlink/?linkid=870924
Comment:
    SCHOKOLADNIZA MIT ANNA</t>
      </text>
    </comment>
    <comment ref="B38" authorId="12" shapeId="0" xr:uid="{75D9ED90-0201-3542-9789-EA4AABBAA217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internet</t>
      </text>
    </comment>
    <comment ref="B39" authorId="13" shapeId="0" xr:uid="{CA4258A2-4703-5D46-9E68-6CE0683A3A9E}">
      <text>
        <t>[Threaded comment]
Your version of Excel allows you to read this threaded comment; however, any edits to it will get removed if the file is opened in a newer version of Excel. Learn more: https://go.microsoft.com/fwlink/?linkid=870924
Comment:
    in aeroexpress</t>
      </text>
    </comment>
    <comment ref="B40" authorId="14" shapeId="0" xr:uid="{CB8D3A6E-5942-6947-8FB8-EF7D4B6EF567}">
      <text>
        <t>[Threaded comment]
Your version of Excel allows you to read this threaded comment; however, any edits to it will get removed if the file is opened in a newer version of Excel. Learn more: https://go.microsoft.com/fwlink/?linkid=870924
Comment:
    TAXI AUS LUFTHAFEN</t>
      </text>
    </comment>
    <comment ref="B43" authorId="15" shapeId="0" xr:uid="{ABAA49E5-F503-C04B-B534-5850338F1CF0}">
      <text>
        <t>[Threaded comment]
Your version of Excel allows you to read this threaded comment; however, any edits to it will get removed if the file is opened in a newer version of Excel. Learn more: https://go.microsoft.com/fwlink/?linkid=870924
Comment:
    IN HOOKAH MIT VLG UND IGUL</t>
      </text>
    </comment>
    <comment ref="B45" authorId="16" shapeId="0" xr:uid="{57E1293A-7B24-0548-A42A-ED6028923CB4}">
      <text>
        <t>[Threaded comment]
Your version of Excel allows you to read this threaded comment; however, any edits to it will get removed if the file is opened in a newer version of Excel. Learn more: https://go.microsoft.com/fwlink/?linkid=870924
Comment:
    U-BAHN zum Lufthaffen</t>
      </text>
    </comment>
    <comment ref="B46" authorId="17" shapeId="0" xr:uid="{FADA3FC3-5615-5F4C-9670-16FF1EA7A346}">
      <text>
        <t>[Threaded comment]
Your version of Excel allows you to read this threaded comment; however, any edits to it will get removed if the file is opened in a newer version of Excel. Learn more: https://go.microsoft.com/fwlink/?linkid=870924
Comment:
    TICKETS ZU LECHA</t>
      </text>
    </comment>
    <comment ref="B50" authorId="18" shapeId="0" xr:uid="{6442E0A3-11E4-1C4C-9E99-B3EBD4D4D850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Apple</t>
      </text>
    </comment>
    <comment ref="B51" authorId="19" shapeId="0" xr:uid="{2613B02C-1F9B-D749-9A85-1FB848D9B7D7}">
      <text>
        <t>[Threaded comment]
Your version of Excel allows you to read this threaded comment; however, any edits to it will get removed if the file is opened in a newer version of Excel. Learn more: https://go.microsoft.com/fwlink/?linkid=870924
Comment:
    Gläse für mein Iphone</t>
      </text>
    </comment>
    <comment ref="B64" authorId="20" shapeId="0" xr:uid="{4E98FE72-7BAB-3443-8947-116981D18E04}">
      <text>
        <t>[Threaded comment]
Your version of Excel allows you to read this threaded comment; however, any edits to it will get removed if the file is opened in a newer version of Excel. Learn more: https://go.microsoft.com/fwlink/?linkid=870924
Comment:
    SCHEISSE SBER BENACHRICHTINGUNGEN</t>
      </text>
    </comment>
    <comment ref="B66" authorId="21" shapeId="0" xr:uid="{5B87172F-4997-E640-B9B1-D9AADF9C6A01}">
      <text>
        <t>[Threaded comment]
Your version of Excel allows you to read this threaded comment; however, any edits to it will get removed if the file is opened in a newer version of Excel. Learn more: https://go.microsoft.com/fwlink/?linkid=870924
Comment:
    LICHT In WG</t>
      </text>
    </comment>
    <comment ref="B71" authorId="22" shapeId="0" xr:uid="{8D3C771B-B7CB-7C4E-B029-CA698B1EAEC4}">
      <text>
        <t>[Threaded comment]
Your version of Excel allows you to read this threaded comment; however, any edits to it will get removed if the file is opened in a newer version of Excel. Learn more: https://go.microsoft.com/fwlink/?linkid=870924
Comment:
    MIETTE FUR WG</t>
      </text>
    </comment>
    <comment ref="B95" authorId="23" shapeId="0" xr:uid="{296879F6-BB78-9843-A042-5AA63DF86CF7}">
      <text>
        <t>[Threaded comment]
Your version of Excel allows you to read this threaded comment; however, any edits to it will get removed if the file is opened in a newer version of Excel. Learn more: https://go.microsoft.com/fwlink/?linkid=870924
Comment:
    1500 ивану за кальянку и 450 я был должен за предыдущую неделю + 150 за таксу</t>
      </text>
    </comment>
    <comment ref="B96" authorId="24" shapeId="0" xr:uid="{7AD40F2E-8B28-4E44-8C51-4773CB541061}">
      <text>
        <t>[Threaded comment]
Your version of Excel allows you to read this threaded comment; however, any edits to it will get removed if the file is opened in a newer version of Excel. Learn more: https://go.microsoft.com/fwlink/?linkid=870924
Comment:
    от эмина за предыдущий день</t>
      </text>
    </comment>
    <comment ref="B97" authorId="25" shapeId="0" xr:uid="{3960EA77-0C78-7445-9D84-81DE56E641FF}">
      <text>
        <t>[Threaded comment]
Your version of Excel allows you to read this threaded comment; however, any edits to it will get removed if the file is opened in a newer version of Excel. Learn more: https://go.microsoft.com/fwlink/?linkid=870924
Comment:
    Taxi in universitet</t>
      </text>
    </comment>
    <comment ref="B100" authorId="26" shapeId="0" xr:uid="{7FF53CF0-154B-6E43-BC25-63FC195F31B3}">
      <text>
        <t>[Threaded comment]
Your version of Excel allows you to read this threaded comment; however, any edits to it will get removed if the file is opened in a newer version of Excel. Learn more: https://go.microsoft.com/fwlink/?linkid=870924
Comment:
    Tele 2</t>
      </text>
    </comment>
    <comment ref="B102" authorId="27" shapeId="0" xr:uid="{EC11F5BD-1034-D54B-8BD7-3E38D090F6EE}">
      <text>
        <t>[Threaded comment]
Your version of Excel allows you to read this threaded comment; however, any edits to it will get removed if the file is opened in a newer version of Excel. Learn more: https://go.microsoft.com/fwlink/?linkid=870924
Comment:
    Алкашка с кальянкой</t>
      </text>
    </comment>
    <comment ref="B106" authorId="28" shapeId="0" xr:uid="{7B2CE49A-4740-974B-B868-B6BE03B12C56}">
      <text>
        <t>[Threaded comment]
Your version of Excel allows you to read this threaded comment; however, any edits to it will get removed if the file is opened in a newer version of Excel. Learn more: https://go.microsoft.com/fwlink/?linkid=870924
Comment:
    Перевод от девчонок  за калю</t>
      </text>
    </comment>
    <comment ref="B109" authorId="29" shapeId="0" xr:uid="{69CD7CBD-E715-7346-A0AE-A1A66E72654C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Apple ICloud</t>
      </text>
    </comment>
    <comment ref="B110" authorId="30" shapeId="0" xr:uid="{7BA45916-0B3C-A34E-9990-2BF890DA2ABF}">
      <text>
        <t>[Threaded comment]
Your version of Excel allows you to read this threaded comment; however, any edits to it will get removed if the file is opened in a newer version of Excel. Learn more: https://go.microsoft.com/fwlink/?linkid=870924
Comment:
    Mittagessen zu Arbeit</t>
      </text>
    </comment>
    <comment ref="B112" authorId="31" shapeId="0" xr:uid="{88F86604-F8AF-2F4E-8C3B-8BC8E1C06BB6}">
      <text>
        <t>[Threaded comment]
Your version of Excel allows you to read this threaded comment; however, any edits to it will get removed if the file is opened in a newer version of Excel. Learn more: https://go.microsoft.com/fwlink/?linkid=870924
Comment:
    Buch</t>
      </text>
    </comment>
    <comment ref="B114" authorId="32" shapeId="0" xr:uid="{C2CF96CF-7376-6D40-8FD0-8469787348A9}">
      <text>
        <t>[Threaded comment]
Your version of Excel allows you to read this threaded comment; however, any edits to it will get removed if the file is opened in a newer version of Excel. Learn more: https://go.microsoft.com/fwlink/?linkid=870924
Comment:
    black born</t>
      </text>
    </comment>
    <comment ref="B120" authorId="33" shapeId="0" xr:uid="{502DE55E-8F42-6941-BECB-6F628511D0D9}">
      <text>
        <t>[Threaded comment]
Your version of Excel allows you to read this threaded comment; however, any edits to it will get removed if the file is opened in a newer version of Excel. Learn more: https://go.microsoft.com/fwlink/?linkid=870924
Comment:
    Tickets in VLG</t>
      </text>
    </comment>
    <comment ref="B121" authorId="34" shapeId="0" xr:uid="{C157B7F0-7F81-FB48-814E-886AC419AC4C}">
      <text>
        <t>[Threaded comment]
Your version of Excel allows you to read this threaded comment; however, any edits to it will get removed if the file is opened in a newer version of Excel. Learn more: https://go.microsoft.com/fwlink/?linkid=870924
Comment:
    Kino+ schaichana</t>
      </text>
    </comment>
    <comment ref="B122" authorId="35" shapeId="0" xr:uid="{9A93EAAB-7F12-C44C-8C3E-75DD645821C1}">
      <text>
        <t>[Threaded comment]
Your version of Excel allows you to read this threaded comment; however, any edits to it will get removed if the file is opened in a newer version of Excel. Learn more: https://go.microsoft.com/fwlink/?linkid=870924
Comment:
    Geschenk for Dimas</t>
      </text>
    </comment>
    <comment ref="B123" authorId="36" shapeId="0" xr:uid="{C67A4D54-0EAE-A947-89A1-21D3247F575F}">
      <text>
        <t>[Threaded comment]
Your version of Excel allows you to read this threaded comment; however, any edits to it will get removed if the file is opened in a newer version of Excel. Learn more: https://go.microsoft.com/fwlink/?linkid=870924
Comment:
    bus + monatliche ticket</t>
      </text>
    </comment>
    <comment ref="B126" authorId="37" shapeId="0" xr:uid="{968A20CA-9743-DA44-BECB-65DC68F20518}">
      <text>
        <t>[Threaded comment]
Your version of Excel allows you to read this threaded comment; however, any edits to it will get removed if the file is opened in a newer version of Excel. Learn more: https://go.microsoft.com/fwlink/?linkid=870924
Comment:
    von anna</t>
      </text>
    </comment>
    <comment ref="B127" authorId="38" shapeId="0" xr:uid="{67DBF3A5-EF3F-E74D-9BFD-7308F3FF7815}">
      <text>
        <t>[Threaded comment]
Your version of Excel allows you to read this threaded comment; however, any edits to it will get removed if the file is opened in a newer version of Excel. Learn more: https://go.microsoft.com/fwlink/?linkid=870924
Comment:
    fitness</t>
      </text>
    </comment>
    <comment ref="B137" authorId="39" shapeId="0" xr:uid="{8C21754B-3B6F-8B48-A1C9-77B998CBCBA7}">
      <text>
        <t>[Threaded comment]
Your version of Excel allows you to read this threaded comment; however, any edits to it will get removed if the file is opened in a newer version of Excel. Learn more: https://go.microsoft.com/fwlink/?linkid=870924
Comment:
    sber online</t>
      </text>
    </comment>
    <comment ref="B138" authorId="40" shapeId="0" xr:uid="{594AEBC4-57AA-EA4A-A0AF-516FF16836E1}">
      <text>
        <t>[Threaded comment]
Your version of Excel allows you to read this threaded comment; however, any edits to it will get removed if the file is opened in a newer version of Excel. Learn more: https://go.microsoft.com/fwlink/?linkid=870924
Comment:
    skyeng</t>
      </text>
    </comment>
    <comment ref="B142" authorId="41" shapeId="0" xr:uid="{A075B7A1-1DFA-E44F-A5C7-770E4371600C}">
      <text>
        <t>[Threaded comment]
Your version of Excel allows you to read this threaded comment; however, any edits to it will get removed if the file is opened in a newer version of Excel. Learn more: https://go.microsoft.com/fwlink/?linkid=870924
Comment:
    За фому</t>
      </text>
    </comment>
    <comment ref="B145" authorId="42" shapeId="0" xr:uid="{1CB5F688-9F3D-2B4C-969F-FD3717EB8FD8}">
      <text>
        <t>[Threaded comment]
Your version of Excel allows you to read this threaded comment; however, any edits to it will get removed if the file is opened in a newer version of Excel. Learn more: https://go.microsoft.com/fwlink/?linkid=870924
Comment:
    скай енг</t>
      </text>
    </comment>
    <comment ref="B148" authorId="43" shapeId="0" xr:uid="{562DFBE1-9199-EC4E-90F5-E04BD365561D}">
      <text>
        <t>[Threaded comment]
Your version of Excel allows you to read this threaded comment; however, any edits to it will get removed if the file is opened in a newer version of Excel. Learn more: https://go.microsoft.com/fwlink/?linkid=870924
Comment:
    все остальное</t>
      </text>
    </comment>
    <comment ref="B149" authorId="44" shapeId="0" xr:uid="{54460EB4-1F49-E849-B219-D4BF19D9D3FD}">
      <text>
        <t>[Threaded comment]
Your version of Excel allows you to read this threaded comment; however, any edits to it will get removed if the file is opened in a newer version of Excel. Learn more: https://go.microsoft.com/fwlink/?linkid=870924
Comment:
    котлетки</t>
      </text>
    </comment>
    <comment ref="B155" authorId="45" shapeId="0" xr:uid="{4D691C06-290F-4947-BE18-B3E1364DCCBD}">
      <text>
        <t>[Threaded comment]
Your version of Excel allows you to read this threaded comment; however, any edits to it will get removed if the file is opened in a newer version of Excel. Learn more: https://go.microsoft.com/fwlink/?linkid=870924
Comment:
    Налог на имущество с пенни</t>
      </text>
    </comment>
    <comment ref="B173" authorId="46" shapeId="0" xr:uid="{6550C880-AC6F-5B4E-8B23-65D26E700E1F}">
      <text>
        <t>[Threaded comment]
Your version of Excel allows you to read this threaded comment; however, any edits to it will get removed if the file is opened in a newer version of Excel. Learn more: https://go.microsoft.com/fwlink/?linkid=870924
Comment:
    Ботинки</t>
      </text>
    </comment>
    <comment ref="B174" authorId="47" shapeId="0" xr:uid="{C2536F16-F2DE-8F4F-BB65-A8AB2E2E2697}">
      <text>
        <t>[Threaded comment]
Your version of Excel allows you to read this threaded comment; however, any edits to it will get removed if the file is opened in a newer version of Excel. Learn more: https://go.microsoft.com/fwlink/?linkid=870924
Comment:
    ДР фомы</t>
      </text>
    </comment>
    <comment ref="B179" authorId="48" shapeId="0" xr:uid="{89CA6514-8E92-9A4E-9722-A9042A97749B}">
      <text>
        <t>[Threaded comment]
Your version of Excel allows you to read this threaded comment; however, any edits to it will get removed if the file is opened in a newer version of Excel. Learn more: https://go.microsoft.com/fwlink/?linkid=870924
Comment:
    Связь</t>
      </text>
    </comment>
    <comment ref="B184" authorId="49" shapeId="0" xr:uid="{CFD3F827-3F69-E840-8E38-F1FEF1F1040F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internet</t>
      </text>
    </comment>
    <comment ref="B190" authorId="50" shapeId="0" xr:uid="{37A8334E-D977-3C46-8838-5BF16D56AC2A}">
      <text>
        <t>[Threaded comment]
Your version of Excel allows you to read this threaded comment; however, any edits to it will get removed if the file is opened in a newer version of Excel. Learn more: https://go.microsoft.com/fwlink/?linkid=870924
Comment:
    ticket in club for Anna</t>
      </text>
    </comment>
    <comment ref="B191" authorId="51" shapeId="0" xr:uid="{51130B5A-FD51-9E42-9C81-A096997EC669}">
      <text>
        <t>[Threaded comment]
Your version of Excel allows you to read this threaded comment; however, any edits to it will get removed if the file is opened in a newer version of Excel. Learn more: https://go.microsoft.com/fwlink/?linkid=870924
Comment:
    taxi for Anna</t>
      </text>
    </comment>
    <comment ref="B192" authorId="52" shapeId="0" xr:uid="{09B3184F-014B-1844-92D7-C0AC124BAC74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apple</t>
      </text>
    </comment>
    <comment ref="B201" authorId="53" shapeId="0" xr:uid="{088215D8-F7DA-484F-B5A1-73C32F4930D2}">
      <text>
        <t>[Threaded comment]
Your version of Excel allows you to read this threaded comment; however, any edits to it will get removed if the file is opened in a newer version of Excel. Learn more: https://go.microsoft.com/fwlink/?linkid=870924
Comment:
    подарок родителям</t>
      </text>
    </comment>
    <comment ref="B214" authorId="54" shapeId="0" xr:uid="{6B875922-685F-F048-8283-C6799042BE22}">
      <text>
        <t>[Threaded comment]
Your version of Excel allows you to read this threaded comment; however, any edits to it will get removed if the file is opened in a newer version of Excel. Learn more: https://go.microsoft.com/fwlink/?linkid=870924
Comment:
    caffe in airport</t>
      </text>
    </comment>
    <comment ref="B215" authorId="55" shapeId="0" xr:uid="{D3720765-F3CA-9B48-94D1-C4B970122319}">
      <text>
        <t>[Threaded comment]
Your version of Excel allows you to read this threaded comment; however, any edits to it will get removed if the file is opened in a newer version of Excel. Learn more: https://go.microsoft.com/fwlink/?linkid=870924
Comment:
    wash</t>
      </text>
    </comment>
    <comment ref="B236" authorId="56" shapeId="0" xr:uid="{27083A64-96C7-3D4C-B434-9C03C4CBB929}">
      <text>
        <t>[Threaded comment]
Your version of Excel allows you to read this threaded comment; however, any edits to it will get removed if the file is opened in a newer version of Excel. Learn more: https://go.microsoft.com/fwlink/?linkid=870924
Comment:
    Такси в уник, с Сани 200 за обе поездки</t>
      </text>
    </comment>
    <comment ref="B252" authorId="57" shapeId="0" xr:uid="{F350F39E-1DA3-0242-8CE9-0C4E8A3A18F7}">
      <text>
        <t>[Threaded comment]
Your version of Excel allows you to read this threaded comment; however, any edits to it will get removed if the file is opened in a newer version of Excel. Learn more: https://go.microsoft.com/fwlink/?linkid=870924
Comment:
    Стрижка</t>
      </text>
    </comment>
    <comment ref="B253" authorId="58" shapeId="0" xr:uid="{EB52C2F6-D4D9-E04E-923E-6DC1B2AE9A51}">
      <text>
        <t>[Threaded comment]
Your version of Excel allows you to read this threaded comment; however, any edits to it will get removed if the file is opened in a newer version of Excel. Learn more: https://go.microsoft.com/fwlink/?linkid=870924
Comment:
    Ногти</t>
      </text>
    </comment>
    <comment ref="B259" authorId="59" shapeId="0" xr:uid="{5751B47F-9C95-8448-A04E-1A8C9E22515F}">
      <text>
        <t>[Threaded comment]
Your version of Excel allows you to read this threaded comment; however, any edits to it will get removed if the file is opened in a newer version of Excel. Learn more: https://go.microsoft.com/fwlink/?linkid=870924
Comment:
    Tele2</t>
      </text>
    </comment>
    <comment ref="B262" authorId="60" shapeId="0" xr:uid="{9746BF8F-B8F7-2D41-B5DF-ADC3B7775928}">
      <text>
        <t>[Threaded comment]
Your version of Excel allows you to read this threaded comment; however, any edits to it will get removed if the file is opened in a newer version of Excel. Learn more: https://go.microsoft.com/fwlink/?linkid=870924
Comment:
    Flower for my grandma</t>
      </text>
    </comment>
    <comment ref="B265" authorId="61" shapeId="0" xr:uid="{1ACD72F6-1C1D-394E-83E5-5F672D160EAA}">
      <text>
        <t>[Threaded comment]
Your version of Excel allows you to read this threaded comment; however, any edits to it will get removed if the file is opened in a newer version of Excel. Learn more: https://go.microsoft.com/fwlink/?linkid=870924
Comment:
    pizza for me and Alexandr</t>
      </text>
    </comment>
    <comment ref="B266" authorId="62" shapeId="0" xr:uid="{9F67BFE0-B5AA-F146-959B-CA693E876899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Internet</t>
      </text>
    </comment>
    <comment ref="B268" authorId="63" shapeId="0" xr:uid="{3620DAC1-8719-7948-B27A-D049735A6227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Alexandr</t>
      </text>
    </comment>
    <comment ref="B269" authorId="64" shapeId="0" xr:uid="{C49E29ED-5311-1A46-BC3C-584809EACE64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apple</t>
      </text>
    </comment>
    <comment ref="B318" authorId="65" shapeId="0" xr:uid="{82F402B2-7508-6C4A-96BC-0F4A0164C077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mutti</t>
      </text>
    </comment>
  </commentList>
</comments>
</file>

<file path=xl/sharedStrings.xml><?xml version="1.0" encoding="utf-8"?>
<sst xmlns="http://schemas.openxmlformats.org/spreadsheetml/2006/main" count="339" uniqueCount="36">
  <si>
    <t>education</t>
  </si>
  <si>
    <t>For me</t>
  </si>
  <si>
    <t>VM</t>
  </si>
  <si>
    <t>Kleidung</t>
  </si>
  <si>
    <t>kleidung</t>
  </si>
  <si>
    <t>MEIN GELD</t>
  </si>
  <si>
    <t>Frauen</t>
  </si>
  <si>
    <t>Party</t>
  </si>
  <si>
    <t>Andere</t>
  </si>
  <si>
    <t>LM</t>
  </si>
  <si>
    <t>Rauchen</t>
  </si>
  <si>
    <t>vm</t>
  </si>
  <si>
    <t>Education</t>
  </si>
  <si>
    <t>GEHALT</t>
  </si>
  <si>
    <t>for me</t>
  </si>
  <si>
    <t>UNTER</t>
  </si>
  <si>
    <t>MEINES GELD</t>
  </si>
  <si>
    <t>VON MUTTI</t>
  </si>
  <si>
    <t>Von Gusein</t>
  </si>
  <si>
    <t>VON VATTER</t>
  </si>
  <si>
    <t>VON ANNA</t>
  </si>
  <si>
    <t>VON LECHA</t>
  </si>
  <si>
    <t>VON FOMA</t>
  </si>
  <si>
    <t>VON MUTTER</t>
  </si>
  <si>
    <t>VON ALEXANDR</t>
  </si>
  <si>
    <t>ZU ALEXANDR</t>
  </si>
  <si>
    <t>none</t>
  </si>
  <si>
    <t>refill</t>
  </si>
  <si>
    <t>Date</t>
  </si>
  <si>
    <t>Category</t>
  </si>
  <si>
    <t>Sber Income</t>
  </si>
  <si>
    <t>Alfa Income</t>
  </si>
  <si>
    <t>Sber Outcome2</t>
  </si>
  <si>
    <t>Alfa Outcome</t>
  </si>
  <si>
    <t>Tinkoff Income</t>
  </si>
  <si>
    <t>Tinkoff 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</si>
</sst>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theme="0"/>
      <name val="Arial"/>
      <family val="2"/>
    </font>
    <font>
      <b/>
      <sz val="12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1" fillId="2" borderId="12" xfId="0" applyNumberFormat="1" applyFont="1" applyFill="1" applyBorder="1" applyAlignment="1">
      <alignment vertical="center"/>
    </xf>
    <xf numFmtId="14" fontId="1" fillId="2" borderId="1" xfId="0" applyNumberFormat="1" applyFont="1" applyFill="1" applyBorder="1"/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0" xfId="0" applyFill="1"/>
    <xf numFmtId="0" fontId="1" fillId="2" borderId="2" xfId="0" applyFont="1" applyFill="1" applyBorder="1" applyAlignment="1">
      <alignment horizontal="center"/>
    </xf>
    <xf numFmtId="14" fontId="1" fillId="2" borderId="4" xfId="0" applyNumberFormat="1" applyFont="1" applyFill="1" applyBorder="1"/>
    <xf numFmtId="14" fontId="1" fillId="2" borderId="5" xfId="0" applyNumberFormat="1" applyFont="1" applyFill="1" applyBorder="1"/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14" fontId="1" fillId="2" borderId="13" xfId="0" applyNumberFormat="1" applyFont="1" applyFill="1" applyBorder="1" applyAlignment="1">
      <alignment vertical="center"/>
    </xf>
    <xf numFmtId="14" fontId="1" fillId="2" borderId="3" xfId="0" applyNumberFormat="1" applyFont="1" applyFill="1" applyBorder="1"/>
    <xf numFmtId="14" fontId="1" fillId="2" borderId="6" xfId="0" applyNumberFormat="1" applyFont="1" applyFill="1" applyBorder="1"/>
    <xf numFmtId="14" fontId="1" fillId="2" borderId="7" xfId="0" applyNumberFormat="1" applyFont="1" applyFill="1" applyBorder="1"/>
    <xf numFmtId="14" fontId="1" fillId="2" borderId="8" xfId="0" applyNumberFormat="1" applyFont="1" applyFill="1" applyBorder="1"/>
    <xf numFmtId="0" fontId="1" fillId="2" borderId="9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4" fontId="2" fillId="2" borderId="3" xfId="0" applyNumberFormat="1" applyFont="1" applyFill="1" applyBorder="1"/>
    <xf numFmtId="14" fontId="1" fillId="3" borderId="11" xfId="0" applyNumberFormat="1" applyFont="1" applyFill="1" applyBorder="1"/>
    <xf numFmtId="0" fontId="1" fillId="3" borderId="1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14" fontId="1" fillId="2" borderId="11" xfId="0" applyNumberFormat="1" applyFont="1" applyFill="1" applyBorder="1"/>
    <xf numFmtId="0" fontId="1" fillId="2" borderId="1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14" fontId="1" fillId="4" borderId="12" xfId="0" applyNumberFormat="1" applyFont="1" applyFill="1" applyBorder="1" applyAlignment="1">
      <alignment vertical="center"/>
    </xf>
    <xf numFmtId="14" fontId="1" fillId="4" borderId="1" xfId="0" applyNumberFormat="1" applyFont="1" applyFill="1" applyBorder="1"/>
    <xf numFmtId="0" fontId="1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14" fontId="2" fillId="2" borderId="6" xfId="0" applyNumberFormat="1" applyFont="1" applyFill="1" applyBorder="1"/>
    <xf numFmtId="14" fontId="2" fillId="2" borderId="5" xfId="0" applyNumberFormat="1" applyFont="1" applyFill="1" applyBorder="1"/>
  </cellXfs>
  <cellStyles count="1">
    <cellStyle name="Normal" xfId="0" builtinId="0"/>
  </cellStyles>
  <dxfs count="19">
    <dxf>
      <fill>
        <gradientFill degree="90">
          <stop position="0">
            <color rgb="FF99FF66"/>
          </stop>
          <stop position="0.5">
            <color rgb="FF00B050"/>
          </stop>
          <stop position="1">
            <color rgb="FF99FF66"/>
          </stop>
        </gradientFill>
      </fill>
    </dxf>
    <dxf>
      <fill>
        <gradientFill degree="90">
          <stop position="0">
            <color rgb="FFFFC000"/>
          </stop>
          <stop position="0.5">
            <color rgb="FFFFFF00"/>
          </stop>
          <stop position="1">
            <color rgb="FFFFC000"/>
          </stop>
        </gradientFill>
      </fill>
    </dxf>
    <dxf>
      <font>
        <color theme="0"/>
      </font>
      <fill>
        <gradientFill degree="90">
          <stop position="0">
            <color theme="0" tint="-0.1490218817712943"/>
          </stop>
          <stop position="0.5">
            <color theme="1" tint="0.25098422193060094"/>
          </stop>
          <stop position="1">
            <color theme="0" tint="-0.1490218817712943"/>
          </stop>
        </gradientFill>
      </fill>
    </dxf>
    <dxf>
      <font>
        <color theme="0"/>
      </font>
      <fill>
        <gradientFill degree="90">
          <stop position="0">
            <color theme="8" tint="0.40000610370189521"/>
          </stop>
          <stop position="0.5">
            <color rgb="FF002060"/>
          </stop>
          <stop position="1">
            <color theme="8" tint="0.40000610370189521"/>
          </stop>
        </gradientFill>
      </fill>
    </dxf>
    <dxf>
      <fill>
        <gradientFill degree="90">
          <stop position="0">
            <color rgb="FFF40CD8"/>
          </stop>
          <stop position="0.5">
            <color rgb="FF7030A0"/>
          </stop>
          <stop position="1">
            <color rgb="FFF40CD8"/>
          </stop>
        </gradientFill>
      </fill>
    </dxf>
    <dxf>
      <fill>
        <gradientFill degree="90">
          <stop position="0">
            <color rgb="FFFDA5F7"/>
          </stop>
          <stop position="0.5">
            <color rgb="FFF862E6"/>
          </stop>
          <stop position="1">
            <color rgb="FFFDA5F7"/>
          </stop>
        </gradientFill>
      </fill>
    </dxf>
    <dxf>
      <fill>
        <gradientFill degree="90">
          <stop position="0">
            <color theme="0" tint="-0.1490218817712943"/>
          </stop>
          <stop position="0.5">
            <color theme="0" tint="-0.34900967436750391"/>
          </stop>
          <stop position="1">
            <color theme="0" tint="-0.1490218817712943"/>
          </stop>
        </gradient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dd/mm/yyyy"/>
      <fill>
        <patternFill>
          <bgColor theme="0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indexed="64"/>
        </left>
      </border>
    </dxf>
    <dxf>
      <fill>
        <patternFill>
          <bgColor theme="0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fedormalugin/Desktop/Personal/BPS/BPS_F.xlsx" TargetMode="External"/><Relationship Id="rId1" Type="http://schemas.openxmlformats.org/officeDocument/2006/relationships/externalLinkPath" Target="/Users/fedormalugin/Desktop/Personal/BPS/BPS_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I 2021"/>
      <sheetName val="JULI 2021"/>
      <sheetName val="AUGUST 2021"/>
      <sheetName val="SEPTEMBER 2021"/>
      <sheetName val="OKTOBER 2021"/>
      <sheetName val="NOVEMBER 2021"/>
      <sheetName val="DECEMBER 2021"/>
      <sheetName val="Intelligent Tabel"/>
      <sheetName val="AUT 2021 DATA"/>
      <sheetName val="AUT 2021"/>
      <sheetName val="TotalCost PT"/>
      <sheetName val="TotalCosts IT"/>
      <sheetName val="Pivot Tabel"/>
      <sheetName val="FEBRUARY 2022"/>
      <sheetName val="MARCH 2022"/>
      <sheetName val="APRIL 2022 "/>
      <sheetName val="MAY 2022"/>
      <sheetName val="MAI  2021"/>
      <sheetName val="JUNE 2022"/>
      <sheetName val="JULY 2022"/>
      <sheetName val="AUGUST 2022"/>
      <sheetName val="dashboard_GRF"/>
      <sheetName val="SEPTEMBER 2022"/>
      <sheetName val="OCTOBER 2022"/>
      <sheetName val="NOVEMBER 2022"/>
      <sheetName val="rings"/>
      <sheetName val="DECEMBER 2022"/>
      <sheetName val="JANUARY 2023"/>
      <sheetName val="FEBRUARY 2023"/>
      <sheetName val="MARCH 2023"/>
      <sheetName val="APRIL 2023"/>
      <sheetName val="MAY 2023"/>
      <sheetName val="JUNE 2023"/>
      <sheetName val="JULY 2023"/>
      <sheetName val="AUGUST 2023"/>
      <sheetName val="SEPTEMBER 2023"/>
      <sheetName val="OCTOBER 2023"/>
      <sheetName val="NOVEMBER 2023"/>
      <sheetName val="DECEMBER 2023"/>
      <sheetName val="JAN 2024"/>
      <sheetName val="FEB 2024"/>
      <sheetName val="MAR 2024"/>
      <sheetName val="APR 2024"/>
      <sheetName val="MAY 2024"/>
      <sheetName val="JUN 2024"/>
      <sheetName val="JUL 2024"/>
      <sheetName val="AUG 2024"/>
      <sheetName val="SEP 2024"/>
      <sheetName val="OKT 2024"/>
      <sheetName val="NOV 2024"/>
      <sheetName val="DEC 2024"/>
      <sheetName val="JAN 2025"/>
      <sheetName val="FEB 2025"/>
      <sheetName val="MAR 2025"/>
      <sheetName val="APR 2025"/>
      <sheetName val="MAY 2025"/>
      <sheetName val="JUN 2025"/>
      <sheetName val="JUL 2025"/>
      <sheetName val="AUG 2025"/>
      <sheetName val="SEP 2025"/>
      <sheetName val="OKT 2025"/>
      <sheetName val="NOV 2025"/>
      <sheetName val="DEC 2025"/>
      <sheetName val="JAN 2026"/>
      <sheetName val="FEB 2026"/>
      <sheetName val="MAR 2026"/>
      <sheetName val="APR 2026"/>
      <sheetName val="MAY 2026"/>
      <sheetName val="JUN 2026"/>
      <sheetName val="JUL 2026"/>
      <sheetName val="AUG 2026"/>
      <sheetName val="SEP 2026"/>
      <sheetName val="OCT 2026"/>
      <sheetName val="dashbord"/>
      <sheetName val="NOV 2026"/>
      <sheetName val="DEC 2026"/>
      <sheetName val="CashMove"/>
      <sheetName val="Graph"/>
      <sheetName val="dashboard_GRF_SUPP"/>
      <sheetName val="JANUAR 2022"/>
      <sheetName val="decide for 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91">
          <cell r="A191">
            <v>44620</v>
          </cell>
          <cell r="B191" t="str">
            <v>Rauchen</v>
          </cell>
          <cell r="C191">
            <v>0</v>
          </cell>
          <cell r="D191">
            <v>160</v>
          </cell>
          <cell r="E191">
            <v>0</v>
          </cell>
          <cell r="F191">
            <v>0</v>
          </cell>
        </row>
        <row r="192">
          <cell r="A192">
            <v>44620</v>
          </cell>
          <cell r="B192" t="str">
            <v>LM</v>
          </cell>
          <cell r="C192">
            <v>0</v>
          </cell>
          <cell r="D192">
            <v>401</v>
          </cell>
          <cell r="E192">
            <v>0</v>
          </cell>
          <cell r="F192">
            <v>0</v>
          </cell>
        </row>
        <row r="193">
          <cell r="A193">
            <v>44620</v>
          </cell>
          <cell r="B193" t="str">
            <v>LM</v>
          </cell>
          <cell r="C193">
            <v>0</v>
          </cell>
          <cell r="D193">
            <v>117</v>
          </cell>
          <cell r="E193">
            <v>0</v>
          </cell>
          <cell r="F193">
            <v>0</v>
          </cell>
        </row>
        <row r="194">
          <cell r="A194">
            <v>44620</v>
          </cell>
          <cell r="B194" t="str">
            <v>none</v>
          </cell>
          <cell r="C194">
            <v>328.13</v>
          </cell>
          <cell r="D194">
            <v>0</v>
          </cell>
          <cell r="E194">
            <v>0</v>
          </cell>
          <cell r="F194">
            <v>0</v>
          </cell>
        </row>
        <row r="195">
          <cell r="A195">
            <v>44620</v>
          </cell>
          <cell r="B195" t="str">
            <v>none</v>
          </cell>
          <cell r="C195">
            <v>196.88</v>
          </cell>
          <cell r="D195">
            <v>0</v>
          </cell>
          <cell r="E195">
            <v>0</v>
          </cell>
          <cell r="F195">
            <v>0</v>
          </cell>
        </row>
      </sheetData>
      <sheetData sheetId="14">
        <row r="2">
          <cell r="A2">
            <v>44621</v>
          </cell>
          <cell r="B2" t="str">
            <v>Andere</v>
          </cell>
          <cell r="C2">
            <v>0</v>
          </cell>
          <cell r="D2">
            <v>510</v>
          </cell>
          <cell r="E2">
            <v>0</v>
          </cell>
          <cell r="F2">
            <v>0</v>
          </cell>
        </row>
        <row r="3">
          <cell r="A3">
            <v>44621</v>
          </cell>
          <cell r="B3" t="str">
            <v>Andere</v>
          </cell>
          <cell r="C3">
            <v>0</v>
          </cell>
          <cell r="D3">
            <v>59</v>
          </cell>
          <cell r="E3">
            <v>0</v>
          </cell>
          <cell r="F3">
            <v>0</v>
          </cell>
        </row>
        <row r="9">
          <cell r="A9">
            <v>44622</v>
          </cell>
          <cell r="B9" t="str">
            <v>LM</v>
          </cell>
          <cell r="C9">
            <v>0</v>
          </cell>
          <cell r="D9">
            <v>380</v>
          </cell>
          <cell r="E9">
            <v>0</v>
          </cell>
          <cell r="F9">
            <v>0</v>
          </cell>
        </row>
        <row r="10">
          <cell r="A10">
            <v>44622</v>
          </cell>
          <cell r="B10" t="str">
            <v>LM</v>
          </cell>
          <cell r="C10">
            <v>0</v>
          </cell>
          <cell r="D10">
            <v>508.74</v>
          </cell>
          <cell r="E10">
            <v>0</v>
          </cell>
          <cell r="F10">
            <v>0</v>
          </cell>
        </row>
        <row r="11">
          <cell r="A11">
            <v>44622</v>
          </cell>
          <cell r="B11" t="str">
            <v>VM</v>
          </cell>
          <cell r="C11">
            <v>0</v>
          </cell>
          <cell r="D11">
            <v>0</v>
          </cell>
          <cell r="E11">
            <v>0</v>
          </cell>
          <cell r="F11">
            <v>300</v>
          </cell>
        </row>
        <row r="16">
          <cell r="A16">
            <v>44623</v>
          </cell>
          <cell r="B16" t="str">
            <v>Rauchen</v>
          </cell>
          <cell r="C16">
            <v>0</v>
          </cell>
          <cell r="D16">
            <v>150</v>
          </cell>
          <cell r="E16">
            <v>0</v>
          </cell>
          <cell r="F16">
            <v>0</v>
          </cell>
        </row>
        <row r="17">
          <cell r="A17">
            <v>44623</v>
          </cell>
          <cell r="B17" t="str">
            <v>none</v>
          </cell>
          <cell r="C17">
            <v>0</v>
          </cell>
          <cell r="D17">
            <v>530</v>
          </cell>
          <cell r="E17">
            <v>530</v>
          </cell>
          <cell r="F17">
            <v>0</v>
          </cell>
        </row>
        <row r="18">
          <cell r="A18">
            <v>44623</v>
          </cell>
          <cell r="B18" t="str">
            <v>Party</v>
          </cell>
          <cell r="C18">
            <v>0</v>
          </cell>
          <cell r="D18">
            <v>1850</v>
          </cell>
          <cell r="E18">
            <v>0</v>
          </cell>
          <cell r="F18">
            <v>0</v>
          </cell>
        </row>
        <row r="23">
          <cell r="A23">
            <v>44624</v>
          </cell>
          <cell r="B23" t="str">
            <v>LM</v>
          </cell>
          <cell r="C23">
            <v>0</v>
          </cell>
          <cell r="D23">
            <v>261</v>
          </cell>
          <cell r="E23">
            <v>0</v>
          </cell>
          <cell r="F23">
            <v>0</v>
          </cell>
        </row>
        <row r="24">
          <cell r="A24">
            <v>44624</v>
          </cell>
          <cell r="B24" t="str">
            <v>VM</v>
          </cell>
          <cell r="C24">
            <v>0</v>
          </cell>
          <cell r="D24">
            <v>150</v>
          </cell>
          <cell r="E24">
            <v>0</v>
          </cell>
          <cell r="F24">
            <v>0</v>
          </cell>
        </row>
        <row r="25">
          <cell r="A25">
            <v>44624</v>
          </cell>
          <cell r="B25" t="str">
            <v>LM</v>
          </cell>
          <cell r="C25">
            <v>0</v>
          </cell>
          <cell r="D25">
            <v>250</v>
          </cell>
          <cell r="E25">
            <v>0</v>
          </cell>
          <cell r="F25">
            <v>0</v>
          </cell>
        </row>
        <row r="30">
          <cell r="A30">
            <v>44625</v>
          </cell>
          <cell r="B30" t="str">
            <v>VM</v>
          </cell>
          <cell r="C30">
            <v>0</v>
          </cell>
          <cell r="D30">
            <v>100</v>
          </cell>
          <cell r="E30">
            <v>0</v>
          </cell>
          <cell r="F30">
            <v>0</v>
          </cell>
        </row>
        <row r="31">
          <cell r="A31">
            <v>44625</v>
          </cell>
          <cell r="B31" t="str">
            <v>LM</v>
          </cell>
          <cell r="C31">
            <v>0</v>
          </cell>
          <cell r="D31">
            <v>678.19</v>
          </cell>
          <cell r="E31">
            <v>0</v>
          </cell>
          <cell r="F31">
            <v>0</v>
          </cell>
        </row>
        <row r="32">
          <cell r="A32">
            <v>44625</v>
          </cell>
          <cell r="B32" t="str">
            <v>Rauchen</v>
          </cell>
          <cell r="C32">
            <v>0</v>
          </cell>
          <cell r="D32">
            <v>150</v>
          </cell>
          <cell r="E32">
            <v>0</v>
          </cell>
          <cell r="F32">
            <v>0</v>
          </cell>
        </row>
        <row r="37">
          <cell r="A37">
            <v>44626</v>
          </cell>
          <cell r="B37" t="str">
            <v>VM</v>
          </cell>
          <cell r="C37">
            <v>0</v>
          </cell>
          <cell r="D37">
            <v>0</v>
          </cell>
          <cell r="E37">
            <v>0</v>
          </cell>
          <cell r="F37">
            <v>288</v>
          </cell>
        </row>
        <row r="44">
          <cell r="A44">
            <v>44627</v>
          </cell>
          <cell r="B44" t="str">
            <v>VM</v>
          </cell>
          <cell r="C44">
            <v>0</v>
          </cell>
          <cell r="D44">
            <v>0</v>
          </cell>
          <cell r="E44">
            <v>0</v>
          </cell>
          <cell r="F44">
            <v>175</v>
          </cell>
        </row>
        <row r="45">
          <cell r="A45">
            <v>44627</v>
          </cell>
          <cell r="B45" t="str">
            <v>for me</v>
          </cell>
          <cell r="C45">
            <v>0</v>
          </cell>
          <cell r="D45">
            <v>1275</v>
          </cell>
          <cell r="E45">
            <v>0</v>
          </cell>
          <cell r="F45">
            <v>0</v>
          </cell>
        </row>
        <row r="46">
          <cell r="A46">
            <v>44627</v>
          </cell>
          <cell r="B46" t="str">
            <v>LM</v>
          </cell>
          <cell r="C46">
            <v>0</v>
          </cell>
          <cell r="D46">
            <v>145</v>
          </cell>
          <cell r="E46">
            <v>0</v>
          </cell>
          <cell r="F46">
            <v>0</v>
          </cell>
        </row>
        <row r="47">
          <cell r="A47">
            <v>44627</v>
          </cell>
          <cell r="B47" t="str">
            <v>LM</v>
          </cell>
          <cell r="C47">
            <v>0</v>
          </cell>
          <cell r="D47">
            <v>1460.22</v>
          </cell>
          <cell r="E47">
            <v>0</v>
          </cell>
          <cell r="F47">
            <v>0</v>
          </cell>
        </row>
        <row r="48">
          <cell r="A48">
            <v>44627</v>
          </cell>
          <cell r="B48" t="str">
            <v>VM</v>
          </cell>
          <cell r="C48">
            <v>0</v>
          </cell>
          <cell r="D48">
            <v>51</v>
          </cell>
          <cell r="E48">
            <v>0</v>
          </cell>
          <cell r="F48">
            <v>0</v>
          </cell>
        </row>
        <row r="51">
          <cell r="A51">
            <v>44628</v>
          </cell>
          <cell r="B51" t="str">
            <v>Andere</v>
          </cell>
          <cell r="C51">
            <v>0</v>
          </cell>
          <cell r="D51">
            <v>6000</v>
          </cell>
          <cell r="E51">
            <v>0</v>
          </cell>
          <cell r="F51">
            <v>0</v>
          </cell>
        </row>
        <row r="52">
          <cell r="A52">
            <v>44628</v>
          </cell>
          <cell r="B52" t="str">
            <v>VM</v>
          </cell>
          <cell r="C52">
            <v>0</v>
          </cell>
          <cell r="D52">
            <v>435</v>
          </cell>
          <cell r="E52">
            <v>0</v>
          </cell>
          <cell r="F52">
            <v>0</v>
          </cell>
        </row>
        <row r="53">
          <cell r="A53">
            <v>44628</v>
          </cell>
          <cell r="B53" t="str">
            <v>Andere</v>
          </cell>
          <cell r="C53">
            <v>0</v>
          </cell>
          <cell r="D53">
            <v>0</v>
          </cell>
          <cell r="E53">
            <v>0</v>
          </cell>
          <cell r="F53">
            <v>70</v>
          </cell>
        </row>
        <row r="58">
          <cell r="A58">
            <v>44629</v>
          </cell>
          <cell r="B58" t="str">
            <v>Andere</v>
          </cell>
          <cell r="C58">
            <v>0</v>
          </cell>
          <cell r="D58">
            <v>180</v>
          </cell>
          <cell r="E58">
            <v>0</v>
          </cell>
          <cell r="F58">
            <v>0</v>
          </cell>
        </row>
        <row r="59">
          <cell r="A59">
            <v>44629</v>
          </cell>
          <cell r="B59" t="str">
            <v>Refill</v>
          </cell>
          <cell r="C59">
            <v>21704.36</v>
          </cell>
          <cell r="D59">
            <v>0</v>
          </cell>
          <cell r="E59">
            <v>0</v>
          </cell>
          <cell r="F59">
            <v>0</v>
          </cell>
        </row>
        <row r="60">
          <cell r="A60">
            <v>44629</v>
          </cell>
          <cell r="B60" t="str">
            <v>for me</v>
          </cell>
          <cell r="C60">
            <v>0</v>
          </cell>
          <cell r="D60">
            <v>1260</v>
          </cell>
          <cell r="E60">
            <v>0</v>
          </cell>
          <cell r="F60">
            <v>0</v>
          </cell>
        </row>
        <row r="65">
          <cell r="A65">
            <v>44630</v>
          </cell>
          <cell r="B65" t="str">
            <v>LM</v>
          </cell>
          <cell r="C65">
            <v>0</v>
          </cell>
          <cell r="D65">
            <v>400</v>
          </cell>
          <cell r="E65">
            <v>0</v>
          </cell>
          <cell r="F65">
            <v>0</v>
          </cell>
        </row>
        <row r="66">
          <cell r="A66">
            <v>44630</v>
          </cell>
          <cell r="B66" t="str">
            <v>Rauchen</v>
          </cell>
          <cell r="C66">
            <v>0</v>
          </cell>
          <cell r="D66">
            <v>150</v>
          </cell>
          <cell r="E66">
            <v>0</v>
          </cell>
          <cell r="F66">
            <v>0</v>
          </cell>
        </row>
        <row r="67">
          <cell r="A67">
            <v>44630</v>
          </cell>
          <cell r="B67" t="str">
            <v>Andere</v>
          </cell>
          <cell r="C67">
            <v>0</v>
          </cell>
          <cell r="D67">
            <v>0</v>
          </cell>
          <cell r="E67">
            <v>0</v>
          </cell>
          <cell r="F67">
            <v>60</v>
          </cell>
        </row>
        <row r="72">
          <cell r="A72">
            <v>44631</v>
          </cell>
          <cell r="B72" t="str">
            <v>LM</v>
          </cell>
          <cell r="C72">
            <v>0</v>
          </cell>
          <cell r="D72">
            <v>463</v>
          </cell>
          <cell r="E72">
            <v>0</v>
          </cell>
          <cell r="F72">
            <v>0</v>
          </cell>
        </row>
        <row r="79">
          <cell r="A79">
            <v>44632</v>
          </cell>
          <cell r="B79" t="str">
            <v>LM</v>
          </cell>
          <cell r="C79">
            <v>0</v>
          </cell>
          <cell r="D79">
            <v>242</v>
          </cell>
          <cell r="E79">
            <v>0</v>
          </cell>
          <cell r="F79">
            <v>0</v>
          </cell>
        </row>
        <row r="80">
          <cell r="A80">
            <v>44632</v>
          </cell>
          <cell r="B80" t="str">
            <v>Party</v>
          </cell>
          <cell r="C80">
            <v>0</v>
          </cell>
          <cell r="D80">
            <v>5150</v>
          </cell>
          <cell r="E80">
            <v>0</v>
          </cell>
          <cell r="F80">
            <v>0</v>
          </cell>
        </row>
        <row r="86">
          <cell r="A86">
            <v>44633</v>
          </cell>
          <cell r="B86" t="str">
            <v>Rauchen</v>
          </cell>
          <cell r="C86">
            <v>0</v>
          </cell>
          <cell r="D86">
            <v>285</v>
          </cell>
          <cell r="E86">
            <v>0</v>
          </cell>
          <cell r="F86">
            <v>0</v>
          </cell>
        </row>
        <row r="87">
          <cell r="A87">
            <v>44633</v>
          </cell>
          <cell r="B87" t="str">
            <v>LM</v>
          </cell>
          <cell r="C87">
            <v>0</v>
          </cell>
          <cell r="D87">
            <v>802.3</v>
          </cell>
          <cell r="E87">
            <v>0</v>
          </cell>
          <cell r="F87">
            <v>0</v>
          </cell>
        </row>
        <row r="88">
          <cell r="A88">
            <v>44633</v>
          </cell>
          <cell r="B88" t="str">
            <v>Education</v>
          </cell>
          <cell r="C88">
            <v>0</v>
          </cell>
          <cell r="D88">
            <v>319.2</v>
          </cell>
          <cell r="E88">
            <v>0</v>
          </cell>
          <cell r="F88">
            <v>0</v>
          </cell>
        </row>
        <row r="93">
          <cell r="A93">
            <v>44634</v>
          </cell>
          <cell r="B93" t="str">
            <v>LM</v>
          </cell>
          <cell r="C93">
            <v>0</v>
          </cell>
          <cell r="D93">
            <v>105</v>
          </cell>
          <cell r="E93">
            <v>0</v>
          </cell>
          <cell r="F93">
            <v>0</v>
          </cell>
        </row>
        <row r="94">
          <cell r="A94">
            <v>44634</v>
          </cell>
          <cell r="B94" t="str">
            <v>Andere</v>
          </cell>
          <cell r="C94">
            <v>0</v>
          </cell>
          <cell r="D94">
            <v>0</v>
          </cell>
          <cell r="E94">
            <v>0</v>
          </cell>
          <cell r="F94">
            <v>301.99</v>
          </cell>
        </row>
        <row r="100">
          <cell r="A100">
            <v>44635</v>
          </cell>
          <cell r="B100" t="str">
            <v>LM</v>
          </cell>
          <cell r="C100">
            <v>0</v>
          </cell>
          <cell r="D100">
            <v>401</v>
          </cell>
          <cell r="E100">
            <v>0</v>
          </cell>
          <cell r="F100">
            <v>0</v>
          </cell>
        </row>
        <row r="107">
          <cell r="A107">
            <v>44636</v>
          </cell>
          <cell r="B107" t="str">
            <v>LM</v>
          </cell>
          <cell r="C107">
            <v>0</v>
          </cell>
          <cell r="D107">
            <v>120</v>
          </cell>
          <cell r="E107">
            <v>0</v>
          </cell>
          <cell r="F107">
            <v>0</v>
          </cell>
        </row>
        <row r="108">
          <cell r="A108">
            <v>44636</v>
          </cell>
          <cell r="B108" t="str">
            <v>LM</v>
          </cell>
          <cell r="C108">
            <v>0</v>
          </cell>
          <cell r="D108">
            <v>225</v>
          </cell>
          <cell r="E108">
            <v>0</v>
          </cell>
          <cell r="F108">
            <v>0</v>
          </cell>
        </row>
        <row r="109">
          <cell r="A109">
            <v>44636</v>
          </cell>
          <cell r="B109" t="str">
            <v>LM</v>
          </cell>
          <cell r="C109">
            <v>0</v>
          </cell>
          <cell r="D109">
            <v>170</v>
          </cell>
          <cell r="E109">
            <v>0</v>
          </cell>
          <cell r="F109">
            <v>0</v>
          </cell>
        </row>
        <row r="110">
          <cell r="A110">
            <v>44636</v>
          </cell>
          <cell r="B110" t="str">
            <v>LM</v>
          </cell>
          <cell r="C110">
            <v>0</v>
          </cell>
          <cell r="D110">
            <v>420</v>
          </cell>
          <cell r="E110">
            <v>0</v>
          </cell>
          <cell r="F110">
            <v>0</v>
          </cell>
        </row>
        <row r="114">
          <cell r="A114">
            <v>44637</v>
          </cell>
          <cell r="B114" t="str">
            <v>LM</v>
          </cell>
          <cell r="C114">
            <v>0</v>
          </cell>
          <cell r="D114">
            <v>260</v>
          </cell>
          <cell r="E114">
            <v>0</v>
          </cell>
          <cell r="F114">
            <v>65</v>
          </cell>
        </row>
        <row r="121">
          <cell r="A121">
            <v>44638</v>
          </cell>
          <cell r="B121" t="str">
            <v>LM</v>
          </cell>
          <cell r="C121">
            <v>0</v>
          </cell>
          <cell r="D121">
            <v>117</v>
          </cell>
          <cell r="E121">
            <v>0</v>
          </cell>
          <cell r="F121">
            <v>0</v>
          </cell>
        </row>
        <row r="122">
          <cell r="A122">
            <v>44638</v>
          </cell>
          <cell r="B122" t="str">
            <v>Andere</v>
          </cell>
          <cell r="C122">
            <v>0</v>
          </cell>
          <cell r="D122">
            <v>6000</v>
          </cell>
          <cell r="E122">
            <v>0</v>
          </cell>
          <cell r="F122">
            <v>0</v>
          </cell>
        </row>
        <row r="123">
          <cell r="A123">
            <v>44638</v>
          </cell>
          <cell r="B123" t="str">
            <v>LM</v>
          </cell>
          <cell r="C123">
            <v>0</v>
          </cell>
          <cell r="D123">
            <v>460</v>
          </cell>
          <cell r="E123">
            <v>0</v>
          </cell>
          <cell r="F123">
            <v>0</v>
          </cell>
        </row>
        <row r="124">
          <cell r="A124">
            <v>44638</v>
          </cell>
          <cell r="B124" t="str">
            <v>Party</v>
          </cell>
          <cell r="C124">
            <v>0</v>
          </cell>
          <cell r="D124">
            <v>2795</v>
          </cell>
          <cell r="E124">
            <v>0</v>
          </cell>
          <cell r="F124">
            <v>0</v>
          </cell>
        </row>
        <row r="128">
          <cell r="A128">
            <v>44639</v>
          </cell>
          <cell r="B128" t="str">
            <v>Party</v>
          </cell>
          <cell r="C128">
            <v>0</v>
          </cell>
          <cell r="D128">
            <v>968.38000000000011</v>
          </cell>
          <cell r="E128">
            <v>0</v>
          </cell>
          <cell r="F128">
            <v>0</v>
          </cell>
        </row>
        <row r="135">
          <cell r="A135">
            <v>44640</v>
          </cell>
          <cell r="B135" t="str">
            <v>for me</v>
          </cell>
          <cell r="C135">
            <v>0</v>
          </cell>
          <cell r="D135">
            <v>600</v>
          </cell>
          <cell r="E135">
            <v>0</v>
          </cell>
          <cell r="F135">
            <v>0</v>
          </cell>
        </row>
        <row r="136">
          <cell r="A136">
            <v>44640</v>
          </cell>
          <cell r="B136" t="str">
            <v>LM</v>
          </cell>
          <cell r="C136">
            <v>0</v>
          </cell>
          <cell r="D136">
            <v>810.02</v>
          </cell>
          <cell r="E136">
            <v>0</v>
          </cell>
          <cell r="F136">
            <v>0</v>
          </cell>
        </row>
        <row r="137">
          <cell r="A137">
            <v>44640</v>
          </cell>
          <cell r="B137" t="str">
            <v>none</v>
          </cell>
          <cell r="C137">
            <v>0</v>
          </cell>
          <cell r="D137">
            <v>774.09</v>
          </cell>
          <cell r="E137">
            <v>800</v>
          </cell>
          <cell r="F137">
            <v>0</v>
          </cell>
        </row>
        <row r="142">
          <cell r="A142">
            <v>44641</v>
          </cell>
          <cell r="B142" t="str">
            <v>LM</v>
          </cell>
          <cell r="C142">
            <v>0</v>
          </cell>
          <cell r="D142">
            <v>445</v>
          </cell>
          <cell r="E142">
            <v>0</v>
          </cell>
          <cell r="F142">
            <v>0</v>
          </cell>
        </row>
        <row r="149">
          <cell r="A149">
            <v>44642</v>
          </cell>
          <cell r="B149" t="str">
            <v>Rauchen</v>
          </cell>
          <cell r="C149">
            <v>0</v>
          </cell>
          <cell r="D149">
            <v>160</v>
          </cell>
          <cell r="E149">
            <v>0</v>
          </cell>
          <cell r="F149">
            <v>0</v>
          </cell>
        </row>
        <row r="150">
          <cell r="A150">
            <v>44642</v>
          </cell>
          <cell r="B150" t="str">
            <v>LM</v>
          </cell>
          <cell r="C150">
            <v>0</v>
          </cell>
          <cell r="D150">
            <v>450</v>
          </cell>
          <cell r="E150">
            <v>0</v>
          </cell>
          <cell r="F150">
            <v>0</v>
          </cell>
        </row>
        <row r="151">
          <cell r="A151">
            <v>44642</v>
          </cell>
          <cell r="B151" t="str">
            <v>none</v>
          </cell>
          <cell r="C151">
            <v>130</v>
          </cell>
          <cell r="D151">
            <v>122</v>
          </cell>
          <cell r="E151">
            <v>0</v>
          </cell>
          <cell r="F151">
            <v>0</v>
          </cell>
        </row>
        <row r="156">
          <cell r="A156">
            <v>44643</v>
          </cell>
          <cell r="B156" t="str">
            <v>LM</v>
          </cell>
          <cell r="C156">
            <v>0</v>
          </cell>
          <cell r="D156">
            <v>810.69</v>
          </cell>
          <cell r="E156">
            <v>0</v>
          </cell>
          <cell r="F156">
            <v>0</v>
          </cell>
        </row>
        <row r="163">
          <cell r="A163">
            <v>44644</v>
          </cell>
          <cell r="B163" t="str">
            <v>LM</v>
          </cell>
          <cell r="C163">
            <v>0</v>
          </cell>
          <cell r="D163">
            <v>215</v>
          </cell>
          <cell r="E163">
            <v>0</v>
          </cell>
          <cell r="F163">
            <v>0</v>
          </cell>
        </row>
        <row r="164">
          <cell r="A164">
            <v>44644</v>
          </cell>
          <cell r="B164" t="str">
            <v>Refill</v>
          </cell>
          <cell r="C164">
            <v>32743.360000000001</v>
          </cell>
          <cell r="D164">
            <v>0</v>
          </cell>
          <cell r="E164">
            <v>0</v>
          </cell>
          <cell r="F164">
            <v>0</v>
          </cell>
        </row>
        <row r="165">
          <cell r="A165">
            <v>44644</v>
          </cell>
          <cell r="B165" t="str">
            <v>VM</v>
          </cell>
          <cell r="C165">
            <v>0</v>
          </cell>
          <cell r="D165">
            <v>0</v>
          </cell>
          <cell r="E165">
            <v>0</v>
          </cell>
          <cell r="F165">
            <v>300</v>
          </cell>
        </row>
        <row r="170">
          <cell r="A170">
            <v>44645</v>
          </cell>
          <cell r="B170" t="str">
            <v>Rauchen</v>
          </cell>
          <cell r="C170">
            <v>0</v>
          </cell>
          <cell r="D170">
            <v>160</v>
          </cell>
          <cell r="E170">
            <v>0</v>
          </cell>
          <cell r="F170">
            <v>0</v>
          </cell>
        </row>
        <row r="171">
          <cell r="A171">
            <v>44645</v>
          </cell>
          <cell r="B171" t="str">
            <v>LM</v>
          </cell>
          <cell r="C171">
            <v>0</v>
          </cell>
          <cell r="D171">
            <v>499</v>
          </cell>
          <cell r="E171">
            <v>0</v>
          </cell>
          <cell r="F171">
            <v>0</v>
          </cell>
        </row>
        <row r="172">
          <cell r="A172">
            <v>44645</v>
          </cell>
          <cell r="B172" t="str">
            <v>Party</v>
          </cell>
          <cell r="C172">
            <v>0</v>
          </cell>
          <cell r="D172">
            <v>5139.3500000000004</v>
          </cell>
          <cell r="E172">
            <v>0</v>
          </cell>
          <cell r="F172">
            <v>0</v>
          </cell>
        </row>
        <row r="173">
          <cell r="A173">
            <v>44645</v>
          </cell>
          <cell r="B173" t="str">
            <v>Party</v>
          </cell>
          <cell r="C173">
            <v>0</v>
          </cell>
          <cell r="D173">
            <v>2650</v>
          </cell>
          <cell r="E173">
            <v>0</v>
          </cell>
          <cell r="F173">
            <v>200</v>
          </cell>
        </row>
        <row r="174">
          <cell r="A174">
            <v>44645</v>
          </cell>
          <cell r="B174" t="str">
            <v>none</v>
          </cell>
          <cell r="C174">
            <v>0</v>
          </cell>
          <cell r="D174">
            <v>800</v>
          </cell>
          <cell r="E174">
            <v>800</v>
          </cell>
          <cell r="F174">
            <v>0</v>
          </cell>
        </row>
        <row r="175">
          <cell r="A175">
            <v>44645</v>
          </cell>
          <cell r="B175" t="str">
            <v>none</v>
          </cell>
          <cell r="C175">
            <v>0</v>
          </cell>
          <cell r="D175">
            <v>3542</v>
          </cell>
          <cell r="E175">
            <v>3542</v>
          </cell>
          <cell r="F175">
            <v>0</v>
          </cell>
        </row>
        <row r="177">
          <cell r="A177">
            <v>44646</v>
          </cell>
          <cell r="B177" t="str">
            <v>Andere</v>
          </cell>
          <cell r="C177">
            <v>0</v>
          </cell>
          <cell r="D177">
            <v>500</v>
          </cell>
          <cell r="E177">
            <v>0</v>
          </cell>
          <cell r="F177">
            <v>0</v>
          </cell>
        </row>
        <row r="184">
          <cell r="A184">
            <v>44647</v>
          </cell>
          <cell r="B184" t="str">
            <v>LM</v>
          </cell>
          <cell r="C184">
            <v>250</v>
          </cell>
          <cell r="D184">
            <v>371.35</v>
          </cell>
          <cell r="F184">
            <v>0</v>
          </cell>
        </row>
        <row r="185">
          <cell r="A185">
            <v>44647</v>
          </cell>
          <cell r="B185" t="str">
            <v>LM</v>
          </cell>
          <cell r="C185">
            <v>0</v>
          </cell>
          <cell r="D185">
            <v>327</v>
          </cell>
          <cell r="E185">
            <v>0</v>
          </cell>
          <cell r="F185">
            <v>0</v>
          </cell>
        </row>
        <row r="186">
          <cell r="A186">
            <v>44647</v>
          </cell>
          <cell r="B186" t="str">
            <v>LM</v>
          </cell>
          <cell r="C186">
            <v>0</v>
          </cell>
          <cell r="D186">
            <v>0</v>
          </cell>
          <cell r="E186">
            <v>0</v>
          </cell>
          <cell r="F186">
            <v>370</v>
          </cell>
        </row>
        <row r="191">
          <cell r="A191">
            <v>44648</v>
          </cell>
          <cell r="B191" t="str">
            <v>Party</v>
          </cell>
          <cell r="C191">
            <v>0</v>
          </cell>
          <cell r="D191">
            <v>200</v>
          </cell>
          <cell r="E191">
            <v>0</v>
          </cell>
          <cell r="F191">
            <v>0</v>
          </cell>
        </row>
        <row r="192">
          <cell r="A192">
            <v>44648</v>
          </cell>
          <cell r="B192" t="str">
            <v>Education</v>
          </cell>
          <cell r="C192">
            <v>0</v>
          </cell>
          <cell r="D192">
            <v>769</v>
          </cell>
          <cell r="E192">
            <v>0</v>
          </cell>
          <cell r="F192">
            <v>0</v>
          </cell>
        </row>
        <row r="198">
          <cell r="A198">
            <v>44649</v>
          </cell>
          <cell r="B198" t="str">
            <v>Andere</v>
          </cell>
          <cell r="C198">
            <v>0</v>
          </cell>
          <cell r="D198">
            <v>7000</v>
          </cell>
          <cell r="E198">
            <v>7000</v>
          </cell>
          <cell r="F198">
            <v>11950.32</v>
          </cell>
        </row>
        <row r="205">
          <cell r="A205">
            <v>44650</v>
          </cell>
          <cell r="B205" t="str">
            <v>LM</v>
          </cell>
          <cell r="C205">
            <v>0</v>
          </cell>
          <cell r="D205">
            <v>500</v>
          </cell>
          <cell r="E205">
            <v>0</v>
          </cell>
          <cell r="F205">
            <v>0</v>
          </cell>
        </row>
        <row r="212">
          <cell r="A212">
            <v>44651</v>
          </cell>
          <cell r="B212" t="str">
            <v>Refill</v>
          </cell>
          <cell r="C212">
            <v>273.97000000000003</v>
          </cell>
          <cell r="D212">
            <v>0</v>
          </cell>
          <cell r="E212">
            <v>0</v>
          </cell>
          <cell r="F212">
            <v>0</v>
          </cell>
        </row>
        <row r="213">
          <cell r="A213">
            <v>44651</v>
          </cell>
          <cell r="B213" t="str">
            <v>Refill</v>
          </cell>
          <cell r="C213">
            <v>1095.8900000000001</v>
          </cell>
          <cell r="D213">
            <v>0</v>
          </cell>
          <cell r="E213">
            <v>0</v>
          </cell>
          <cell r="F213">
            <v>0</v>
          </cell>
        </row>
        <row r="214">
          <cell r="A214">
            <v>44651</v>
          </cell>
          <cell r="B214" t="str">
            <v>Refill</v>
          </cell>
          <cell r="C214">
            <v>217.35</v>
          </cell>
          <cell r="D214">
            <v>0</v>
          </cell>
          <cell r="E214">
            <v>0</v>
          </cell>
          <cell r="F214">
            <v>0</v>
          </cell>
        </row>
        <row r="215">
          <cell r="A215">
            <v>44651</v>
          </cell>
          <cell r="B215" t="str">
            <v>Andere</v>
          </cell>
          <cell r="C215">
            <v>0</v>
          </cell>
          <cell r="D215">
            <v>510</v>
          </cell>
          <cell r="E215">
            <v>0</v>
          </cell>
          <cell r="F215">
            <v>0</v>
          </cell>
        </row>
        <row r="216">
          <cell r="A216">
            <v>44651</v>
          </cell>
          <cell r="B216" t="str">
            <v>VM</v>
          </cell>
          <cell r="C216">
            <v>0</v>
          </cell>
          <cell r="D216">
            <v>0</v>
          </cell>
          <cell r="E216">
            <v>0</v>
          </cell>
          <cell r="F216">
            <v>285</v>
          </cell>
        </row>
      </sheetData>
      <sheetData sheetId="15">
        <row r="2">
          <cell r="A2">
            <v>44652</v>
          </cell>
          <cell r="B2" t="str">
            <v>LM</v>
          </cell>
          <cell r="C2">
            <v>0</v>
          </cell>
          <cell r="D2">
            <v>677</v>
          </cell>
          <cell r="E2">
            <v>0</v>
          </cell>
          <cell r="F2">
            <v>0</v>
          </cell>
        </row>
        <row r="3">
          <cell r="A3">
            <v>44652</v>
          </cell>
          <cell r="B3" t="str">
            <v>VM</v>
          </cell>
          <cell r="C3">
            <v>0</v>
          </cell>
          <cell r="D3">
            <v>435</v>
          </cell>
          <cell r="E3">
            <v>0</v>
          </cell>
          <cell r="F3">
            <v>0</v>
          </cell>
        </row>
        <row r="4">
          <cell r="A4">
            <v>44652</v>
          </cell>
          <cell r="B4" t="str">
            <v>LM</v>
          </cell>
          <cell r="C4">
            <v>0</v>
          </cell>
          <cell r="D4">
            <v>925</v>
          </cell>
          <cell r="E4">
            <v>0</v>
          </cell>
          <cell r="F4">
            <v>0</v>
          </cell>
        </row>
        <row r="5">
          <cell r="A5">
            <v>44652</v>
          </cell>
          <cell r="B5" t="str">
            <v>Party</v>
          </cell>
          <cell r="C5">
            <v>0</v>
          </cell>
          <cell r="D5">
            <v>1170</v>
          </cell>
          <cell r="E5">
            <v>0</v>
          </cell>
          <cell r="F5">
            <v>0</v>
          </cell>
        </row>
        <row r="6">
          <cell r="A6">
            <v>44652</v>
          </cell>
          <cell r="B6" t="str">
            <v>Rauchen</v>
          </cell>
          <cell r="C6">
            <v>0</v>
          </cell>
          <cell r="D6">
            <v>150</v>
          </cell>
          <cell r="E6">
            <v>0</v>
          </cell>
          <cell r="F6">
            <v>0</v>
          </cell>
        </row>
        <row r="7">
          <cell r="A7">
            <v>44652</v>
          </cell>
          <cell r="B7" t="str">
            <v>VM</v>
          </cell>
          <cell r="C7">
            <v>0</v>
          </cell>
          <cell r="D7">
            <v>2233</v>
          </cell>
          <cell r="E7">
            <v>0</v>
          </cell>
          <cell r="F7">
            <v>0</v>
          </cell>
        </row>
        <row r="8">
          <cell r="A8">
            <v>44652</v>
          </cell>
          <cell r="B8" t="str">
            <v>none</v>
          </cell>
          <cell r="C8">
            <v>0</v>
          </cell>
          <cell r="D8">
            <v>300</v>
          </cell>
          <cell r="E8">
            <v>300</v>
          </cell>
          <cell r="F8">
            <v>0</v>
          </cell>
        </row>
        <row r="9">
          <cell r="A9">
            <v>44653</v>
          </cell>
          <cell r="B9" t="str">
            <v>Party</v>
          </cell>
          <cell r="C9">
            <v>0</v>
          </cell>
          <cell r="D9">
            <v>4940</v>
          </cell>
          <cell r="E9">
            <v>0</v>
          </cell>
          <cell r="F9">
            <v>0</v>
          </cell>
        </row>
        <row r="23">
          <cell r="A23">
            <v>44655</v>
          </cell>
          <cell r="B23" t="str">
            <v>LM</v>
          </cell>
          <cell r="C23">
            <v>0</v>
          </cell>
          <cell r="D23">
            <v>580</v>
          </cell>
          <cell r="E23">
            <v>0</v>
          </cell>
          <cell r="F23">
            <v>0</v>
          </cell>
        </row>
        <row r="24">
          <cell r="A24">
            <v>44655</v>
          </cell>
          <cell r="B24" t="str">
            <v>Rauchen</v>
          </cell>
          <cell r="C24">
            <v>0</v>
          </cell>
          <cell r="D24">
            <v>0</v>
          </cell>
          <cell r="E24">
            <v>0</v>
          </cell>
          <cell r="F24">
            <v>160</v>
          </cell>
        </row>
        <row r="30">
          <cell r="A30">
            <v>44656</v>
          </cell>
          <cell r="B30" t="str">
            <v>LM</v>
          </cell>
          <cell r="C30">
            <v>0</v>
          </cell>
          <cell r="D30">
            <v>395</v>
          </cell>
          <cell r="E30">
            <v>0</v>
          </cell>
          <cell r="F30">
            <v>0</v>
          </cell>
        </row>
        <row r="31">
          <cell r="A31">
            <v>44656</v>
          </cell>
          <cell r="B31" t="str">
            <v>VM</v>
          </cell>
          <cell r="C31">
            <v>0</v>
          </cell>
          <cell r="D31">
            <v>0</v>
          </cell>
          <cell r="E31">
            <v>0</v>
          </cell>
          <cell r="F31">
            <v>300</v>
          </cell>
        </row>
        <row r="37">
          <cell r="A37">
            <v>44657</v>
          </cell>
          <cell r="B37" t="str">
            <v>none</v>
          </cell>
          <cell r="C37">
            <v>0</v>
          </cell>
          <cell r="D37">
            <v>0</v>
          </cell>
          <cell r="E37">
            <v>0</v>
          </cell>
          <cell r="F37">
            <v>500</v>
          </cell>
        </row>
        <row r="38">
          <cell r="A38">
            <v>44657</v>
          </cell>
          <cell r="B38" t="str">
            <v>none</v>
          </cell>
          <cell r="C38">
            <v>700</v>
          </cell>
          <cell r="D38">
            <v>0</v>
          </cell>
          <cell r="E38">
            <v>0</v>
          </cell>
          <cell r="F38">
            <v>700</v>
          </cell>
        </row>
        <row r="39">
          <cell r="A39">
            <v>44657</v>
          </cell>
          <cell r="B39" t="str">
            <v>Rauchen</v>
          </cell>
          <cell r="C39">
            <v>0</v>
          </cell>
          <cell r="D39">
            <v>150</v>
          </cell>
          <cell r="E39">
            <v>0</v>
          </cell>
          <cell r="F39">
            <v>0</v>
          </cell>
        </row>
        <row r="40">
          <cell r="A40">
            <v>44657</v>
          </cell>
          <cell r="B40" t="str">
            <v>LM</v>
          </cell>
          <cell r="C40">
            <v>0</v>
          </cell>
          <cell r="D40">
            <v>1195.6199999999999</v>
          </cell>
          <cell r="E40">
            <v>0</v>
          </cell>
          <cell r="F40">
            <v>0</v>
          </cell>
        </row>
        <row r="41">
          <cell r="A41">
            <v>44657</v>
          </cell>
          <cell r="B41" t="str">
            <v>Party</v>
          </cell>
          <cell r="C41">
            <v>0</v>
          </cell>
          <cell r="D41">
            <v>825.98</v>
          </cell>
          <cell r="E41">
            <v>0</v>
          </cell>
          <cell r="F41">
            <v>0</v>
          </cell>
        </row>
        <row r="42">
          <cell r="A42">
            <v>44657</v>
          </cell>
          <cell r="B42" t="str">
            <v>VM</v>
          </cell>
          <cell r="C42">
            <v>0</v>
          </cell>
          <cell r="D42">
            <v>51</v>
          </cell>
          <cell r="E42">
            <v>0</v>
          </cell>
          <cell r="F42">
            <v>0</v>
          </cell>
        </row>
        <row r="44">
          <cell r="A44">
            <v>44658</v>
          </cell>
          <cell r="B44" t="str">
            <v>Refill</v>
          </cell>
          <cell r="C44">
            <v>49732.639999999999</v>
          </cell>
          <cell r="D44">
            <v>0</v>
          </cell>
          <cell r="E44">
            <v>0</v>
          </cell>
          <cell r="F44">
            <v>0</v>
          </cell>
        </row>
        <row r="51">
          <cell r="A51">
            <v>44659</v>
          </cell>
          <cell r="B51" t="str">
            <v>Andere</v>
          </cell>
          <cell r="C51">
            <v>0</v>
          </cell>
          <cell r="D51">
            <v>28000</v>
          </cell>
          <cell r="E51">
            <v>0</v>
          </cell>
          <cell r="F51">
            <v>0</v>
          </cell>
        </row>
        <row r="52">
          <cell r="A52">
            <v>44659</v>
          </cell>
          <cell r="B52" t="str">
            <v>LM</v>
          </cell>
          <cell r="C52">
            <v>0</v>
          </cell>
          <cell r="D52">
            <v>580</v>
          </cell>
          <cell r="E52">
            <v>0</v>
          </cell>
          <cell r="F52">
            <v>0</v>
          </cell>
        </row>
        <row r="53">
          <cell r="A53">
            <v>44659</v>
          </cell>
          <cell r="B53" t="str">
            <v>Rauchen</v>
          </cell>
          <cell r="C53">
            <v>0</v>
          </cell>
          <cell r="D53">
            <v>170</v>
          </cell>
          <cell r="E53">
            <v>0</v>
          </cell>
          <cell r="F53">
            <v>0</v>
          </cell>
        </row>
        <row r="58">
          <cell r="A58">
            <v>44660</v>
          </cell>
          <cell r="B58" t="str">
            <v>for me</v>
          </cell>
          <cell r="C58">
            <v>0</v>
          </cell>
          <cell r="D58">
            <v>450</v>
          </cell>
          <cell r="E58">
            <v>0</v>
          </cell>
          <cell r="F58">
            <v>0</v>
          </cell>
        </row>
        <row r="59">
          <cell r="A59">
            <v>44660</v>
          </cell>
          <cell r="B59" t="str">
            <v>LM</v>
          </cell>
          <cell r="C59">
            <v>0</v>
          </cell>
          <cell r="D59">
            <v>360</v>
          </cell>
          <cell r="E59">
            <v>0</v>
          </cell>
          <cell r="F59">
            <v>0</v>
          </cell>
        </row>
        <row r="65">
          <cell r="A65">
            <v>44661</v>
          </cell>
          <cell r="B65" t="str">
            <v>Party</v>
          </cell>
          <cell r="C65">
            <v>0</v>
          </cell>
          <cell r="D65">
            <v>1300</v>
          </cell>
          <cell r="E65">
            <v>0</v>
          </cell>
          <cell r="F65">
            <v>0</v>
          </cell>
        </row>
        <row r="66">
          <cell r="A66">
            <v>44661</v>
          </cell>
          <cell r="B66" t="str">
            <v>none</v>
          </cell>
          <cell r="C66">
            <v>0</v>
          </cell>
          <cell r="D66">
            <v>1325</v>
          </cell>
          <cell r="E66">
            <v>1325</v>
          </cell>
          <cell r="F66">
            <v>0</v>
          </cell>
        </row>
        <row r="67">
          <cell r="A67">
            <v>44661</v>
          </cell>
          <cell r="B67" t="str">
            <v>LM</v>
          </cell>
          <cell r="C67">
            <v>0</v>
          </cell>
          <cell r="D67">
            <v>130</v>
          </cell>
          <cell r="E67">
            <v>0</v>
          </cell>
          <cell r="F67">
            <v>0</v>
          </cell>
        </row>
        <row r="72">
          <cell r="A72">
            <v>44662</v>
          </cell>
          <cell r="B72" t="str">
            <v>LM</v>
          </cell>
          <cell r="C72">
            <v>0</v>
          </cell>
          <cell r="D72">
            <v>511</v>
          </cell>
          <cell r="E72">
            <v>0</v>
          </cell>
          <cell r="F72">
            <v>0</v>
          </cell>
        </row>
        <row r="73">
          <cell r="A73">
            <v>44662</v>
          </cell>
          <cell r="B73" t="str">
            <v>Andere</v>
          </cell>
          <cell r="C73">
            <v>0</v>
          </cell>
          <cell r="D73">
            <v>30</v>
          </cell>
          <cell r="E73">
            <v>0</v>
          </cell>
          <cell r="F73">
            <v>0</v>
          </cell>
        </row>
        <row r="74">
          <cell r="A74">
            <v>44662</v>
          </cell>
          <cell r="B74" t="str">
            <v>Andere</v>
          </cell>
          <cell r="C74">
            <v>0</v>
          </cell>
          <cell r="D74">
            <v>0</v>
          </cell>
          <cell r="E74">
            <v>0</v>
          </cell>
          <cell r="F74">
            <v>296.94</v>
          </cell>
        </row>
        <row r="75">
          <cell r="A75">
            <v>44662</v>
          </cell>
          <cell r="B75" t="str">
            <v>Andere</v>
          </cell>
          <cell r="C75">
            <v>0</v>
          </cell>
          <cell r="D75">
            <v>0</v>
          </cell>
          <cell r="E75">
            <v>0</v>
          </cell>
          <cell r="F75">
            <v>60</v>
          </cell>
        </row>
        <row r="76">
          <cell r="A76">
            <v>44662</v>
          </cell>
          <cell r="B76" t="str">
            <v>none</v>
          </cell>
          <cell r="C76">
            <v>0</v>
          </cell>
          <cell r="D76">
            <v>0</v>
          </cell>
          <cell r="E76">
            <v>350</v>
          </cell>
          <cell r="F76">
            <v>0</v>
          </cell>
        </row>
        <row r="79">
          <cell r="A79">
            <v>44663</v>
          </cell>
          <cell r="B79" t="str">
            <v>LM</v>
          </cell>
          <cell r="C79">
            <v>0</v>
          </cell>
          <cell r="D79">
            <v>580</v>
          </cell>
          <cell r="E79">
            <v>0</v>
          </cell>
          <cell r="F79">
            <v>0</v>
          </cell>
        </row>
        <row r="80">
          <cell r="A80">
            <v>44663</v>
          </cell>
          <cell r="B80" t="str">
            <v>Rauchen</v>
          </cell>
          <cell r="C80">
            <v>0</v>
          </cell>
          <cell r="D80">
            <v>170</v>
          </cell>
          <cell r="E80">
            <v>0</v>
          </cell>
          <cell r="F80">
            <v>0</v>
          </cell>
        </row>
        <row r="81">
          <cell r="A81">
            <v>44663</v>
          </cell>
          <cell r="B81" t="str">
            <v>VM</v>
          </cell>
          <cell r="C81">
            <v>0</v>
          </cell>
          <cell r="D81">
            <v>1370</v>
          </cell>
          <cell r="E81">
            <v>0</v>
          </cell>
          <cell r="F81">
            <v>0</v>
          </cell>
        </row>
        <row r="94">
          <cell r="A94">
            <v>44665</v>
          </cell>
          <cell r="B94" t="str">
            <v>Andere</v>
          </cell>
          <cell r="C94">
            <v>0</v>
          </cell>
          <cell r="D94">
            <v>2000</v>
          </cell>
          <cell r="E94">
            <v>0</v>
          </cell>
          <cell r="F94">
            <v>0</v>
          </cell>
        </row>
        <row r="100">
          <cell r="A100">
            <v>44666</v>
          </cell>
          <cell r="B100" t="str">
            <v>VM</v>
          </cell>
          <cell r="C100">
            <v>0</v>
          </cell>
          <cell r="D100">
            <v>2518</v>
          </cell>
          <cell r="E100">
            <v>0</v>
          </cell>
          <cell r="F100">
            <v>0</v>
          </cell>
        </row>
        <row r="101">
          <cell r="A101">
            <v>44666</v>
          </cell>
          <cell r="B101" t="str">
            <v>Kleidung</v>
          </cell>
          <cell r="C101">
            <v>0</v>
          </cell>
          <cell r="D101">
            <v>3799</v>
          </cell>
          <cell r="E101">
            <v>0</v>
          </cell>
          <cell r="F101">
            <v>0</v>
          </cell>
        </row>
        <row r="102">
          <cell r="A102">
            <v>44666</v>
          </cell>
          <cell r="B102" t="str">
            <v>LM</v>
          </cell>
          <cell r="C102">
            <v>0</v>
          </cell>
          <cell r="D102">
            <v>640.79999999999995</v>
          </cell>
          <cell r="E102">
            <v>0</v>
          </cell>
          <cell r="F102">
            <v>0</v>
          </cell>
        </row>
        <row r="107">
          <cell r="A107">
            <v>44667</v>
          </cell>
          <cell r="B107" t="str">
            <v>LM</v>
          </cell>
          <cell r="C107">
            <v>0</v>
          </cell>
          <cell r="D107">
            <v>350</v>
          </cell>
          <cell r="E107">
            <v>0</v>
          </cell>
          <cell r="F107">
            <v>0</v>
          </cell>
        </row>
        <row r="108">
          <cell r="A108">
            <v>44667</v>
          </cell>
          <cell r="B108" t="str">
            <v>VM</v>
          </cell>
          <cell r="C108">
            <v>0</v>
          </cell>
          <cell r="D108">
            <v>450</v>
          </cell>
          <cell r="E108">
            <v>0</v>
          </cell>
          <cell r="F108">
            <v>0</v>
          </cell>
        </row>
        <row r="114">
          <cell r="A114">
            <v>44668</v>
          </cell>
          <cell r="B114" t="str">
            <v>LM</v>
          </cell>
          <cell r="C114">
            <v>0</v>
          </cell>
          <cell r="D114">
            <v>300</v>
          </cell>
          <cell r="E114">
            <v>0</v>
          </cell>
          <cell r="F114">
            <v>0</v>
          </cell>
        </row>
        <row r="121">
          <cell r="A121">
            <v>44669</v>
          </cell>
          <cell r="B121" t="str">
            <v>LM</v>
          </cell>
          <cell r="C121">
            <v>0</v>
          </cell>
          <cell r="D121">
            <v>35</v>
          </cell>
          <cell r="E121">
            <v>0</v>
          </cell>
          <cell r="F121">
            <v>0</v>
          </cell>
        </row>
        <row r="122">
          <cell r="A122">
            <v>44669</v>
          </cell>
          <cell r="B122" t="str">
            <v>LM</v>
          </cell>
          <cell r="C122">
            <v>0</v>
          </cell>
          <cell r="D122">
            <v>490</v>
          </cell>
          <cell r="E122">
            <v>0</v>
          </cell>
          <cell r="F122">
            <v>0</v>
          </cell>
        </row>
        <row r="123">
          <cell r="A123">
            <v>44669</v>
          </cell>
          <cell r="B123" t="str">
            <v>LM</v>
          </cell>
          <cell r="C123">
            <v>0</v>
          </cell>
          <cell r="D123">
            <v>89</v>
          </cell>
          <cell r="E123">
            <v>0</v>
          </cell>
          <cell r="F123">
            <v>0</v>
          </cell>
        </row>
        <row r="124">
          <cell r="A124">
            <v>44669</v>
          </cell>
          <cell r="B124" t="str">
            <v>LM</v>
          </cell>
          <cell r="C124">
            <v>0</v>
          </cell>
          <cell r="D124">
            <v>319</v>
          </cell>
          <cell r="E124">
            <v>0</v>
          </cell>
          <cell r="F124">
            <v>0</v>
          </cell>
        </row>
        <row r="129">
          <cell r="A129">
            <v>44670</v>
          </cell>
          <cell r="B129" t="str">
            <v>VM</v>
          </cell>
          <cell r="C129">
            <v>0</v>
          </cell>
          <cell r="D129">
            <v>5803.1999999999971</v>
          </cell>
          <cell r="E129">
            <v>0</v>
          </cell>
          <cell r="F129">
            <v>0</v>
          </cell>
        </row>
        <row r="130">
          <cell r="A130">
            <v>44670</v>
          </cell>
          <cell r="B130" t="str">
            <v>VM</v>
          </cell>
          <cell r="C130">
            <v>0</v>
          </cell>
          <cell r="D130">
            <v>770</v>
          </cell>
          <cell r="E130">
            <v>0</v>
          </cell>
          <cell r="F130">
            <v>0</v>
          </cell>
        </row>
        <row r="135">
          <cell r="A135">
            <v>44671</v>
          </cell>
          <cell r="B135" t="str">
            <v>LM</v>
          </cell>
          <cell r="C135">
            <v>0</v>
          </cell>
          <cell r="D135">
            <v>578</v>
          </cell>
          <cell r="E135">
            <v>0</v>
          </cell>
          <cell r="F135">
            <v>0</v>
          </cell>
        </row>
        <row r="142">
          <cell r="A142">
            <v>44672</v>
          </cell>
          <cell r="B142" t="str">
            <v>none</v>
          </cell>
          <cell r="C142">
            <v>690</v>
          </cell>
          <cell r="D142">
            <v>0</v>
          </cell>
          <cell r="E142">
            <v>0</v>
          </cell>
          <cell r="F142">
            <v>690</v>
          </cell>
        </row>
        <row r="143">
          <cell r="A143">
            <v>44672</v>
          </cell>
          <cell r="B143" t="str">
            <v>LM</v>
          </cell>
          <cell r="C143">
            <v>0</v>
          </cell>
          <cell r="D143">
            <v>558</v>
          </cell>
          <cell r="E143">
            <v>0</v>
          </cell>
          <cell r="F143">
            <v>0</v>
          </cell>
        </row>
        <row r="144">
          <cell r="A144">
            <v>44672</v>
          </cell>
          <cell r="B144" t="str">
            <v>Refill</v>
          </cell>
          <cell r="C144">
            <v>37733.43</v>
          </cell>
          <cell r="D144">
            <v>0</v>
          </cell>
          <cell r="E144">
            <v>0</v>
          </cell>
          <cell r="F144">
            <v>0</v>
          </cell>
        </row>
        <row r="145">
          <cell r="A145">
            <v>44672</v>
          </cell>
          <cell r="B145" t="str">
            <v>LM</v>
          </cell>
          <cell r="C145">
            <v>0</v>
          </cell>
          <cell r="D145">
            <v>294</v>
          </cell>
          <cell r="E145">
            <v>0</v>
          </cell>
          <cell r="F145">
            <v>0</v>
          </cell>
        </row>
        <row r="146">
          <cell r="A146">
            <v>44672</v>
          </cell>
          <cell r="B146" t="str">
            <v>Andere</v>
          </cell>
          <cell r="C146">
            <v>0</v>
          </cell>
          <cell r="D146">
            <v>350</v>
          </cell>
          <cell r="E146">
            <v>0</v>
          </cell>
          <cell r="F146">
            <v>0</v>
          </cell>
        </row>
        <row r="147">
          <cell r="A147">
            <v>44672</v>
          </cell>
          <cell r="B147" t="str">
            <v>VM</v>
          </cell>
          <cell r="C147">
            <v>0</v>
          </cell>
          <cell r="D147">
            <v>0</v>
          </cell>
          <cell r="E147">
            <v>0</v>
          </cell>
          <cell r="F147">
            <v>682</v>
          </cell>
        </row>
        <row r="149">
          <cell r="A149">
            <v>44673</v>
          </cell>
          <cell r="B149" t="str">
            <v>none</v>
          </cell>
          <cell r="C149">
            <v>1934.9</v>
          </cell>
          <cell r="D149">
            <v>0</v>
          </cell>
          <cell r="E149">
            <v>0</v>
          </cell>
          <cell r="F149">
            <v>0</v>
          </cell>
        </row>
        <row r="150">
          <cell r="A150">
            <v>44673</v>
          </cell>
          <cell r="B150" t="str">
            <v>Andere</v>
          </cell>
          <cell r="C150">
            <v>0</v>
          </cell>
          <cell r="D150">
            <v>500</v>
          </cell>
          <cell r="E150">
            <v>0</v>
          </cell>
          <cell r="F150">
            <v>0</v>
          </cell>
        </row>
        <row r="151">
          <cell r="A151">
            <v>44673</v>
          </cell>
          <cell r="B151" t="str">
            <v>LM</v>
          </cell>
          <cell r="C151">
            <v>0</v>
          </cell>
          <cell r="D151">
            <v>524</v>
          </cell>
          <cell r="E151">
            <v>0</v>
          </cell>
          <cell r="F151">
            <v>0</v>
          </cell>
        </row>
        <row r="152">
          <cell r="A152">
            <v>44673</v>
          </cell>
          <cell r="B152" t="str">
            <v>LM</v>
          </cell>
          <cell r="C152">
            <v>0</v>
          </cell>
          <cell r="D152">
            <v>1178.08</v>
          </cell>
          <cell r="E152">
            <v>0</v>
          </cell>
          <cell r="F152">
            <v>0</v>
          </cell>
        </row>
        <row r="156">
          <cell r="A156">
            <v>44674</v>
          </cell>
          <cell r="B156" t="str">
            <v>for me</v>
          </cell>
          <cell r="C156">
            <v>0</v>
          </cell>
          <cell r="D156">
            <v>2500</v>
          </cell>
          <cell r="E156">
            <v>0</v>
          </cell>
          <cell r="F156">
            <v>0</v>
          </cell>
        </row>
        <row r="157">
          <cell r="A157">
            <v>44674</v>
          </cell>
          <cell r="B157" t="str">
            <v>Rauchen</v>
          </cell>
          <cell r="C157">
            <v>0</v>
          </cell>
          <cell r="D157">
            <v>160</v>
          </cell>
          <cell r="E157">
            <v>0</v>
          </cell>
          <cell r="F157">
            <v>0</v>
          </cell>
        </row>
        <row r="158">
          <cell r="A158">
            <v>44674</v>
          </cell>
          <cell r="B158" t="str">
            <v>Kleidung</v>
          </cell>
          <cell r="C158">
            <v>0</v>
          </cell>
          <cell r="D158">
            <v>10453</v>
          </cell>
          <cell r="E158">
            <v>0</v>
          </cell>
          <cell r="F158">
            <v>0</v>
          </cell>
        </row>
        <row r="159">
          <cell r="A159">
            <v>44674</v>
          </cell>
          <cell r="B159" t="str">
            <v>VM</v>
          </cell>
          <cell r="C159">
            <v>0</v>
          </cell>
          <cell r="D159">
            <v>173.32</v>
          </cell>
          <cell r="E159">
            <v>0</v>
          </cell>
          <cell r="F159">
            <v>0</v>
          </cell>
        </row>
        <row r="160">
          <cell r="A160">
            <v>44674</v>
          </cell>
          <cell r="B160" t="str">
            <v>Party</v>
          </cell>
          <cell r="C160">
            <v>0</v>
          </cell>
          <cell r="D160">
            <v>389.78</v>
          </cell>
          <cell r="E160">
            <v>0</v>
          </cell>
          <cell r="F160">
            <v>0</v>
          </cell>
        </row>
        <row r="163">
          <cell r="A163">
            <v>44675</v>
          </cell>
          <cell r="B163" t="str">
            <v>VM</v>
          </cell>
          <cell r="C163">
            <v>0</v>
          </cell>
          <cell r="D163">
            <v>163.12</v>
          </cell>
          <cell r="E163">
            <v>0</v>
          </cell>
          <cell r="F163">
            <v>0</v>
          </cell>
        </row>
        <row r="164">
          <cell r="A164">
            <v>44675</v>
          </cell>
          <cell r="B164" t="str">
            <v>Party</v>
          </cell>
          <cell r="C164">
            <v>0</v>
          </cell>
          <cell r="D164">
            <v>450</v>
          </cell>
          <cell r="E164">
            <v>0</v>
          </cell>
          <cell r="F164">
            <v>0</v>
          </cell>
        </row>
        <row r="170">
          <cell r="A170">
            <v>44676</v>
          </cell>
          <cell r="B170" t="str">
            <v>Andere</v>
          </cell>
          <cell r="C170">
            <v>0</v>
          </cell>
          <cell r="D170">
            <v>500</v>
          </cell>
          <cell r="E170">
            <v>0</v>
          </cell>
          <cell r="F170">
            <v>0</v>
          </cell>
        </row>
        <row r="171">
          <cell r="A171">
            <v>44676</v>
          </cell>
          <cell r="B171" t="str">
            <v>LM</v>
          </cell>
          <cell r="C171">
            <v>0</v>
          </cell>
          <cell r="D171">
            <v>574</v>
          </cell>
          <cell r="E171">
            <v>0</v>
          </cell>
          <cell r="F171">
            <v>0</v>
          </cell>
        </row>
        <row r="177">
          <cell r="A177">
            <v>44677</v>
          </cell>
          <cell r="B177" t="str">
            <v>Rauchen</v>
          </cell>
          <cell r="C177">
            <v>0</v>
          </cell>
          <cell r="D177">
            <v>155</v>
          </cell>
          <cell r="E177">
            <v>0</v>
          </cell>
          <cell r="F177">
            <v>0</v>
          </cell>
        </row>
        <row r="178">
          <cell r="A178">
            <v>44677</v>
          </cell>
          <cell r="B178" t="str">
            <v>LM</v>
          </cell>
          <cell r="C178">
            <v>0</v>
          </cell>
          <cell r="D178">
            <v>629</v>
          </cell>
          <cell r="E178">
            <v>0</v>
          </cell>
          <cell r="F178">
            <v>0</v>
          </cell>
        </row>
        <row r="184">
          <cell r="A184">
            <v>44678</v>
          </cell>
          <cell r="B184" t="str">
            <v>LM</v>
          </cell>
          <cell r="C184">
            <v>0</v>
          </cell>
          <cell r="D184">
            <v>788.74</v>
          </cell>
          <cell r="E184">
            <v>0</v>
          </cell>
          <cell r="F184">
            <v>0</v>
          </cell>
        </row>
        <row r="185">
          <cell r="A185">
            <v>44678</v>
          </cell>
          <cell r="B185" t="str">
            <v>Andere</v>
          </cell>
          <cell r="C185">
            <v>0</v>
          </cell>
          <cell r="D185">
            <v>1000</v>
          </cell>
          <cell r="E185">
            <v>0</v>
          </cell>
          <cell r="F185">
            <v>0</v>
          </cell>
        </row>
        <row r="191">
          <cell r="A191">
            <v>44679</v>
          </cell>
          <cell r="B191" t="str">
            <v>LM</v>
          </cell>
          <cell r="C191">
            <v>0</v>
          </cell>
          <cell r="D191">
            <v>529</v>
          </cell>
          <cell r="E191">
            <v>0</v>
          </cell>
          <cell r="F191">
            <v>0</v>
          </cell>
        </row>
        <row r="192">
          <cell r="A192">
            <v>44679</v>
          </cell>
          <cell r="B192" t="str">
            <v>Rauchen</v>
          </cell>
          <cell r="C192">
            <v>0</v>
          </cell>
          <cell r="D192">
            <v>170</v>
          </cell>
          <cell r="E192">
            <v>0</v>
          </cell>
          <cell r="F192">
            <v>0</v>
          </cell>
        </row>
        <row r="198">
          <cell r="A198">
            <v>44680</v>
          </cell>
          <cell r="B198" t="str">
            <v>LM</v>
          </cell>
          <cell r="C198">
            <v>0</v>
          </cell>
          <cell r="D198">
            <v>490</v>
          </cell>
          <cell r="E198">
            <v>0</v>
          </cell>
          <cell r="F198">
            <v>0</v>
          </cell>
        </row>
        <row r="199">
          <cell r="A199">
            <v>44680</v>
          </cell>
          <cell r="B199" t="str">
            <v>LM</v>
          </cell>
          <cell r="C199">
            <v>0</v>
          </cell>
          <cell r="D199">
            <v>370</v>
          </cell>
          <cell r="E199">
            <v>0</v>
          </cell>
          <cell r="F199">
            <v>0</v>
          </cell>
        </row>
        <row r="200">
          <cell r="A200">
            <v>44680</v>
          </cell>
          <cell r="B200" t="str">
            <v>Andere</v>
          </cell>
          <cell r="C200">
            <v>0</v>
          </cell>
          <cell r="D200">
            <v>200</v>
          </cell>
          <cell r="E200">
            <v>0</v>
          </cell>
          <cell r="F200">
            <v>0</v>
          </cell>
        </row>
        <row r="205">
          <cell r="A205">
            <v>44681</v>
          </cell>
          <cell r="B205" t="str">
            <v>Party</v>
          </cell>
          <cell r="C205">
            <v>0</v>
          </cell>
          <cell r="D205">
            <v>1800</v>
          </cell>
          <cell r="E205">
            <v>0</v>
          </cell>
          <cell r="F205">
            <v>0</v>
          </cell>
        </row>
        <row r="206">
          <cell r="A206">
            <v>44681</v>
          </cell>
          <cell r="B206" t="str">
            <v>Andere</v>
          </cell>
          <cell r="C206">
            <v>0</v>
          </cell>
          <cell r="D206">
            <v>500</v>
          </cell>
          <cell r="E206">
            <v>0</v>
          </cell>
          <cell r="F206">
            <v>0</v>
          </cell>
        </row>
        <row r="207">
          <cell r="A207">
            <v>44681</v>
          </cell>
          <cell r="B207" t="str">
            <v>Refill</v>
          </cell>
          <cell r="C207">
            <v>1610.6499999999999</v>
          </cell>
          <cell r="D207">
            <v>0</v>
          </cell>
          <cell r="E207">
            <v>0</v>
          </cell>
          <cell r="F207">
            <v>0</v>
          </cell>
        </row>
        <row r="208">
          <cell r="A208">
            <v>44681</v>
          </cell>
          <cell r="B208" t="str">
            <v>LM</v>
          </cell>
          <cell r="C208">
            <v>0</v>
          </cell>
          <cell r="D208">
            <v>505.85</v>
          </cell>
          <cell r="E208">
            <v>0</v>
          </cell>
          <cell r="F208">
            <v>0</v>
          </cell>
        </row>
      </sheetData>
      <sheetData sheetId="16">
        <row r="2">
          <cell r="A2">
            <v>44682</v>
          </cell>
          <cell r="B2" t="str">
            <v>LM</v>
          </cell>
          <cell r="C2">
            <v>0</v>
          </cell>
          <cell r="D2">
            <v>589.99</v>
          </cell>
          <cell r="E2">
            <v>0</v>
          </cell>
          <cell r="F2">
            <v>0</v>
          </cell>
        </row>
        <row r="9">
          <cell r="A9">
            <v>44683</v>
          </cell>
          <cell r="B9" t="str">
            <v>for me</v>
          </cell>
          <cell r="C9">
            <v>0</v>
          </cell>
          <cell r="D9">
            <v>600</v>
          </cell>
          <cell r="E9">
            <v>0</v>
          </cell>
          <cell r="F9">
            <v>0</v>
          </cell>
        </row>
        <row r="10">
          <cell r="A10">
            <v>44683</v>
          </cell>
          <cell r="B10" t="str">
            <v>LM</v>
          </cell>
          <cell r="C10">
            <v>0</v>
          </cell>
          <cell r="D10">
            <v>351.98</v>
          </cell>
          <cell r="E10">
            <v>0</v>
          </cell>
          <cell r="F10">
            <v>0</v>
          </cell>
        </row>
        <row r="23">
          <cell r="A23">
            <v>44685</v>
          </cell>
          <cell r="B23" t="str">
            <v>VM</v>
          </cell>
          <cell r="C23">
            <v>0</v>
          </cell>
          <cell r="D23">
            <v>435</v>
          </cell>
          <cell r="E23">
            <v>0</v>
          </cell>
          <cell r="F23">
            <v>0</v>
          </cell>
        </row>
        <row r="24">
          <cell r="A24">
            <v>44685</v>
          </cell>
          <cell r="B24" t="str">
            <v>for me</v>
          </cell>
          <cell r="C24">
            <v>0</v>
          </cell>
          <cell r="D24">
            <v>211.57</v>
          </cell>
          <cell r="E24">
            <v>0</v>
          </cell>
          <cell r="F24">
            <v>0</v>
          </cell>
        </row>
        <row r="25">
          <cell r="A25">
            <v>44685</v>
          </cell>
          <cell r="B25" t="str">
            <v>LM</v>
          </cell>
          <cell r="C25">
            <v>0</v>
          </cell>
          <cell r="D25">
            <v>440</v>
          </cell>
          <cell r="E25">
            <v>0</v>
          </cell>
          <cell r="F25">
            <v>0</v>
          </cell>
        </row>
        <row r="26">
          <cell r="A26">
            <v>44685</v>
          </cell>
          <cell r="B26" t="str">
            <v>LM</v>
          </cell>
          <cell r="C26">
            <v>0</v>
          </cell>
          <cell r="D26">
            <v>144</v>
          </cell>
          <cell r="E26">
            <v>0</v>
          </cell>
          <cell r="F26">
            <v>0</v>
          </cell>
        </row>
        <row r="27">
          <cell r="A27">
            <v>44685</v>
          </cell>
          <cell r="B27" t="str">
            <v>Andere</v>
          </cell>
          <cell r="C27">
            <v>0</v>
          </cell>
          <cell r="D27">
            <v>303</v>
          </cell>
          <cell r="E27">
            <v>0</v>
          </cell>
          <cell r="F27">
            <v>0</v>
          </cell>
        </row>
        <row r="28">
          <cell r="A28">
            <v>44685</v>
          </cell>
          <cell r="B28" t="str">
            <v>LM</v>
          </cell>
          <cell r="C28">
            <v>0</v>
          </cell>
          <cell r="D28">
            <v>260</v>
          </cell>
          <cell r="E28">
            <v>0</v>
          </cell>
          <cell r="F28">
            <v>0</v>
          </cell>
        </row>
        <row r="30">
          <cell r="A30">
            <v>44686</v>
          </cell>
          <cell r="B30" t="str">
            <v>Party</v>
          </cell>
          <cell r="C30">
            <v>0</v>
          </cell>
          <cell r="D30">
            <v>1090</v>
          </cell>
          <cell r="E30">
            <v>0</v>
          </cell>
          <cell r="F30">
            <v>0</v>
          </cell>
        </row>
        <row r="31">
          <cell r="A31">
            <v>44686</v>
          </cell>
          <cell r="B31" t="str">
            <v>for me</v>
          </cell>
          <cell r="C31">
            <v>0</v>
          </cell>
          <cell r="D31">
            <v>750</v>
          </cell>
          <cell r="E31">
            <v>0</v>
          </cell>
          <cell r="F31">
            <v>0</v>
          </cell>
        </row>
        <row r="32">
          <cell r="A32">
            <v>44686</v>
          </cell>
          <cell r="B32" t="str">
            <v>Rauchen</v>
          </cell>
          <cell r="C32">
            <v>0</v>
          </cell>
          <cell r="D32">
            <v>150</v>
          </cell>
          <cell r="E32">
            <v>0</v>
          </cell>
          <cell r="F32">
            <v>0</v>
          </cell>
        </row>
        <row r="33">
          <cell r="A33">
            <v>44686</v>
          </cell>
          <cell r="B33" t="str">
            <v>LM</v>
          </cell>
          <cell r="C33">
            <v>0</v>
          </cell>
          <cell r="D33">
            <v>467</v>
          </cell>
          <cell r="E33">
            <v>0</v>
          </cell>
          <cell r="F33">
            <v>0</v>
          </cell>
        </row>
        <row r="34">
          <cell r="A34">
            <v>44686</v>
          </cell>
          <cell r="B34" t="str">
            <v>none</v>
          </cell>
          <cell r="C34">
            <v>0</v>
          </cell>
          <cell r="D34">
            <v>500</v>
          </cell>
          <cell r="E34">
            <v>500</v>
          </cell>
          <cell r="F34">
            <v>0</v>
          </cell>
        </row>
        <row r="35">
          <cell r="A35">
            <v>44686</v>
          </cell>
          <cell r="B35" t="str">
            <v>LM</v>
          </cell>
          <cell r="C35">
            <v>0</v>
          </cell>
          <cell r="D35">
            <v>0</v>
          </cell>
          <cell r="E35">
            <v>0</v>
          </cell>
          <cell r="F35">
            <v>270</v>
          </cell>
        </row>
        <row r="37">
          <cell r="A37">
            <v>44687</v>
          </cell>
          <cell r="B37" t="str">
            <v>LM</v>
          </cell>
          <cell r="C37">
            <v>0</v>
          </cell>
          <cell r="D37">
            <v>278</v>
          </cell>
          <cell r="E37">
            <v>0</v>
          </cell>
          <cell r="F37">
            <v>0</v>
          </cell>
        </row>
        <row r="38">
          <cell r="A38">
            <v>44687</v>
          </cell>
          <cell r="B38" t="str">
            <v>Education</v>
          </cell>
          <cell r="C38">
            <v>0</v>
          </cell>
          <cell r="D38">
            <v>750</v>
          </cell>
          <cell r="E38">
            <v>0</v>
          </cell>
          <cell r="F38">
            <v>0</v>
          </cell>
        </row>
        <row r="39">
          <cell r="A39">
            <v>44687</v>
          </cell>
          <cell r="B39" t="str">
            <v>Refill</v>
          </cell>
          <cell r="C39">
            <v>116778.57</v>
          </cell>
          <cell r="D39">
            <v>0</v>
          </cell>
          <cell r="E39">
            <v>0</v>
          </cell>
          <cell r="F39">
            <v>0</v>
          </cell>
        </row>
        <row r="40">
          <cell r="A40">
            <v>44687</v>
          </cell>
          <cell r="B40" t="str">
            <v>VM</v>
          </cell>
          <cell r="C40">
            <v>0</v>
          </cell>
          <cell r="D40">
            <v>494</v>
          </cell>
          <cell r="E40">
            <v>0</v>
          </cell>
          <cell r="F40">
            <v>0</v>
          </cell>
        </row>
        <row r="41">
          <cell r="A41">
            <v>44687</v>
          </cell>
          <cell r="B41" t="str">
            <v>Andere</v>
          </cell>
          <cell r="C41">
            <v>0</v>
          </cell>
          <cell r="D41">
            <v>4950</v>
          </cell>
          <cell r="E41">
            <v>0</v>
          </cell>
          <cell r="F41">
            <v>0</v>
          </cell>
        </row>
        <row r="42">
          <cell r="A42">
            <v>44687</v>
          </cell>
          <cell r="B42" t="str">
            <v>none</v>
          </cell>
          <cell r="C42">
            <v>804</v>
          </cell>
          <cell r="D42">
            <v>0</v>
          </cell>
          <cell r="E42">
            <v>0</v>
          </cell>
          <cell r="F42">
            <v>0</v>
          </cell>
        </row>
        <row r="44">
          <cell r="A44">
            <v>44688</v>
          </cell>
          <cell r="B44" t="str">
            <v>LM</v>
          </cell>
          <cell r="C44">
            <v>0</v>
          </cell>
          <cell r="D44">
            <v>2580</v>
          </cell>
          <cell r="E44">
            <v>0</v>
          </cell>
          <cell r="F44">
            <v>0</v>
          </cell>
        </row>
        <row r="45">
          <cell r="A45">
            <v>44688</v>
          </cell>
          <cell r="B45" t="str">
            <v>for me</v>
          </cell>
          <cell r="C45">
            <v>0</v>
          </cell>
          <cell r="D45">
            <v>1181.5</v>
          </cell>
          <cell r="E45">
            <v>0</v>
          </cell>
          <cell r="F45">
            <v>0</v>
          </cell>
        </row>
        <row r="46">
          <cell r="A46">
            <v>44688</v>
          </cell>
          <cell r="B46" t="str">
            <v>LM</v>
          </cell>
          <cell r="C46">
            <v>0</v>
          </cell>
          <cell r="D46">
            <v>630.99</v>
          </cell>
          <cell r="E46">
            <v>0</v>
          </cell>
          <cell r="F46">
            <v>0</v>
          </cell>
        </row>
        <row r="47">
          <cell r="A47">
            <v>44688</v>
          </cell>
          <cell r="B47" t="str">
            <v>Andere</v>
          </cell>
          <cell r="C47">
            <v>0</v>
          </cell>
          <cell r="D47">
            <v>1550</v>
          </cell>
          <cell r="E47">
            <v>0</v>
          </cell>
          <cell r="F47">
            <v>0</v>
          </cell>
        </row>
        <row r="48">
          <cell r="A48">
            <v>44688</v>
          </cell>
          <cell r="B48" t="str">
            <v>LM</v>
          </cell>
          <cell r="C48">
            <v>0</v>
          </cell>
          <cell r="D48">
            <v>961</v>
          </cell>
          <cell r="E48">
            <v>0</v>
          </cell>
          <cell r="F48">
            <v>0</v>
          </cell>
        </row>
        <row r="49">
          <cell r="A49">
            <v>44688</v>
          </cell>
          <cell r="B49" t="str">
            <v>Party</v>
          </cell>
          <cell r="C49">
            <v>0</v>
          </cell>
          <cell r="D49">
            <v>4950</v>
          </cell>
          <cell r="E49">
            <v>0</v>
          </cell>
          <cell r="F49">
            <v>0</v>
          </cell>
        </row>
        <row r="50">
          <cell r="A50">
            <v>44688</v>
          </cell>
          <cell r="B50" t="str">
            <v>VM</v>
          </cell>
          <cell r="C50">
            <v>0</v>
          </cell>
          <cell r="D50">
            <v>1315</v>
          </cell>
          <cell r="E50">
            <v>0</v>
          </cell>
          <cell r="F50">
            <v>0</v>
          </cell>
        </row>
        <row r="51">
          <cell r="A51">
            <v>44689</v>
          </cell>
          <cell r="B51" t="str">
            <v>Party</v>
          </cell>
          <cell r="C51">
            <v>0</v>
          </cell>
          <cell r="D51">
            <v>2517</v>
          </cell>
          <cell r="E51">
            <v>0</v>
          </cell>
          <cell r="F51">
            <v>0</v>
          </cell>
        </row>
        <row r="52">
          <cell r="A52">
            <v>44689</v>
          </cell>
          <cell r="B52" t="str">
            <v>LM</v>
          </cell>
          <cell r="C52">
            <v>0</v>
          </cell>
          <cell r="D52">
            <v>2729</v>
          </cell>
          <cell r="E52">
            <v>0</v>
          </cell>
          <cell r="F52">
            <v>0</v>
          </cell>
        </row>
        <row r="53">
          <cell r="A53">
            <v>44689</v>
          </cell>
          <cell r="B53" t="str">
            <v>LM</v>
          </cell>
          <cell r="C53">
            <v>0</v>
          </cell>
          <cell r="D53">
            <v>900</v>
          </cell>
          <cell r="E53">
            <v>0</v>
          </cell>
          <cell r="F53">
            <v>0</v>
          </cell>
        </row>
        <row r="54">
          <cell r="A54">
            <v>44689</v>
          </cell>
          <cell r="B54" t="str">
            <v>Education</v>
          </cell>
          <cell r="C54">
            <v>0</v>
          </cell>
          <cell r="D54">
            <v>170</v>
          </cell>
          <cell r="E54">
            <v>0</v>
          </cell>
          <cell r="F54">
            <v>0</v>
          </cell>
        </row>
        <row r="58">
          <cell r="A58">
            <v>44690</v>
          </cell>
          <cell r="B58" t="str">
            <v>LM</v>
          </cell>
          <cell r="C58">
            <v>0</v>
          </cell>
          <cell r="D58">
            <v>290</v>
          </cell>
          <cell r="E58">
            <v>0</v>
          </cell>
          <cell r="F58">
            <v>0</v>
          </cell>
        </row>
        <row r="59">
          <cell r="A59">
            <v>44690</v>
          </cell>
          <cell r="B59" t="str">
            <v>Party</v>
          </cell>
          <cell r="C59">
            <v>0</v>
          </cell>
          <cell r="D59">
            <v>569.97</v>
          </cell>
          <cell r="E59">
            <v>0</v>
          </cell>
          <cell r="F59">
            <v>0</v>
          </cell>
        </row>
        <row r="65">
          <cell r="A65">
            <v>44691</v>
          </cell>
          <cell r="B65" t="str">
            <v>LM</v>
          </cell>
          <cell r="C65">
            <v>0</v>
          </cell>
          <cell r="D65">
            <v>1067</v>
          </cell>
          <cell r="E65">
            <v>0</v>
          </cell>
          <cell r="F65">
            <v>0</v>
          </cell>
        </row>
        <row r="66">
          <cell r="A66">
            <v>44691</v>
          </cell>
          <cell r="B66" t="str">
            <v>none</v>
          </cell>
          <cell r="C66">
            <v>0</v>
          </cell>
          <cell r="D66">
            <v>200</v>
          </cell>
          <cell r="E66">
            <v>200</v>
          </cell>
          <cell r="F66">
            <v>0</v>
          </cell>
        </row>
        <row r="67">
          <cell r="A67">
            <v>44691</v>
          </cell>
          <cell r="B67" t="str">
            <v>Andere</v>
          </cell>
          <cell r="C67">
            <v>0</v>
          </cell>
          <cell r="D67">
            <v>0</v>
          </cell>
          <cell r="E67">
            <v>0</v>
          </cell>
          <cell r="F67">
            <v>335.73</v>
          </cell>
        </row>
        <row r="72">
          <cell r="A72">
            <v>44692</v>
          </cell>
          <cell r="B72" t="str">
            <v>Andere</v>
          </cell>
          <cell r="C72">
            <v>0</v>
          </cell>
          <cell r="D72">
            <v>1500</v>
          </cell>
          <cell r="E72">
            <v>0</v>
          </cell>
          <cell r="F72">
            <v>0</v>
          </cell>
        </row>
        <row r="73">
          <cell r="A73">
            <v>44692</v>
          </cell>
          <cell r="B73" t="str">
            <v>Party</v>
          </cell>
          <cell r="C73">
            <v>0</v>
          </cell>
          <cell r="D73">
            <v>300</v>
          </cell>
          <cell r="E73">
            <v>0</v>
          </cell>
          <cell r="F73">
            <v>0</v>
          </cell>
        </row>
        <row r="74">
          <cell r="A74">
            <v>44692</v>
          </cell>
          <cell r="B74" t="str">
            <v>VM</v>
          </cell>
          <cell r="C74">
            <v>0</v>
          </cell>
          <cell r="D74">
            <v>200</v>
          </cell>
          <cell r="E74">
            <v>0</v>
          </cell>
          <cell r="F74">
            <v>0</v>
          </cell>
        </row>
        <row r="75">
          <cell r="A75">
            <v>44692</v>
          </cell>
          <cell r="B75" t="str">
            <v>for me</v>
          </cell>
          <cell r="C75">
            <v>0</v>
          </cell>
          <cell r="D75">
            <v>1143</v>
          </cell>
          <cell r="E75">
            <v>0</v>
          </cell>
          <cell r="F75">
            <v>0</v>
          </cell>
        </row>
        <row r="76">
          <cell r="A76">
            <v>44692</v>
          </cell>
          <cell r="B76" t="str">
            <v>Rauchen</v>
          </cell>
          <cell r="C76">
            <v>0</v>
          </cell>
          <cell r="D76">
            <v>150</v>
          </cell>
          <cell r="E76">
            <v>0</v>
          </cell>
          <cell r="F76">
            <v>0</v>
          </cell>
        </row>
        <row r="77">
          <cell r="A77">
            <v>44692</v>
          </cell>
          <cell r="B77" t="str">
            <v>none</v>
          </cell>
          <cell r="C77">
            <v>0</v>
          </cell>
          <cell r="D77">
            <v>1000</v>
          </cell>
          <cell r="E77">
            <v>1000</v>
          </cell>
          <cell r="F77">
            <v>0</v>
          </cell>
        </row>
        <row r="79">
          <cell r="A79">
            <v>44693</v>
          </cell>
          <cell r="B79" t="str">
            <v>VM</v>
          </cell>
          <cell r="C79">
            <v>0</v>
          </cell>
          <cell r="D79">
            <v>100</v>
          </cell>
          <cell r="E79">
            <v>0</v>
          </cell>
          <cell r="F79">
            <v>0</v>
          </cell>
        </row>
        <row r="80">
          <cell r="A80">
            <v>44693</v>
          </cell>
          <cell r="B80" t="str">
            <v>LM</v>
          </cell>
          <cell r="C80">
            <v>0</v>
          </cell>
          <cell r="D80">
            <v>555</v>
          </cell>
          <cell r="E80">
            <v>0</v>
          </cell>
          <cell r="F80">
            <v>0</v>
          </cell>
        </row>
        <row r="86">
          <cell r="A86">
            <v>44694</v>
          </cell>
          <cell r="B86" t="str">
            <v>LM</v>
          </cell>
          <cell r="C86">
            <v>0</v>
          </cell>
          <cell r="D86">
            <v>393.88</v>
          </cell>
          <cell r="E86">
            <v>0</v>
          </cell>
          <cell r="F86">
            <v>0</v>
          </cell>
        </row>
        <row r="87">
          <cell r="A87">
            <v>44694</v>
          </cell>
          <cell r="B87" t="str">
            <v>none</v>
          </cell>
          <cell r="C87">
            <v>0</v>
          </cell>
          <cell r="D87">
            <v>1000</v>
          </cell>
          <cell r="E87">
            <v>0</v>
          </cell>
          <cell r="F87">
            <v>0</v>
          </cell>
        </row>
        <row r="88">
          <cell r="A88">
            <v>44694</v>
          </cell>
          <cell r="B88" t="str">
            <v>VM</v>
          </cell>
          <cell r="C88">
            <v>0</v>
          </cell>
          <cell r="D88">
            <v>0</v>
          </cell>
          <cell r="E88">
            <v>0</v>
          </cell>
          <cell r="F88">
            <v>558</v>
          </cell>
        </row>
        <row r="93">
          <cell r="A93">
            <v>44695</v>
          </cell>
          <cell r="B93" t="str">
            <v>Party</v>
          </cell>
          <cell r="C93">
            <v>0</v>
          </cell>
          <cell r="D93">
            <v>6800</v>
          </cell>
          <cell r="E93">
            <v>0</v>
          </cell>
          <cell r="F93">
            <v>0</v>
          </cell>
        </row>
        <row r="94">
          <cell r="A94">
            <v>44695</v>
          </cell>
          <cell r="B94" t="str">
            <v>LM</v>
          </cell>
          <cell r="C94">
            <v>0</v>
          </cell>
          <cell r="D94">
            <v>892.9</v>
          </cell>
          <cell r="E94">
            <v>0</v>
          </cell>
          <cell r="F94">
            <v>0</v>
          </cell>
        </row>
        <row r="95">
          <cell r="A95">
            <v>44695</v>
          </cell>
          <cell r="B95" t="str">
            <v>Rauchen</v>
          </cell>
          <cell r="C95">
            <v>0</v>
          </cell>
          <cell r="D95">
            <v>150</v>
          </cell>
          <cell r="E95">
            <v>0</v>
          </cell>
          <cell r="F95">
            <v>0</v>
          </cell>
        </row>
        <row r="100">
          <cell r="A100">
            <v>44696</v>
          </cell>
          <cell r="B100" t="str">
            <v>LM</v>
          </cell>
          <cell r="C100">
            <v>0</v>
          </cell>
          <cell r="D100">
            <v>308</v>
          </cell>
          <cell r="E100">
            <v>0</v>
          </cell>
          <cell r="F100">
            <v>0</v>
          </cell>
        </row>
        <row r="101">
          <cell r="A101">
            <v>44696</v>
          </cell>
          <cell r="B101" t="str">
            <v>VM</v>
          </cell>
          <cell r="C101">
            <v>0</v>
          </cell>
          <cell r="D101">
            <v>0</v>
          </cell>
          <cell r="E101">
            <v>0</v>
          </cell>
          <cell r="F101">
            <v>228.06</v>
          </cell>
        </row>
        <row r="107">
          <cell r="A107">
            <v>44697</v>
          </cell>
          <cell r="B107" t="str">
            <v>LM</v>
          </cell>
          <cell r="C107">
            <v>0</v>
          </cell>
          <cell r="D107">
            <v>1025</v>
          </cell>
          <cell r="E107">
            <v>0</v>
          </cell>
          <cell r="F107">
            <v>0</v>
          </cell>
        </row>
        <row r="108">
          <cell r="A108">
            <v>44697</v>
          </cell>
          <cell r="B108" t="str">
            <v>Rauchen</v>
          </cell>
          <cell r="C108">
            <v>0</v>
          </cell>
          <cell r="D108">
            <v>170</v>
          </cell>
          <cell r="E108">
            <v>0</v>
          </cell>
          <cell r="F108">
            <v>0</v>
          </cell>
        </row>
        <row r="109">
          <cell r="A109">
            <v>44697</v>
          </cell>
          <cell r="B109" t="str">
            <v>VM</v>
          </cell>
          <cell r="C109">
            <v>0</v>
          </cell>
          <cell r="D109">
            <v>0</v>
          </cell>
          <cell r="E109">
            <v>0</v>
          </cell>
          <cell r="F109">
            <v>100</v>
          </cell>
        </row>
        <row r="114">
          <cell r="A114">
            <v>44698</v>
          </cell>
          <cell r="B114" t="str">
            <v>LM</v>
          </cell>
          <cell r="C114">
            <v>0</v>
          </cell>
          <cell r="D114">
            <v>219.39</v>
          </cell>
          <cell r="E114">
            <v>0</v>
          </cell>
          <cell r="F114">
            <v>0</v>
          </cell>
        </row>
        <row r="115">
          <cell r="A115">
            <v>44698</v>
          </cell>
          <cell r="B115" t="str">
            <v>LM</v>
          </cell>
          <cell r="C115">
            <v>0</v>
          </cell>
          <cell r="D115">
            <v>425</v>
          </cell>
          <cell r="E115">
            <v>0</v>
          </cell>
          <cell r="F115">
            <v>0</v>
          </cell>
        </row>
        <row r="121">
          <cell r="A121">
            <v>44699</v>
          </cell>
          <cell r="B121" t="str">
            <v>LM</v>
          </cell>
          <cell r="C121">
            <v>0</v>
          </cell>
          <cell r="D121">
            <v>575</v>
          </cell>
          <cell r="E121">
            <v>0</v>
          </cell>
          <cell r="F121">
            <v>0</v>
          </cell>
        </row>
        <row r="128">
          <cell r="A128">
            <v>44700</v>
          </cell>
          <cell r="B128" t="str">
            <v>LM</v>
          </cell>
          <cell r="C128">
            <v>0</v>
          </cell>
          <cell r="D128">
            <v>768</v>
          </cell>
          <cell r="E128">
            <v>0</v>
          </cell>
          <cell r="F128">
            <v>0</v>
          </cell>
        </row>
        <row r="129">
          <cell r="A129">
            <v>44700</v>
          </cell>
          <cell r="B129" t="str">
            <v>Andere</v>
          </cell>
          <cell r="C129">
            <v>0</v>
          </cell>
          <cell r="D129">
            <v>660</v>
          </cell>
          <cell r="E129">
            <v>0</v>
          </cell>
          <cell r="F129">
            <v>0</v>
          </cell>
        </row>
        <row r="135">
          <cell r="A135">
            <v>44701</v>
          </cell>
          <cell r="B135" t="str">
            <v>LM</v>
          </cell>
          <cell r="C135">
            <v>0</v>
          </cell>
          <cell r="D135">
            <v>440</v>
          </cell>
          <cell r="E135">
            <v>0</v>
          </cell>
          <cell r="F135">
            <v>0</v>
          </cell>
        </row>
        <row r="136">
          <cell r="A136">
            <v>44701</v>
          </cell>
          <cell r="B136" t="str">
            <v>Rauchen</v>
          </cell>
          <cell r="C136">
            <v>0</v>
          </cell>
          <cell r="D136">
            <v>155</v>
          </cell>
          <cell r="E136">
            <v>0</v>
          </cell>
          <cell r="F136">
            <v>0</v>
          </cell>
        </row>
        <row r="142">
          <cell r="A142">
            <v>44702</v>
          </cell>
          <cell r="B142" t="str">
            <v>Party</v>
          </cell>
          <cell r="C142">
            <v>0</v>
          </cell>
          <cell r="D142">
            <v>2710</v>
          </cell>
          <cell r="E142">
            <v>0</v>
          </cell>
          <cell r="F142">
            <v>0</v>
          </cell>
        </row>
        <row r="143">
          <cell r="A143">
            <v>44702</v>
          </cell>
          <cell r="B143" t="str">
            <v>LM</v>
          </cell>
          <cell r="C143">
            <v>0</v>
          </cell>
          <cell r="D143">
            <v>1554.25</v>
          </cell>
          <cell r="E143">
            <v>0</v>
          </cell>
          <cell r="F143">
            <v>0</v>
          </cell>
        </row>
        <row r="149">
          <cell r="A149">
            <v>44703</v>
          </cell>
          <cell r="B149" t="str">
            <v>Rauchen</v>
          </cell>
          <cell r="C149">
            <v>0</v>
          </cell>
          <cell r="D149">
            <v>150</v>
          </cell>
          <cell r="E149">
            <v>0</v>
          </cell>
          <cell r="F149">
            <v>0</v>
          </cell>
        </row>
        <row r="150">
          <cell r="A150">
            <v>44703</v>
          </cell>
          <cell r="B150" t="str">
            <v>none</v>
          </cell>
          <cell r="C150">
            <v>0</v>
          </cell>
          <cell r="D150">
            <v>500</v>
          </cell>
          <cell r="E150">
            <v>500</v>
          </cell>
          <cell r="F150">
            <v>0</v>
          </cell>
        </row>
        <row r="151">
          <cell r="A151">
            <v>44703</v>
          </cell>
          <cell r="B151" t="str">
            <v>VM</v>
          </cell>
          <cell r="C151">
            <v>0</v>
          </cell>
          <cell r="D151">
            <v>350</v>
          </cell>
          <cell r="E151">
            <v>0</v>
          </cell>
          <cell r="F151">
            <v>0</v>
          </cell>
        </row>
        <row r="152">
          <cell r="A152">
            <v>44703</v>
          </cell>
          <cell r="B152" t="str">
            <v>LM</v>
          </cell>
          <cell r="C152">
            <v>0</v>
          </cell>
          <cell r="D152">
            <v>0</v>
          </cell>
          <cell r="E152">
            <v>0</v>
          </cell>
          <cell r="F152">
            <v>290</v>
          </cell>
        </row>
        <row r="156">
          <cell r="A156">
            <v>44704</v>
          </cell>
          <cell r="B156" t="str">
            <v>LM</v>
          </cell>
          <cell r="C156">
            <v>0</v>
          </cell>
          <cell r="D156">
            <v>2294.17</v>
          </cell>
          <cell r="E156">
            <v>0</v>
          </cell>
          <cell r="F156">
            <v>0</v>
          </cell>
        </row>
        <row r="157">
          <cell r="A157">
            <v>44704</v>
          </cell>
          <cell r="B157" t="str">
            <v>Rauchen</v>
          </cell>
          <cell r="C157">
            <v>0</v>
          </cell>
          <cell r="D157">
            <v>160</v>
          </cell>
          <cell r="E157">
            <v>0</v>
          </cell>
          <cell r="F157">
            <v>0</v>
          </cell>
        </row>
        <row r="163">
          <cell r="A163">
            <v>44705</v>
          </cell>
          <cell r="B163" t="str">
            <v>Refill</v>
          </cell>
          <cell r="C163">
            <v>24012</v>
          </cell>
          <cell r="D163">
            <v>0</v>
          </cell>
          <cell r="E163">
            <v>0</v>
          </cell>
          <cell r="F163">
            <v>0</v>
          </cell>
        </row>
        <row r="164">
          <cell r="A164">
            <v>44705</v>
          </cell>
          <cell r="B164" t="str">
            <v>LM</v>
          </cell>
          <cell r="C164">
            <v>0</v>
          </cell>
          <cell r="D164">
            <v>525</v>
          </cell>
          <cell r="E164">
            <v>0</v>
          </cell>
          <cell r="F164">
            <v>0</v>
          </cell>
        </row>
        <row r="170">
          <cell r="A170">
            <v>44706</v>
          </cell>
          <cell r="B170" t="str">
            <v>Rauchen</v>
          </cell>
          <cell r="C170">
            <v>0</v>
          </cell>
          <cell r="D170">
            <v>155</v>
          </cell>
          <cell r="E170">
            <v>0</v>
          </cell>
          <cell r="F170">
            <v>0</v>
          </cell>
        </row>
        <row r="171">
          <cell r="A171">
            <v>44706</v>
          </cell>
          <cell r="B171" t="str">
            <v>LM</v>
          </cell>
          <cell r="C171">
            <v>0</v>
          </cell>
          <cell r="D171">
            <v>575</v>
          </cell>
          <cell r="E171">
            <v>0</v>
          </cell>
          <cell r="F171">
            <v>0</v>
          </cell>
        </row>
        <row r="172">
          <cell r="A172">
            <v>44706</v>
          </cell>
          <cell r="B172" t="str">
            <v>LM</v>
          </cell>
          <cell r="C172">
            <v>0</v>
          </cell>
          <cell r="D172">
            <v>1456.68</v>
          </cell>
          <cell r="E172">
            <v>0</v>
          </cell>
          <cell r="F172">
            <v>0</v>
          </cell>
        </row>
        <row r="177">
          <cell r="A177">
            <v>44707</v>
          </cell>
          <cell r="B177" t="str">
            <v>Andere</v>
          </cell>
          <cell r="C177">
            <v>0</v>
          </cell>
          <cell r="D177">
            <v>3125</v>
          </cell>
          <cell r="E177">
            <v>0</v>
          </cell>
          <cell r="F177">
            <v>0</v>
          </cell>
        </row>
        <row r="184">
          <cell r="A184">
            <v>44708</v>
          </cell>
          <cell r="B184" t="str">
            <v>LM</v>
          </cell>
          <cell r="C184">
            <v>0</v>
          </cell>
          <cell r="D184">
            <v>490</v>
          </cell>
          <cell r="E184">
            <v>0</v>
          </cell>
          <cell r="F184">
            <v>0</v>
          </cell>
        </row>
        <row r="185">
          <cell r="A185">
            <v>44708</v>
          </cell>
          <cell r="B185" t="str">
            <v>Rauchen</v>
          </cell>
          <cell r="C185">
            <v>0</v>
          </cell>
          <cell r="D185">
            <v>170</v>
          </cell>
          <cell r="E185">
            <v>0</v>
          </cell>
          <cell r="F185">
            <v>0</v>
          </cell>
        </row>
        <row r="191">
          <cell r="A191">
            <v>44709</v>
          </cell>
          <cell r="B191" t="str">
            <v>LM</v>
          </cell>
          <cell r="C191">
            <v>0</v>
          </cell>
          <cell r="D191">
            <v>390</v>
          </cell>
          <cell r="E191">
            <v>0</v>
          </cell>
          <cell r="F191">
            <v>0</v>
          </cell>
        </row>
        <row r="198">
          <cell r="A198">
            <v>44710</v>
          </cell>
          <cell r="B198" t="str">
            <v>Party</v>
          </cell>
          <cell r="C198">
            <v>0</v>
          </cell>
          <cell r="D198">
            <v>3880</v>
          </cell>
          <cell r="E198">
            <v>0</v>
          </cell>
          <cell r="F198">
            <v>0</v>
          </cell>
        </row>
        <row r="199">
          <cell r="A199">
            <v>44710</v>
          </cell>
          <cell r="B199" t="str">
            <v>for me</v>
          </cell>
          <cell r="C199">
            <v>0</v>
          </cell>
          <cell r="D199">
            <v>450</v>
          </cell>
          <cell r="E199">
            <v>0</v>
          </cell>
          <cell r="F199">
            <v>0</v>
          </cell>
        </row>
        <row r="200">
          <cell r="A200">
            <v>44710</v>
          </cell>
          <cell r="B200" t="str">
            <v>LM</v>
          </cell>
          <cell r="C200">
            <v>0</v>
          </cell>
          <cell r="D200">
            <v>754</v>
          </cell>
          <cell r="E200">
            <v>0</v>
          </cell>
          <cell r="F200">
            <v>0</v>
          </cell>
        </row>
        <row r="205">
          <cell r="A205">
            <v>44711</v>
          </cell>
          <cell r="B205" t="str">
            <v>LM</v>
          </cell>
          <cell r="C205">
            <v>0</v>
          </cell>
          <cell r="D205">
            <v>690</v>
          </cell>
          <cell r="E205">
            <v>0</v>
          </cell>
          <cell r="F205">
            <v>0</v>
          </cell>
        </row>
        <row r="206">
          <cell r="A206">
            <v>44711</v>
          </cell>
          <cell r="B206" t="str">
            <v>Rauchen</v>
          </cell>
          <cell r="C206">
            <v>0</v>
          </cell>
          <cell r="D206">
            <v>155</v>
          </cell>
          <cell r="E206">
            <v>0</v>
          </cell>
          <cell r="F206">
            <v>0</v>
          </cell>
        </row>
        <row r="207">
          <cell r="A207">
            <v>44711</v>
          </cell>
          <cell r="B207" t="str">
            <v>LM</v>
          </cell>
          <cell r="C207">
            <v>0</v>
          </cell>
          <cell r="D207">
            <v>825</v>
          </cell>
          <cell r="E207">
            <v>0</v>
          </cell>
          <cell r="F207">
            <v>0</v>
          </cell>
        </row>
        <row r="212">
          <cell r="A212">
            <v>44712</v>
          </cell>
          <cell r="B212" t="str">
            <v>LM</v>
          </cell>
          <cell r="C212">
            <v>0</v>
          </cell>
          <cell r="D212">
            <v>942.3</v>
          </cell>
          <cell r="E212">
            <v>0</v>
          </cell>
          <cell r="F212">
            <v>0</v>
          </cell>
        </row>
        <row r="213">
          <cell r="A213">
            <v>44712</v>
          </cell>
          <cell r="B213" t="str">
            <v>Refill</v>
          </cell>
          <cell r="C213">
            <v>1059.95</v>
          </cell>
          <cell r="D213">
            <v>0</v>
          </cell>
          <cell r="E213">
            <v>0</v>
          </cell>
          <cell r="F213">
            <v>0</v>
          </cell>
        </row>
      </sheetData>
      <sheetData sheetId="17"/>
      <sheetData sheetId="18">
        <row r="2">
          <cell r="A2">
            <v>44713</v>
          </cell>
          <cell r="B2" t="str">
            <v>LM</v>
          </cell>
          <cell r="C2">
            <v>0</v>
          </cell>
          <cell r="D2">
            <v>682</v>
          </cell>
          <cell r="E2">
            <v>0</v>
          </cell>
          <cell r="F2">
            <v>0</v>
          </cell>
        </row>
        <row r="3">
          <cell r="A3">
            <v>44713</v>
          </cell>
          <cell r="B3" t="str">
            <v>Rauchen</v>
          </cell>
          <cell r="C3">
            <v>0</v>
          </cell>
          <cell r="D3">
            <v>155</v>
          </cell>
          <cell r="E3">
            <v>0</v>
          </cell>
          <cell r="F3">
            <v>0</v>
          </cell>
        </row>
        <row r="4">
          <cell r="A4">
            <v>44713</v>
          </cell>
          <cell r="B4" t="str">
            <v>none</v>
          </cell>
          <cell r="C4">
            <v>117.65</v>
          </cell>
          <cell r="D4">
            <v>0</v>
          </cell>
          <cell r="E4">
            <v>0</v>
          </cell>
          <cell r="F4">
            <v>0</v>
          </cell>
        </row>
        <row r="9">
          <cell r="A9">
            <v>44714</v>
          </cell>
          <cell r="B9" t="str">
            <v>LM</v>
          </cell>
          <cell r="C9">
            <v>0</v>
          </cell>
          <cell r="D9">
            <v>440</v>
          </cell>
          <cell r="E9">
            <v>0</v>
          </cell>
          <cell r="F9">
            <v>0</v>
          </cell>
        </row>
        <row r="16">
          <cell r="A16">
            <v>44715</v>
          </cell>
          <cell r="B16" t="str">
            <v>VM</v>
          </cell>
          <cell r="C16">
            <v>0</v>
          </cell>
          <cell r="D16">
            <v>435</v>
          </cell>
          <cell r="E16">
            <v>0</v>
          </cell>
          <cell r="F16">
            <v>0</v>
          </cell>
        </row>
        <row r="17">
          <cell r="A17">
            <v>44715</v>
          </cell>
          <cell r="B17" t="str">
            <v>LM</v>
          </cell>
          <cell r="C17">
            <v>0</v>
          </cell>
          <cell r="D17">
            <v>364</v>
          </cell>
          <cell r="E17">
            <v>0</v>
          </cell>
          <cell r="F17">
            <v>0</v>
          </cell>
        </row>
        <row r="18">
          <cell r="A18">
            <v>44715</v>
          </cell>
          <cell r="B18" t="str">
            <v>none</v>
          </cell>
          <cell r="C18">
            <v>0</v>
          </cell>
          <cell r="D18">
            <v>550</v>
          </cell>
          <cell r="E18">
            <v>550</v>
          </cell>
          <cell r="F18">
            <v>0</v>
          </cell>
        </row>
        <row r="23">
          <cell r="A23">
            <v>44716</v>
          </cell>
          <cell r="B23" t="str">
            <v>none</v>
          </cell>
          <cell r="C23">
            <v>0</v>
          </cell>
          <cell r="D23">
            <v>500</v>
          </cell>
          <cell r="E23">
            <v>500</v>
          </cell>
          <cell r="F23">
            <v>0</v>
          </cell>
        </row>
        <row r="24">
          <cell r="A24">
            <v>44716</v>
          </cell>
          <cell r="B24" t="str">
            <v>Andere</v>
          </cell>
          <cell r="C24">
            <v>0</v>
          </cell>
          <cell r="D24">
            <v>510.2</v>
          </cell>
          <cell r="E24">
            <v>0</v>
          </cell>
          <cell r="F24">
            <v>0</v>
          </cell>
        </row>
        <row r="25">
          <cell r="A25">
            <v>44716</v>
          </cell>
          <cell r="B25" t="str">
            <v>Andere</v>
          </cell>
          <cell r="C25">
            <v>0</v>
          </cell>
          <cell r="D25">
            <v>350</v>
          </cell>
          <cell r="E25">
            <v>0</v>
          </cell>
          <cell r="F25">
            <v>0</v>
          </cell>
        </row>
        <row r="26">
          <cell r="A26">
            <v>44716</v>
          </cell>
          <cell r="B26" t="str">
            <v>LM</v>
          </cell>
          <cell r="C26">
            <v>0</v>
          </cell>
          <cell r="D26">
            <v>2070</v>
          </cell>
          <cell r="E26">
            <v>0</v>
          </cell>
          <cell r="F26">
            <v>0</v>
          </cell>
        </row>
        <row r="27">
          <cell r="A27">
            <v>44716</v>
          </cell>
          <cell r="B27" t="str">
            <v>VM</v>
          </cell>
          <cell r="C27">
            <v>0</v>
          </cell>
          <cell r="D27">
            <v>0</v>
          </cell>
          <cell r="E27">
            <v>0</v>
          </cell>
          <cell r="F27">
            <v>707</v>
          </cell>
        </row>
        <row r="28">
          <cell r="A28">
            <v>44716</v>
          </cell>
          <cell r="B28" t="str">
            <v>none</v>
          </cell>
          <cell r="C28">
            <v>0</v>
          </cell>
          <cell r="D28">
            <v>2110</v>
          </cell>
          <cell r="E28">
            <v>2110</v>
          </cell>
          <cell r="F28">
            <v>0</v>
          </cell>
        </row>
        <row r="30">
          <cell r="A30">
            <v>44717</v>
          </cell>
          <cell r="B30" t="str">
            <v>VM</v>
          </cell>
          <cell r="C30">
            <v>0</v>
          </cell>
          <cell r="D30">
            <v>7424</v>
          </cell>
          <cell r="E30">
            <v>0</v>
          </cell>
          <cell r="F30">
            <v>0</v>
          </cell>
        </row>
        <row r="31">
          <cell r="A31">
            <v>44717</v>
          </cell>
          <cell r="B31" t="str">
            <v>Rauchen</v>
          </cell>
          <cell r="C31">
            <v>0</v>
          </cell>
          <cell r="D31">
            <v>150</v>
          </cell>
          <cell r="E31">
            <v>0</v>
          </cell>
          <cell r="F31">
            <v>0</v>
          </cell>
        </row>
        <row r="32">
          <cell r="A32">
            <v>44717</v>
          </cell>
          <cell r="B32" t="str">
            <v>LM</v>
          </cell>
          <cell r="C32">
            <v>0</v>
          </cell>
          <cell r="D32">
            <v>1966.88</v>
          </cell>
          <cell r="E32">
            <v>150</v>
          </cell>
          <cell r="F32">
            <v>0</v>
          </cell>
        </row>
        <row r="33">
          <cell r="A33">
            <v>44717</v>
          </cell>
          <cell r="B33" t="str">
            <v>none</v>
          </cell>
          <cell r="C33">
            <v>0</v>
          </cell>
          <cell r="D33">
            <v>150</v>
          </cell>
          <cell r="E33">
            <v>0</v>
          </cell>
          <cell r="F33">
            <v>0</v>
          </cell>
        </row>
        <row r="37">
          <cell r="A37">
            <v>44718</v>
          </cell>
          <cell r="B37" t="str">
            <v>LM</v>
          </cell>
          <cell r="C37">
            <v>0</v>
          </cell>
          <cell r="D37">
            <v>109</v>
          </cell>
          <cell r="E37">
            <v>0</v>
          </cell>
          <cell r="F37">
            <v>0</v>
          </cell>
        </row>
        <row r="44">
          <cell r="A44">
            <v>44719</v>
          </cell>
          <cell r="B44" t="str">
            <v>Andere</v>
          </cell>
          <cell r="C44">
            <v>0</v>
          </cell>
          <cell r="D44">
            <v>500</v>
          </cell>
          <cell r="E44">
            <v>500</v>
          </cell>
          <cell r="F44">
            <v>0</v>
          </cell>
        </row>
        <row r="45">
          <cell r="A45">
            <v>44719</v>
          </cell>
          <cell r="B45" t="str">
            <v>LM</v>
          </cell>
          <cell r="C45">
            <v>0</v>
          </cell>
          <cell r="D45">
            <v>570</v>
          </cell>
          <cell r="E45">
            <v>0</v>
          </cell>
          <cell r="F45">
            <v>0</v>
          </cell>
        </row>
        <row r="46">
          <cell r="A46">
            <v>44719</v>
          </cell>
          <cell r="B46" t="str">
            <v>none</v>
          </cell>
          <cell r="C46">
            <v>0</v>
          </cell>
          <cell r="D46">
            <v>490</v>
          </cell>
          <cell r="E46">
            <v>490</v>
          </cell>
          <cell r="F46">
            <v>0</v>
          </cell>
        </row>
        <row r="51">
          <cell r="A51">
            <v>44720</v>
          </cell>
          <cell r="B51" t="str">
            <v>LM</v>
          </cell>
          <cell r="C51">
            <v>0</v>
          </cell>
          <cell r="D51">
            <v>788</v>
          </cell>
          <cell r="E51">
            <v>0</v>
          </cell>
          <cell r="F51">
            <v>0</v>
          </cell>
        </row>
        <row r="52">
          <cell r="A52">
            <v>44720</v>
          </cell>
          <cell r="B52" t="str">
            <v>Rauchen</v>
          </cell>
          <cell r="C52">
            <v>0</v>
          </cell>
          <cell r="D52">
            <v>155</v>
          </cell>
          <cell r="E52">
            <v>0</v>
          </cell>
          <cell r="F52">
            <v>0</v>
          </cell>
        </row>
        <row r="58">
          <cell r="A58">
            <v>44721</v>
          </cell>
          <cell r="B58" t="str">
            <v>none</v>
          </cell>
          <cell r="C58">
            <v>0</v>
          </cell>
          <cell r="D58">
            <v>200</v>
          </cell>
          <cell r="E58">
            <v>200</v>
          </cell>
          <cell r="F58">
            <v>0</v>
          </cell>
        </row>
        <row r="59">
          <cell r="A59">
            <v>44721</v>
          </cell>
          <cell r="B59" t="str">
            <v>Andere</v>
          </cell>
          <cell r="C59">
            <v>0</v>
          </cell>
          <cell r="D59">
            <v>200</v>
          </cell>
          <cell r="E59">
            <v>200</v>
          </cell>
          <cell r="F59">
            <v>0</v>
          </cell>
        </row>
        <row r="60">
          <cell r="A60">
            <v>44721</v>
          </cell>
          <cell r="B60" t="str">
            <v>VM</v>
          </cell>
          <cell r="C60">
            <v>0</v>
          </cell>
          <cell r="D60">
            <v>850</v>
          </cell>
          <cell r="E60">
            <v>0</v>
          </cell>
          <cell r="F60">
            <v>0</v>
          </cell>
        </row>
        <row r="61">
          <cell r="A61">
            <v>44721</v>
          </cell>
          <cell r="B61" t="str">
            <v>Party</v>
          </cell>
          <cell r="C61">
            <v>0</v>
          </cell>
          <cell r="D61">
            <v>530</v>
          </cell>
          <cell r="E61">
            <v>0</v>
          </cell>
          <cell r="F61">
            <v>0</v>
          </cell>
        </row>
        <row r="62">
          <cell r="A62">
            <v>44721</v>
          </cell>
          <cell r="B62" t="str">
            <v>none</v>
          </cell>
          <cell r="C62">
            <v>0</v>
          </cell>
          <cell r="D62">
            <v>199.96</v>
          </cell>
          <cell r="E62">
            <v>199.96</v>
          </cell>
          <cell r="F62">
            <v>0</v>
          </cell>
        </row>
        <row r="63">
          <cell r="A63">
            <v>44721</v>
          </cell>
          <cell r="B63" t="str">
            <v>Refill</v>
          </cell>
          <cell r="C63">
            <v>149220</v>
          </cell>
          <cell r="D63">
            <v>0</v>
          </cell>
          <cell r="E63">
            <v>0</v>
          </cell>
          <cell r="F63">
            <v>0</v>
          </cell>
        </row>
        <row r="64">
          <cell r="A64">
            <v>44721</v>
          </cell>
          <cell r="B64" t="str">
            <v>LM</v>
          </cell>
          <cell r="C64">
            <v>0</v>
          </cell>
          <cell r="D64">
            <v>0</v>
          </cell>
          <cell r="E64">
            <v>0</v>
          </cell>
          <cell r="F64">
            <v>370</v>
          </cell>
        </row>
        <row r="65">
          <cell r="A65">
            <v>44722</v>
          </cell>
          <cell r="B65" t="str">
            <v>Andere</v>
          </cell>
          <cell r="C65">
            <v>0</v>
          </cell>
          <cell r="D65">
            <v>0</v>
          </cell>
          <cell r="E65">
            <v>0</v>
          </cell>
          <cell r="F65">
            <v>367.04</v>
          </cell>
        </row>
        <row r="66">
          <cell r="A66">
            <v>44722</v>
          </cell>
          <cell r="B66" t="str">
            <v>Andere</v>
          </cell>
          <cell r="C66">
            <v>0</v>
          </cell>
          <cell r="D66">
            <v>0</v>
          </cell>
          <cell r="E66">
            <v>0</v>
          </cell>
          <cell r="F66">
            <v>0.1</v>
          </cell>
        </row>
        <row r="72">
          <cell r="A72">
            <v>44723</v>
          </cell>
          <cell r="B72" t="str">
            <v>Andere</v>
          </cell>
          <cell r="C72">
            <v>0</v>
          </cell>
          <cell r="D72">
            <v>959.78</v>
          </cell>
          <cell r="E72">
            <v>0</v>
          </cell>
          <cell r="F72">
            <v>0</v>
          </cell>
        </row>
        <row r="79">
          <cell r="A79">
            <v>44724</v>
          </cell>
          <cell r="B79" t="str">
            <v>LM</v>
          </cell>
          <cell r="C79">
            <v>0</v>
          </cell>
          <cell r="D79">
            <v>53.99</v>
          </cell>
          <cell r="E79">
            <v>0</v>
          </cell>
          <cell r="F79">
            <v>0</v>
          </cell>
        </row>
        <row r="86">
          <cell r="A86">
            <v>44725</v>
          </cell>
          <cell r="B86" t="str">
            <v>LM</v>
          </cell>
          <cell r="C86">
            <v>0</v>
          </cell>
          <cell r="D86">
            <v>373</v>
          </cell>
          <cell r="E86">
            <v>0</v>
          </cell>
          <cell r="F86">
            <v>0</v>
          </cell>
        </row>
        <row r="93">
          <cell r="A93">
            <v>44726</v>
          </cell>
          <cell r="B93" t="str">
            <v>LM</v>
          </cell>
          <cell r="C93">
            <v>0</v>
          </cell>
          <cell r="D93">
            <v>350</v>
          </cell>
          <cell r="E93">
            <v>0</v>
          </cell>
          <cell r="F93">
            <v>0</v>
          </cell>
        </row>
        <row r="94">
          <cell r="A94">
            <v>44726</v>
          </cell>
          <cell r="B94" t="str">
            <v>VM</v>
          </cell>
          <cell r="C94">
            <v>0</v>
          </cell>
          <cell r="D94">
            <v>450</v>
          </cell>
          <cell r="E94">
            <v>0</v>
          </cell>
          <cell r="F94">
            <v>0</v>
          </cell>
        </row>
        <row r="100">
          <cell r="A100">
            <v>44727</v>
          </cell>
          <cell r="B100" t="str">
            <v>LM</v>
          </cell>
          <cell r="C100">
            <v>0</v>
          </cell>
          <cell r="D100">
            <v>460.84</v>
          </cell>
          <cell r="E100">
            <v>0</v>
          </cell>
          <cell r="F100">
            <v>0</v>
          </cell>
        </row>
        <row r="101">
          <cell r="A101">
            <v>44727</v>
          </cell>
          <cell r="B101" t="str">
            <v>LM</v>
          </cell>
          <cell r="C101">
            <v>0</v>
          </cell>
          <cell r="D101">
            <v>0</v>
          </cell>
          <cell r="E101">
            <v>0</v>
          </cell>
          <cell r="F101">
            <v>270</v>
          </cell>
        </row>
        <row r="107">
          <cell r="A107">
            <v>44728</v>
          </cell>
          <cell r="B107" t="str">
            <v>LM</v>
          </cell>
          <cell r="C107">
            <v>0</v>
          </cell>
          <cell r="D107">
            <v>1137</v>
          </cell>
          <cell r="E107">
            <v>0</v>
          </cell>
          <cell r="F107">
            <v>0</v>
          </cell>
        </row>
        <row r="108">
          <cell r="A108">
            <v>44728</v>
          </cell>
          <cell r="B108" t="str">
            <v>Rauchen</v>
          </cell>
          <cell r="C108">
            <v>0</v>
          </cell>
          <cell r="D108">
            <v>150</v>
          </cell>
          <cell r="E108">
            <v>0</v>
          </cell>
          <cell r="F108">
            <v>0</v>
          </cell>
        </row>
        <row r="114">
          <cell r="A114">
            <v>44729</v>
          </cell>
          <cell r="B114" t="str">
            <v>LM</v>
          </cell>
          <cell r="C114">
            <v>0</v>
          </cell>
          <cell r="D114">
            <v>0</v>
          </cell>
          <cell r="E114">
            <v>0</v>
          </cell>
          <cell r="F114">
            <v>240</v>
          </cell>
        </row>
        <row r="121">
          <cell r="A121">
            <v>44730</v>
          </cell>
          <cell r="B121" t="str">
            <v>Kleidung</v>
          </cell>
          <cell r="C121">
            <v>0</v>
          </cell>
          <cell r="D121">
            <v>7500</v>
          </cell>
          <cell r="E121">
            <v>0</v>
          </cell>
          <cell r="F121">
            <v>0</v>
          </cell>
        </row>
        <row r="122">
          <cell r="A122">
            <v>44730</v>
          </cell>
          <cell r="B122" t="str">
            <v>LM</v>
          </cell>
          <cell r="C122">
            <v>0</v>
          </cell>
          <cell r="D122">
            <v>817.6099999999999</v>
          </cell>
          <cell r="E122">
            <v>0</v>
          </cell>
          <cell r="F122">
            <v>0</v>
          </cell>
        </row>
        <row r="123">
          <cell r="A123">
            <v>44730</v>
          </cell>
          <cell r="B123" t="str">
            <v>Andere</v>
          </cell>
          <cell r="C123">
            <v>0</v>
          </cell>
          <cell r="D123">
            <v>110</v>
          </cell>
          <cell r="E123">
            <v>0</v>
          </cell>
          <cell r="F123">
            <v>0</v>
          </cell>
        </row>
        <row r="128">
          <cell r="A128">
            <v>44731</v>
          </cell>
          <cell r="B128" t="str">
            <v>Party</v>
          </cell>
          <cell r="C128">
            <v>0</v>
          </cell>
          <cell r="D128">
            <v>7020</v>
          </cell>
          <cell r="E128">
            <v>0</v>
          </cell>
          <cell r="F128">
            <v>0</v>
          </cell>
        </row>
        <row r="129">
          <cell r="A129">
            <v>44731</v>
          </cell>
          <cell r="B129" t="str">
            <v>LM</v>
          </cell>
          <cell r="C129">
            <v>0</v>
          </cell>
          <cell r="D129">
            <v>559.95000000000005</v>
          </cell>
          <cell r="E129">
            <v>0</v>
          </cell>
          <cell r="F129">
            <v>0</v>
          </cell>
        </row>
        <row r="130">
          <cell r="A130">
            <v>44731</v>
          </cell>
          <cell r="B130" t="str">
            <v>VM</v>
          </cell>
          <cell r="C130">
            <v>0</v>
          </cell>
          <cell r="D130">
            <v>51</v>
          </cell>
          <cell r="E130">
            <v>0</v>
          </cell>
          <cell r="F130">
            <v>118</v>
          </cell>
        </row>
        <row r="131">
          <cell r="A131">
            <v>44731</v>
          </cell>
          <cell r="B131" t="str">
            <v>none</v>
          </cell>
          <cell r="C131">
            <v>0</v>
          </cell>
          <cell r="D131">
            <v>7980</v>
          </cell>
          <cell r="E131">
            <v>7980</v>
          </cell>
          <cell r="F131">
            <v>0</v>
          </cell>
        </row>
        <row r="135">
          <cell r="A135">
            <v>44732</v>
          </cell>
          <cell r="B135" t="str">
            <v>Andere</v>
          </cell>
          <cell r="C135">
            <v>0</v>
          </cell>
          <cell r="D135">
            <v>326.83</v>
          </cell>
          <cell r="E135">
            <v>0</v>
          </cell>
          <cell r="F135">
            <v>0</v>
          </cell>
        </row>
        <row r="136">
          <cell r="A136">
            <v>44732</v>
          </cell>
          <cell r="B136" t="str">
            <v>LM</v>
          </cell>
          <cell r="C136">
            <v>0</v>
          </cell>
          <cell r="D136">
            <v>808.86</v>
          </cell>
          <cell r="E136">
            <v>0</v>
          </cell>
          <cell r="F136">
            <v>0</v>
          </cell>
        </row>
        <row r="137">
          <cell r="A137">
            <v>44732</v>
          </cell>
          <cell r="B137" t="str">
            <v>VM</v>
          </cell>
          <cell r="C137">
            <v>0</v>
          </cell>
          <cell r="D137">
            <v>0</v>
          </cell>
          <cell r="E137">
            <v>0</v>
          </cell>
          <cell r="F137">
            <v>174</v>
          </cell>
        </row>
        <row r="142">
          <cell r="A142">
            <v>44733</v>
          </cell>
          <cell r="B142" t="str">
            <v>LM</v>
          </cell>
          <cell r="C142">
            <v>0</v>
          </cell>
          <cell r="D142">
            <v>0</v>
          </cell>
          <cell r="E142">
            <v>0</v>
          </cell>
          <cell r="F142">
            <v>370</v>
          </cell>
        </row>
        <row r="149">
          <cell r="A149">
            <v>44734</v>
          </cell>
          <cell r="B149" t="str">
            <v>LM</v>
          </cell>
          <cell r="C149">
            <v>0</v>
          </cell>
          <cell r="D149">
            <v>500</v>
          </cell>
          <cell r="E149">
            <v>0</v>
          </cell>
          <cell r="F149">
            <v>0</v>
          </cell>
        </row>
        <row r="150">
          <cell r="A150">
            <v>44734</v>
          </cell>
          <cell r="B150" t="str">
            <v>Rauchen</v>
          </cell>
          <cell r="C150">
            <v>0</v>
          </cell>
          <cell r="D150">
            <v>1240</v>
          </cell>
          <cell r="E150">
            <v>0</v>
          </cell>
          <cell r="F150">
            <v>0</v>
          </cell>
        </row>
        <row r="156">
          <cell r="A156">
            <v>44735</v>
          </cell>
          <cell r="B156" t="str">
            <v>LM</v>
          </cell>
          <cell r="C156">
            <v>0</v>
          </cell>
          <cell r="D156">
            <v>848.95</v>
          </cell>
          <cell r="E156">
            <v>0</v>
          </cell>
          <cell r="F156">
            <v>0</v>
          </cell>
        </row>
        <row r="157">
          <cell r="A157">
            <v>44735</v>
          </cell>
          <cell r="B157" t="str">
            <v>VM</v>
          </cell>
          <cell r="C157">
            <v>0</v>
          </cell>
          <cell r="D157">
            <v>51</v>
          </cell>
          <cell r="E157">
            <v>0</v>
          </cell>
          <cell r="F157">
            <v>0</v>
          </cell>
        </row>
        <row r="163">
          <cell r="A163">
            <v>44736</v>
          </cell>
          <cell r="B163" t="str">
            <v>LM</v>
          </cell>
          <cell r="C163">
            <v>0</v>
          </cell>
          <cell r="D163">
            <v>619.38</v>
          </cell>
          <cell r="E163">
            <v>0</v>
          </cell>
          <cell r="F163">
            <v>0</v>
          </cell>
        </row>
        <row r="164">
          <cell r="A164">
            <v>44736</v>
          </cell>
          <cell r="B164" t="str">
            <v>Refill</v>
          </cell>
          <cell r="C164">
            <v>34302.57</v>
          </cell>
          <cell r="D164">
            <v>0</v>
          </cell>
          <cell r="E164">
            <v>0</v>
          </cell>
          <cell r="F164">
            <v>0</v>
          </cell>
        </row>
        <row r="170">
          <cell r="A170">
            <v>44737</v>
          </cell>
          <cell r="B170" t="str">
            <v>LM</v>
          </cell>
          <cell r="C170">
            <v>0</v>
          </cell>
          <cell r="D170">
            <v>589.79999999999995</v>
          </cell>
          <cell r="E170">
            <v>0</v>
          </cell>
          <cell r="F170">
            <v>0</v>
          </cell>
        </row>
        <row r="171">
          <cell r="A171">
            <v>44737</v>
          </cell>
          <cell r="B171" t="str">
            <v>Party</v>
          </cell>
          <cell r="C171">
            <v>0</v>
          </cell>
          <cell r="D171">
            <v>467</v>
          </cell>
          <cell r="E171">
            <v>0</v>
          </cell>
          <cell r="F171">
            <v>0</v>
          </cell>
        </row>
        <row r="172">
          <cell r="A172">
            <v>44737</v>
          </cell>
          <cell r="B172" t="str">
            <v>for me</v>
          </cell>
          <cell r="C172">
            <v>0</v>
          </cell>
          <cell r="D172">
            <v>500</v>
          </cell>
          <cell r="E172">
            <v>0</v>
          </cell>
          <cell r="F172">
            <v>0</v>
          </cell>
        </row>
        <row r="173">
          <cell r="A173">
            <v>44737</v>
          </cell>
          <cell r="B173" t="str">
            <v>VM</v>
          </cell>
          <cell r="C173">
            <v>0</v>
          </cell>
          <cell r="D173">
            <v>0</v>
          </cell>
          <cell r="E173">
            <v>0</v>
          </cell>
          <cell r="F173">
            <v>315</v>
          </cell>
        </row>
        <row r="174">
          <cell r="A174">
            <v>44737</v>
          </cell>
          <cell r="B174" t="str">
            <v>VM</v>
          </cell>
          <cell r="C174">
            <v>0</v>
          </cell>
          <cell r="D174">
            <v>0</v>
          </cell>
          <cell r="E174">
            <v>0</v>
          </cell>
          <cell r="F174">
            <v>491</v>
          </cell>
        </row>
        <row r="175">
          <cell r="A175">
            <v>44737</v>
          </cell>
          <cell r="B175" t="str">
            <v>none</v>
          </cell>
          <cell r="C175">
            <v>0</v>
          </cell>
          <cell r="D175">
            <v>760</v>
          </cell>
          <cell r="E175">
            <v>760</v>
          </cell>
          <cell r="F175">
            <v>0</v>
          </cell>
        </row>
        <row r="176">
          <cell r="A176">
            <v>44737</v>
          </cell>
          <cell r="B176" t="str">
            <v>for me</v>
          </cell>
          <cell r="C176">
            <v>0</v>
          </cell>
          <cell r="D176">
            <v>0</v>
          </cell>
          <cell r="E176">
            <v>0</v>
          </cell>
          <cell r="F176">
            <v>2380</v>
          </cell>
        </row>
        <row r="177">
          <cell r="A177">
            <v>44738</v>
          </cell>
          <cell r="B177" t="str">
            <v>Andere</v>
          </cell>
          <cell r="C177">
            <v>0</v>
          </cell>
          <cell r="D177">
            <v>380</v>
          </cell>
          <cell r="E177">
            <v>0</v>
          </cell>
          <cell r="F177">
            <v>0</v>
          </cell>
        </row>
        <row r="178">
          <cell r="A178">
            <v>44738</v>
          </cell>
          <cell r="B178" t="str">
            <v>Andere</v>
          </cell>
          <cell r="C178">
            <v>0</v>
          </cell>
          <cell r="D178">
            <v>450</v>
          </cell>
          <cell r="E178">
            <v>0</v>
          </cell>
          <cell r="F178">
            <v>0</v>
          </cell>
        </row>
        <row r="179">
          <cell r="A179">
            <v>44738</v>
          </cell>
          <cell r="B179" t="str">
            <v>LM</v>
          </cell>
          <cell r="C179">
            <v>0</v>
          </cell>
          <cell r="D179">
            <v>1264.51</v>
          </cell>
          <cell r="E179">
            <v>0</v>
          </cell>
          <cell r="F179">
            <v>0</v>
          </cell>
        </row>
        <row r="180">
          <cell r="A180">
            <v>44738</v>
          </cell>
          <cell r="B180" t="str">
            <v>VM</v>
          </cell>
          <cell r="C180">
            <v>0</v>
          </cell>
          <cell r="D180">
            <v>0</v>
          </cell>
          <cell r="E180">
            <v>0</v>
          </cell>
          <cell r="F180">
            <v>42</v>
          </cell>
        </row>
        <row r="184">
          <cell r="A184">
            <v>44739</v>
          </cell>
          <cell r="B184" t="str">
            <v>LM</v>
          </cell>
          <cell r="C184">
            <v>0</v>
          </cell>
          <cell r="D184">
            <v>1480</v>
          </cell>
          <cell r="E184">
            <v>0</v>
          </cell>
          <cell r="F184">
            <v>0</v>
          </cell>
        </row>
        <row r="185">
          <cell r="A185">
            <v>44739</v>
          </cell>
          <cell r="B185" t="str">
            <v>VM</v>
          </cell>
          <cell r="C185">
            <v>0</v>
          </cell>
          <cell r="D185">
            <v>0</v>
          </cell>
          <cell r="E185">
            <v>0</v>
          </cell>
          <cell r="F185">
            <v>61</v>
          </cell>
        </row>
        <row r="191">
          <cell r="A191">
            <v>44740</v>
          </cell>
          <cell r="B191" t="str">
            <v>LM</v>
          </cell>
          <cell r="C191">
            <v>0</v>
          </cell>
          <cell r="D191">
            <v>948.97</v>
          </cell>
          <cell r="E191">
            <v>0</v>
          </cell>
          <cell r="F191">
            <v>0</v>
          </cell>
        </row>
        <row r="192">
          <cell r="A192">
            <v>44740</v>
          </cell>
          <cell r="B192" t="str">
            <v>VM</v>
          </cell>
          <cell r="C192">
            <v>0</v>
          </cell>
          <cell r="D192">
            <v>0</v>
          </cell>
          <cell r="E192">
            <v>0</v>
          </cell>
          <cell r="F192">
            <v>32</v>
          </cell>
        </row>
        <row r="198">
          <cell r="A198">
            <v>44741</v>
          </cell>
          <cell r="B198" t="str">
            <v>LM</v>
          </cell>
          <cell r="C198">
            <v>0</v>
          </cell>
          <cell r="D198">
            <v>673.98</v>
          </cell>
          <cell r="E198">
            <v>0</v>
          </cell>
          <cell r="F198">
            <v>0</v>
          </cell>
        </row>
        <row r="205">
          <cell r="A205">
            <v>44742</v>
          </cell>
          <cell r="B205" t="str">
            <v>VM</v>
          </cell>
          <cell r="C205">
            <v>0</v>
          </cell>
          <cell r="D205">
            <v>0</v>
          </cell>
          <cell r="E205">
            <v>0</v>
          </cell>
          <cell r="F205">
            <v>400</v>
          </cell>
        </row>
        <row r="206">
          <cell r="A206">
            <v>44742</v>
          </cell>
          <cell r="B206" t="str">
            <v>LM</v>
          </cell>
          <cell r="C206">
            <v>0</v>
          </cell>
          <cell r="D206">
            <v>0</v>
          </cell>
          <cell r="E206">
            <v>0</v>
          </cell>
          <cell r="F206">
            <v>400</v>
          </cell>
        </row>
        <row r="207">
          <cell r="A207">
            <v>44742</v>
          </cell>
          <cell r="B207" t="str">
            <v>Refill</v>
          </cell>
          <cell r="C207">
            <v>1273.97</v>
          </cell>
          <cell r="D207">
            <v>0</v>
          </cell>
          <cell r="E207">
            <v>0</v>
          </cell>
          <cell r="F207">
            <v>0</v>
          </cell>
        </row>
        <row r="209">
          <cell r="A209">
            <v>44742</v>
          </cell>
          <cell r="B209" t="str">
            <v>LM</v>
          </cell>
          <cell r="C209">
            <v>0</v>
          </cell>
          <cell r="D209">
            <v>803.99</v>
          </cell>
          <cell r="E209">
            <v>0</v>
          </cell>
          <cell r="F209">
            <v>0</v>
          </cell>
        </row>
        <row r="210">
          <cell r="A210">
            <v>44742</v>
          </cell>
          <cell r="B210" t="str">
            <v>VM</v>
          </cell>
          <cell r="C210">
            <v>0</v>
          </cell>
          <cell r="D210">
            <v>0</v>
          </cell>
          <cell r="E210">
            <v>0</v>
          </cell>
          <cell r="F210">
            <v>102</v>
          </cell>
        </row>
      </sheetData>
      <sheetData sheetId="19">
        <row r="2">
          <cell r="A2">
            <v>44743</v>
          </cell>
          <cell r="B2" t="str">
            <v>VM</v>
          </cell>
          <cell r="C2">
            <v>0</v>
          </cell>
          <cell r="D2">
            <v>435</v>
          </cell>
          <cell r="E2">
            <v>0</v>
          </cell>
          <cell r="F2">
            <v>40</v>
          </cell>
        </row>
        <row r="3">
          <cell r="A3">
            <v>44743</v>
          </cell>
          <cell r="B3" t="str">
            <v>LM</v>
          </cell>
          <cell r="C3">
            <v>0</v>
          </cell>
          <cell r="D3">
            <v>974.7</v>
          </cell>
          <cell r="E3">
            <v>0</v>
          </cell>
          <cell r="F3">
            <v>0</v>
          </cell>
        </row>
        <row r="4">
          <cell r="A4">
            <v>44743</v>
          </cell>
          <cell r="B4" t="str">
            <v>Andere</v>
          </cell>
          <cell r="C4">
            <v>0</v>
          </cell>
          <cell r="D4">
            <v>530</v>
          </cell>
          <cell r="E4">
            <v>0</v>
          </cell>
          <cell r="F4">
            <v>0</v>
          </cell>
        </row>
        <row r="5">
          <cell r="A5">
            <v>44743</v>
          </cell>
          <cell r="B5" t="str">
            <v>Kleidung</v>
          </cell>
          <cell r="C5">
            <v>0</v>
          </cell>
          <cell r="D5">
            <v>6645</v>
          </cell>
          <cell r="E5">
            <v>0</v>
          </cell>
          <cell r="F5">
            <v>0</v>
          </cell>
        </row>
        <row r="9">
          <cell r="A9">
            <v>44744</v>
          </cell>
          <cell r="B9" t="str">
            <v>LM</v>
          </cell>
          <cell r="C9">
            <v>0</v>
          </cell>
          <cell r="D9">
            <v>748.84</v>
          </cell>
          <cell r="E9">
            <v>0</v>
          </cell>
          <cell r="F9">
            <v>270</v>
          </cell>
        </row>
        <row r="10">
          <cell r="A10">
            <v>44744</v>
          </cell>
          <cell r="B10" t="str">
            <v>Frauen</v>
          </cell>
          <cell r="C10">
            <v>0</v>
          </cell>
          <cell r="D10">
            <v>1960</v>
          </cell>
          <cell r="E10">
            <v>0</v>
          </cell>
          <cell r="F10">
            <v>0</v>
          </cell>
        </row>
        <row r="11">
          <cell r="A11">
            <v>44744</v>
          </cell>
          <cell r="B11" t="str">
            <v>VM</v>
          </cell>
          <cell r="C11">
            <v>0</v>
          </cell>
          <cell r="D11">
            <v>0</v>
          </cell>
          <cell r="E11">
            <v>0</v>
          </cell>
          <cell r="F11">
            <v>128</v>
          </cell>
        </row>
        <row r="12">
          <cell r="A12">
            <v>44744</v>
          </cell>
          <cell r="B12" t="str">
            <v>VM</v>
          </cell>
          <cell r="C12">
            <v>0</v>
          </cell>
          <cell r="D12">
            <v>0</v>
          </cell>
          <cell r="E12">
            <v>0</v>
          </cell>
          <cell r="F12">
            <v>499</v>
          </cell>
        </row>
        <row r="13">
          <cell r="A13">
            <v>44744</v>
          </cell>
          <cell r="B13" t="str">
            <v>for me</v>
          </cell>
          <cell r="C13">
            <v>0</v>
          </cell>
          <cell r="D13">
            <v>0</v>
          </cell>
          <cell r="E13">
            <v>0</v>
          </cell>
          <cell r="F13">
            <v>2800</v>
          </cell>
        </row>
        <row r="16">
          <cell r="A16">
            <v>44745</v>
          </cell>
          <cell r="B16" t="str">
            <v>LM</v>
          </cell>
          <cell r="C16">
            <v>0</v>
          </cell>
          <cell r="D16">
            <v>406.98</v>
          </cell>
          <cell r="E16">
            <v>0</v>
          </cell>
          <cell r="F16">
            <v>70</v>
          </cell>
        </row>
        <row r="17">
          <cell r="A17">
            <v>44745</v>
          </cell>
          <cell r="B17" t="str">
            <v>VM</v>
          </cell>
          <cell r="C17">
            <v>0</v>
          </cell>
          <cell r="D17">
            <v>0</v>
          </cell>
          <cell r="E17">
            <v>0</v>
          </cell>
          <cell r="F17">
            <v>63</v>
          </cell>
        </row>
        <row r="23">
          <cell r="A23">
            <v>44746</v>
          </cell>
          <cell r="B23" t="str">
            <v>Andere</v>
          </cell>
          <cell r="C23">
            <v>0</v>
          </cell>
          <cell r="D23">
            <v>300</v>
          </cell>
          <cell r="E23">
            <v>0</v>
          </cell>
          <cell r="F23">
            <v>0</v>
          </cell>
        </row>
        <row r="24">
          <cell r="A24">
            <v>44746</v>
          </cell>
          <cell r="B24" t="str">
            <v>LM</v>
          </cell>
          <cell r="C24">
            <v>0</v>
          </cell>
          <cell r="D24">
            <v>539</v>
          </cell>
          <cell r="E24">
            <v>0</v>
          </cell>
          <cell r="F24">
            <v>0</v>
          </cell>
        </row>
        <row r="25">
          <cell r="A25">
            <v>44746</v>
          </cell>
          <cell r="B25" t="str">
            <v>Rauchen</v>
          </cell>
          <cell r="C25">
            <v>0</v>
          </cell>
          <cell r="D25">
            <v>600</v>
          </cell>
          <cell r="E25">
            <v>0</v>
          </cell>
          <cell r="F25">
            <v>0</v>
          </cell>
        </row>
        <row r="26">
          <cell r="A26">
            <v>44746</v>
          </cell>
          <cell r="B26" t="str">
            <v>VM</v>
          </cell>
          <cell r="C26">
            <v>0</v>
          </cell>
          <cell r="D26">
            <v>0</v>
          </cell>
          <cell r="E26">
            <v>0</v>
          </cell>
          <cell r="F26">
            <v>72</v>
          </cell>
        </row>
        <row r="30">
          <cell r="A30">
            <v>44747</v>
          </cell>
          <cell r="B30" t="str">
            <v>Party</v>
          </cell>
          <cell r="C30">
            <v>0</v>
          </cell>
          <cell r="D30">
            <v>7000</v>
          </cell>
          <cell r="E30">
            <v>0</v>
          </cell>
          <cell r="F30">
            <v>0</v>
          </cell>
        </row>
        <row r="31">
          <cell r="A31">
            <v>44747</v>
          </cell>
          <cell r="B31" t="str">
            <v>for me</v>
          </cell>
          <cell r="C31">
            <v>0</v>
          </cell>
          <cell r="D31">
            <v>800</v>
          </cell>
          <cell r="E31">
            <v>0</v>
          </cell>
          <cell r="F31">
            <v>0</v>
          </cell>
        </row>
        <row r="32">
          <cell r="A32">
            <v>44747</v>
          </cell>
          <cell r="B32" t="str">
            <v>none</v>
          </cell>
          <cell r="C32">
            <v>0</v>
          </cell>
          <cell r="D32">
            <v>600</v>
          </cell>
          <cell r="E32">
            <v>0</v>
          </cell>
          <cell r="F32">
            <v>0</v>
          </cell>
        </row>
        <row r="33">
          <cell r="A33">
            <v>44747</v>
          </cell>
          <cell r="B33" t="str">
            <v>Andere</v>
          </cell>
          <cell r="C33">
            <v>0</v>
          </cell>
          <cell r="D33">
            <v>500</v>
          </cell>
          <cell r="E33">
            <v>0</v>
          </cell>
          <cell r="F33">
            <v>0</v>
          </cell>
        </row>
        <row r="34">
          <cell r="A34">
            <v>44747</v>
          </cell>
          <cell r="B34" t="str">
            <v>VM</v>
          </cell>
          <cell r="C34">
            <v>0</v>
          </cell>
          <cell r="D34">
            <v>102</v>
          </cell>
          <cell r="E34">
            <v>0</v>
          </cell>
          <cell r="F34">
            <v>14</v>
          </cell>
        </row>
        <row r="35">
          <cell r="A35">
            <v>44747</v>
          </cell>
          <cell r="B35" t="str">
            <v>LM</v>
          </cell>
          <cell r="C35">
            <v>0</v>
          </cell>
          <cell r="D35">
            <v>0</v>
          </cell>
          <cell r="E35">
            <v>0</v>
          </cell>
          <cell r="F35">
            <v>490</v>
          </cell>
        </row>
        <row r="37">
          <cell r="A37">
            <v>44748</v>
          </cell>
          <cell r="B37" t="str">
            <v>LM</v>
          </cell>
          <cell r="C37">
            <v>0</v>
          </cell>
          <cell r="D37">
            <v>1259.1300000000001</v>
          </cell>
          <cell r="E37">
            <v>0</v>
          </cell>
          <cell r="F37">
            <v>0</v>
          </cell>
        </row>
        <row r="38">
          <cell r="A38">
            <v>44748</v>
          </cell>
          <cell r="B38" t="str">
            <v>Party</v>
          </cell>
          <cell r="C38">
            <v>0</v>
          </cell>
          <cell r="D38">
            <v>480</v>
          </cell>
          <cell r="E38">
            <v>0</v>
          </cell>
          <cell r="F38">
            <v>0</v>
          </cell>
        </row>
        <row r="39">
          <cell r="A39">
            <v>44748</v>
          </cell>
          <cell r="B39" t="str">
            <v>none</v>
          </cell>
          <cell r="C39">
            <v>0</v>
          </cell>
          <cell r="D39">
            <v>2000</v>
          </cell>
          <cell r="E39">
            <v>2000</v>
          </cell>
          <cell r="F39">
            <v>0</v>
          </cell>
        </row>
        <row r="40">
          <cell r="A40">
            <v>44748</v>
          </cell>
          <cell r="B40" t="str">
            <v>VM</v>
          </cell>
          <cell r="C40">
            <v>0</v>
          </cell>
          <cell r="D40">
            <v>0</v>
          </cell>
          <cell r="E40">
            <v>0</v>
          </cell>
          <cell r="F40">
            <v>112</v>
          </cell>
        </row>
        <row r="44">
          <cell r="A44">
            <v>44749</v>
          </cell>
          <cell r="B44" t="str">
            <v>none</v>
          </cell>
          <cell r="C44">
            <v>0</v>
          </cell>
          <cell r="D44">
            <v>490</v>
          </cell>
          <cell r="E44">
            <v>490</v>
          </cell>
          <cell r="F44">
            <v>0</v>
          </cell>
        </row>
        <row r="45">
          <cell r="A45">
            <v>44749</v>
          </cell>
          <cell r="B45" t="str">
            <v>LM</v>
          </cell>
          <cell r="C45">
            <v>0</v>
          </cell>
          <cell r="D45">
            <v>490</v>
          </cell>
          <cell r="E45">
            <v>0</v>
          </cell>
          <cell r="F45">
            <v>0</v>
          </cell>
        </row>
        <row r="46">
          <cell r="A46">
            <v>44749</v>
          </cell>
          <cell r="B46" t="str">
            <v>VM</v>
          </cell>
          <cell r="C46">
            <v>0</v>
          </cell>
          <cell r="D46">
            <v>0</v>
          </cell>
          <cell r="E46">
            <v>0</v>
          </cell>
          <cell r="F46">
            <v>53</v>
          </cell>
        </row>
        <row r="51">
          <cell r="A51">
            <v>44750</v>
          </cell>
          <cell r="B51" t="str">
            <v>Andere</v>
          </cell>
          <cell r="C51">
            <v>0</v>
          </cell>
          <cell r="D51">
            <v>500</v>
          </cell>
          <cell r="E51">
            <v>0</v>
          </cell>
          <cell r="F51">
            <v>0</v>
          </cell>
        </row>
        <row r="52">
          <cell r="A52">
            <v>44750</v>
          </cell>
          <cell r="B52" t="str">
            <v>Refill</v>
          </cell>
          <cell r="C52">
            <v>120209.43</v>
          </cell>
          <cell r="D52">
            <v>0</v>
          </cell>
          <cell r="E52">
            <v>0</v>
          </cell>
          <cell r="F52">
            <v>0</v>
          </cell>
        </row>
        <row r="53">
          <cell r="A53">
            <v>44750</v>
          </cell>
          <cell r="B53" t="str">
            <v>LM</v>
          </cell>
          <cell r="C53">
            <v>0</v>
          </cell>
          <cell r="D53">
            <v>558</v>
          </cell>
          <cell r="E53">
            <v>0</v>
          </cell>
          <cell r="F53">
            <v>0</v>
          </cell>
        </row>
        <row r="54">
          <cell r="A54">
            <v>44750</v>
          </cell>
          <cell r="B54" t="str">
            <v>Party</v>
          </cell>
          <cell r="C54">
            <v>0</v>
          </cell>
          <cell r="D54">
            <v>2200</v>
          </cell>
          <cell r="E54">
            <v>0</v>
          </cell>
          <cell r="F54">
            <v>0</v>
          </cell>
        </row>
        <row r="55">
          <cell r="A55">
            <v>44750</v>
          </cell>
          <cell r="B55" t="str">
            <v>VM</v>
          </cell>
          <cell r="C55">
            <v>0</v>
          </cell>
          <cell r="D55">
            <v>0</v>
          </cell>
          <cell r="E55">
            <v>0</v>
          </cell>
          <cell r="F55">
            <v>229</v>
          </cell>
        </row>
        <row r="56">
          <cell r="A56">
            <v>44750</v>
          </cell>
          <cell r="B56" t="str">
            <v>none</v>
          </cell>
          <cell r="C56">
            <v>0</v>
          </cell>
          <cell r="D56">
            <v>1850</v>
          </cell>
          <cell r="E56">
            <v>1850</v>
          </cell>
          <cell r="F56">
            <v>0</v>
          </cell>
        </row>
        <row r="57">
          <cell r="A57">
            <v>44750</v>
          </cell>
          <cell r="B57" t="str">
            <v>none</v>
          </cell>
          <cell r="C57">
            <v>0</v>
          </cell>
          <cell r="D57">
            <v>3300</v>
          </cell>
          <cell r="E57">
            <v>2750</v>
          </cell>
          <cell r="F57">
            <v>0</v>
          </cell>
        </row>
        <row r="58">
          <cell r="A58">
            <v>44751</v>
          </cell>
          <cell r="B58" t="str">
            <v>LM</v>
          </cell>
          <cell r="C58">
            <v>0</v>
          </cell>
          <cell r="D58">
            <v>275.38</v>
          </cell>
          <cell r="E58">
            <v>0</v>
          </cell>
          <cell r="F58">
            <v>470</v>
          </cell>
        </row>
        <row r="59">
          <cell r="A59">
            <v>44751</v>
          </cell>
          <cell r="B59" t="str">
            <v>VM</v>
          </cell>
          <cell r="C59">
            <v>0</v>
          </cell>
          <cell r="D59">
            <v>0</v>
          </cell>
          <cell r="E59">
            <v>0</v>
          </cell>
          <cell r="F59">
            <v>32</v>
          </cell>
        </row>
        <row r="60">
          <cell r="A60">
            <v>44751</v>
          </cell>
          <cell r="B60" t="str">
            <v>for me</v>
          </cell>
          <cell r="C60">
            <v>0</v>
          </cell>
          <cell r="D60">
            <v>0</v>
          </cell>
          <cell r="E60">
            <v>0</v>
          </cell>
          <cell r="F60">
            <v>2300</v>
          </cell>
        </row>
        <row r="65">
          <cell r="A65">
            <v>44752</v>
          </cell>
          <cell r="B65" t="str">
            <v>LM</v>
          </cell>
          <cell r="C65">
            <v>0</v>
          </cell>
          <cell r="D65">
            <v>1340.52</v>
          </cell>
          <cell r="E65">
            <v>0</v>
          </cell>
          <cell r="F65">
            <v>0</v>
          </cell>
        </row>
        <row r="66">
          <cell r="A66">
            <v>44752</v>
          </cell>
          <cell r="B66" t="str">
            <v>Andere</v>
          </cell>
          <cell r="C66">
            <v>0</v>
          </cell>
          <cell r="D66">
            <v>450</v>
          </cell>
          <cell r="E66">
            <v>0</v>
          </cell>
          <cell r="F66">
            <v>0</v>
          </cell>
        </row>
        <row r="67">
          <cell r="A67">
            <v>44752</v>
          </cell>
          <cell r="B67" t="str">
            <v>Andere</v>
          </cell>
          <cell r="C67">
            <v>0</v>
          </cell>
          <cell r="D67">
            <v>435</v>
          </cell>
          <cell r="E67">
            <v>0</v>
          </cell>
          <cell r="F67">
            <v>0</v>
          </cell>
        </row>
        <row r="68">
          <cell r="A68">
            <v>44752</v>
          </cell>
          <cell r="B68" t="str">
            <v>Andere</v>
          </cell>
          <cell r="C68">
            <v>0</v>
          </cell>
          <cell r="D68">
            <v>0</v>
          </cell>
          <cell r="E68">
            <v>0</v>
          </cell>
          <cell r="F68">
            <v>60</v>
          </cell>
        </row>
        <row r="72">
          <cell r="A72">
            <v>44753</v>
          </cell>
          <cell r="B72" t="str">
            <v>LM</v>
          </cell>
          <cell r="C72">
            <v>0</v>
          </cell>
          <cell r="D72">
            <v>490</v>
          </cell>
          <cell r="E72">
            <v>0</v>
          </cell>
          <cell r="F72">
            <v>0</v>
          </cell>
        </row>
        <row r="73">
          <cell r="A73">
            <v>44753</v>
          </cell>
          <cell r="B73" t="str">
            <v>VM</v>
          </cell>
          <cell r="C73">
            <v>0</v>
          </cell>
          <cell r="D73">
            <v>0</v>
          </cell>
          <cell r="E73">
            <v>0</v>
          </cell>
          <cell r="F73">
            <v>48</v>
          </cell>
        </row>
        <row r="79">
          <cell r="A79">
            <v>44754</v>
          </cell>
          <cell r="B79" t="str">
            <v>LM</v>
          </cell>
          <cell r="C79">
            <v>0</v>
          </cell>
          <cell r="D79">
            <v>317</v>
          </cell>
          <cell r="E79">
            <v>0</v>
          </cell>
          <cell r="F79">
            <v>0</v>
          </cell>
        </row>
        <row r="80">
          <cell r="A80">
            <v>44754</v>
          </cell>
          <cell r="B80" t="str">
            <v>Rauchen</v>
          </cell>
          <cell r="C80">
            <v>0</v>
          </cell>
          <cell r="D80">
            <v>0</v>
          </cell>
          <cell r="E80">
            <v>0</v>
          </cell>
          <cell r="F80">
            <v>200</v>
          </cell>
        </row>
        <row r="81">
          <cell r="A81">
            <v>44754</v>
          </cell>
          <cell r="B81" t="str">
            <v>Andere</v>
          </cell>
          <cell r="C81">
            <v>0</v>
          </cell>
          <cell r="D81">
            <v>0</v>
          </cell>
          <cell r="E81">
            <v>0</v>
          </cell>
          <cell r="F81">
            <v>338.35</v>
          </cell>
        </row>
        <row r="86">
          <cell r="A86">
            <v>44755</v>
          </cell>
          <cell r="B86" t="str">
            <v>for me</v>
          </cell>
          <cell r="C86">
            <v>0</v>
          </cell>
          <cell r="D86">
            <v>116</v>
          </cell>
          <cell r="E86">
            <v>0</v>
          </cell>
          <cell r="F86">
            <v>0</v>
          </cell>
        </row>
        <row r="87">
          <cell r="A87">
            <v>44755</v>
          </cell>
          <cell r="B87" t="str">
            <v>LM</v>
          </cell>
          <cell r="C87">
            <v>0</v>
          </cell>
          <cell r="D87">
            <v>560</v>
          </cell>
          <cell r="E87">
            <v>0</v>
          </cell>
          <cell r="F87">
            <v>0</v>
          </cell>
        </row>
        <row r="88">
          <cell r="A88">
            <v>44755</v>
          </cell>
          <cell r="B88" t="str">
            <v>VM</v>
          </cell>
          <cell r="C88">
            <v>0</v>
          </cell>
          <cell r="D88">
            <v>0</v>
          </cell>
          <cell r="E88">
            <v>0</v>
          </cell>
          <cell r="F88">
            <v>56</v>
          </cell>
        </row>
        <row r="93">
          <cell r="A93">
            <v>44756</v>
          </cell>
          <cell r="B93" t="str">
            <v>Refill</v>
          </cell>
          <cell r="C93">
            <v>5000</v>
          </cell>
          <cell r="D93">
            <v>0</v>
          </cell>
          <cell r="E93">
            <v>0</v>
          </cell>
          <cell r="F93">
            <v>0</v>
          </cell>
        </row>
        <row r="94">
          <cell r="A94">
            <v>44756</v>
          </cell>
          <cell r="B94" t="str">
            <v>Andere</v>
          </cell>
          <cell r="C94">
            <v>0</v>
          </cell>
          <cell r="D94">
            <v>3229</v>
          </cell>
          <cell r="E94">
            <v>0</v>
          </cell>
          <cell r="F94">
            <v>0</v>
          </cell>
        </row>
        <row r="95">
          <cell r="A95">
            <v>44756</v>
          </cell>
          <cell r="B95" t="str">
            <v>Party</v>
          </cell>
          <cell r="C95">
            <v>0</v>
          </cell>
          <cell r="D95">
            <v>4130</v>
          </cell>
          <cell r="E95">
            <v>0</v>
          </cell>
          <cell r="F95">
            <v>0</v>
          </cell>
        </row>
        <row r="96">
          <cell r="A96">
            <v>44756</v>
          </cell>
          <cell r="B96" t="str">
            <v>none</v>
          </cell>
          <cell r="C96">
            <v>0</v>
          </cell>
          <cell r="D96">
            <v>2130</v>
          </cell>
          <cell r="E96">
            <v>2130</v>
          </cell>
          <cell r="F96">
            <v>0</v>
          </cell>
        </row>
        <row r="100">
          <cell r="A100">
            <v>44757</v>
          </cell>
          <cell r="B100" t="str">
            <v>Party</v>
          </cell>
          <cell r="C100">
            <v>0</v>
          </cell>
          <cell r="D100">
            <v>462</v>
          </cell>
          <cell r="E100">
            <v>0</v>
          </cell>
          <cell r="F100">
            <v>0</v>
          </cell>
        </row>
        <row r="101">
          <cell r="A101">
            <v>44757</v>
          </cell>
          <cell r="B101" t="str">
            <v>LM</v>
          </cell>
          <cell r="C101">
            <v>0</v>
          </cell>
          <cell r="D101">
            <v>260</v>
          </cell>
          <cell r="E101">
            <v>0</v>
          </cell>
          <cell r="F101">
            <v>0</v>
          </cell>
        </row>
        <row r="102">
          <cell r="A102">
            <v>44757</v>
          </cell>
          <cell r="B102" t="str">
            <v>LM</v>
          </cell>
          <cell r="C102">
            <v>0</v>
          </cell>
          <cell r="D102">
            <v>300</v>
          </cell>
          <cell r="E102">
            <v>0</v>
          </cell>
          <cell r="F102">
            <v>0</v>
          </cell>
        </row>
        <row r="103">
          <cell r="A103">
            <v>44757</v>
          </cell>
          <cell r="B103" t="str">
            <v>Kleidung</v>
          </cell>
          <cell r="C103">
            <v>0</v>
          </cell>
          <cell r="D103">
            <v>2086</v>
          </cell>
          <cell r="E103">
            <v>0</v>
          </cell>
          <cell r="F103">
            <v>0</v>
          </cell>
        </row>
        <row r="104">
          <cell r="A104">
            <v>44757</v>
          </cell>
          <cell r="B104" t="str">
            <v>Refill</v>
          </cell>
          <cell r="C104">
            <v>6800</v>
          </cell>
          <cell r="D104">
            <v>0</v>
          </cell>
          <cell r="E104">
            <v>0</v>
          </cell>
          <cell r="F104">
            <v>0</v>
          </cell>
        </row>
        <row r="105">
          <cell r="A105">
            <v>44757</v>
          </cell>
          <cell r="B105" t="str">
            <v>VM</v>
          </cell>
          <cell r="C105">
            <v>0</v>
          </cell>
          <cell r="D105">
            <v>0</v>
          </cell>
          <cell r="E105">
            <v>0</v>
          </cell>
          <cell r="F105">
            <v>67</v>
          </cell>
        </row>
        <row r="107">
          <cell r="A107">
            <v>44758</v>
          </cell>
          <cell r="B107" t="str">
            <v>for me</v>
          </cell>
          <cell r="C107">
            <v>0</v>
          </cell>
          <cell r="D107">
            <v>297</v>
          </cell>
          <cell r="E107">
            <v>0</v>
          </cell>
          <cell r="F107">
            <v>0</v>
          </cell>
        </row>
        <row r="108">
          <cell r="A108">
            <v>44758</v>
          </cell>
          <cell r="B108" t="str">
            <v>LM</v>
          </cell>
          <cell r="C108">
            <v>0</v>
          </cell>
          <cell r="D108">
            <v>209.97</v>
          </cell>
          <cell r="E108">
            <v>0</v>
          </cell>
          <cell r="F108">
            <v>0</v>
          </cell>
        </row>
        <row r="114">
          <cell r="A114">
            <v>44759</v>
          </cell>
          <cell r="B114" t="str">
            <v>Andere</v>
          </cell>
          <cell r="C114">
            <v>0</v>
          </cell>
          <cell r="D114">
            <v>1750</v>
          </cell>
          <cell r="E114">
            <v>0</v>
          </cell>
          <cell r="F114">
            <v>0</v>
          </cell>
        </row>
        <row r="115">
          <cell r="A115">
            <v>44759</v>
          </cell>
          <cell r="B115" t="str">
            <v>VM</v>
          </cell>
          <cell r="C115">
            <v>0</v>
          </cell>
          <cell r="D115">
            <v>0</v>
          </cell>
          <cell r="E115">
            <v>0</v>
          </cell>
          <cell r="F115">
            <v>121</v>
          </cell>
        </row>
        <row r="116">
          <cell r="A116">
            <v>44759</v>
          </cell>
          <cell r="B116" t="str">
            <v>Andere</v>
          </cell>
          <cell r="C116">
            <v>0</v>
          </cell>
          <cell r="D116">
            <v>0</v>
          </cell>
          <cell r="E116">
            <v>0</v>
          </cell>
          <cell r="F116">
            <v>3600</v>
          </cell>
        </row>
        <row r="121">
          <cell r="A121">
            <v>44760</v>
          </cell>
          <cell r="B121" t="str">
            <v>Andere</v>
          </cell>
          <cell r="C121">
            <v>0</v>
          </cell>
          <cell r="D121">
            <v>100</v>
          </cell>
          <cell r="E121">
            <v>0</v>
          </cell>
          <cell r="F121">
            <v>0</v>
          </cell>
        </row>
        <row r="122">
          <cell r="A122">
            <v>44760</v>
          </cell>
          <cell r="B122" t="str">
            <v>LM</v>
          </cell>
          <cell r="C122">
            <v>0</v>
          </cell>
          <cell r="D122">
            <v>529</v>
          </cell>
          <cell r="E122">
            <v>0</v>
          </cell>
          <cell r="F122">
            <v>0</v>
          </cell>
        </row>
        <row r="123">
          <cell r="A123">
            <v>44760</v>
          </cell>
          <cell r="B123" t="str">
            <v>VM</v>
          </cell>
          <cell r="C123">
            <v>0</v>
          </cell>
          <cell r="D123">
            <v>0</v>
          </cell>
          <cell r="E123">
            <v>0</v>
          </cell>
          <cell r="F123">
            <v>24</v>
          </cell>
        </row>
        <row r="128">
          <cell r="A128">
            <v>44761</v>
          </cell>
          <cell r="B128" t="str">
            <v>VM</v>
          </cell>
          <cell r="C128">
            <v>0</v>
          </cell>
          <cell r="D128">
            <v>0</v>
          </cell>
          <cell r="E128">
            <v>0</v>
          </cell>
          <cell r="F128">
            <v>21</v>
          </cell>
        </row>
        <row r="129">
          <cell r="A129">
            <v>44761</v>
          </cell>
          <cell r="B129" t="str">
            <v>LM</v>
          </cell>
          <cell r="C129">
            <v>0</v>
          </cell>
          <cell r="D129">
            <v>220</v>
          </cell>
          <cell r="E129">
            <v>0</v>
          </cell>
          <cell r="F129">
            <v>0</v>
          </cell>
        </row>
        <row r="130">
          <cell r="A130">
            <v>44761</v>
          </cell>
          <cell r="B130" t="str">
            <v>Frauen</v>
          </cell>
          <cell r="C130">
            <v>0</v>
          </cell>
          <cell r="D130">
            <v>920</v>
          </cell>
          <cell r="E130">
            <v>0</v>
          </cell>
          <cell r="F130">
            <v>0</v>
          </cell>
        </row>
        <row r="135">
          <cell r="A135">
            <v>44762</v>
          </cell>
          <cell r="B135" t="str">
            <v>LM</v>
          </cell>
          <cell r="C135">
            <v>0</v>
          </cell>
          <cell r="D135">
            <v>2529.4899999999998</v>
          </cell>
          <cell r="E135">
            <v>0</v>
          </cell>
          <cell r="F135">
            <v>0</v>
          </cell>
        </row>
        <row r="136">
          <cell r="A136">
            <v>44762</v>
          </cell>
          <cell r="B136" t="str">
            <v>VM</v>
          </cell>
          <cell r="C136">
            <v>0</v>
          </cell>
          <cell r="D136">
            <v>0</v>
          </cell>
          <cell r="E136">
            <v>0</v>
          </cell>
          <cell r="F136">
            <v>98</v>
          </cell>
        </row>
        <row r="137">
          <cell r="A137">
            <v>44762</v>
          </cell>
          <cell r="B137" t="str">
            <v>LM</v>
          </cell>
          <cell r="C137">
            <v>0</v>
          </cell>
          <cell r="D137">
            <v>0</v>
          </cell>
          <cell r="E137">
            <v>0</v>
          </cell>
          <cell r="F137">
            <v>200</v>
          </cell>
        </row>
        <row r="142">
          <cell r="A142">
            <v>44763</v>
          </cell>
          <cell r="B142" t="str">
            <v>Andere</v>
          </cell>
          <cell r="C142">
            <v>0</v>
          </cell>
          <cell r="D142">
            <v>50</v>
          </cell>
          <cell r="E142">
            <v>0</v>
          </cell>
          <cell r="F142">
            <v>0</v>
          </cell>
        </row>
        <row r="143">
          <cell r="A143">
            <v>44763</v>
          </cell>
          <cell r="B143" t="str">
            <v>VM</v>
          </cell>
          <cell r="C143">
            <v>0</v>
          </cell>
          <cell r="D143">
            <v>0</v>
          </cell>
          <cell r="E143">
            <v>0</v>
          </cell>
          <cell r="F143">
            <v>21</v>
          </cell>
        </row>
        <row r="149">
          <cell r="A149">
            <v>44764</v>
          </cell>
          <cell r="B149" t="str">
            <v>Rauchen</v>
          </cell>
          <cell r="C149">
            <v>0</v>
          </cell>
          <cell r="D149">
            <v>155</v>
          </cell>
          <cell r="E149">
            <v>0</v>
          </cell>
          <cell r="F149">
            <v>0</v>
          </cell>
        </row>
        <row r="150">
          <cell r="A150">
            <v>44764</v>
          </cell>
          <cell r="B150" t="str">
            <v>Refill</v>
          </cell>
          <cell r="C150">
            <v>37732.43</v>
          </cell>
          <cell r="D150">
            <v>0</v>
          </cell>
          <cell r="E150">
            <v>0</v>
          </cell>
          <cell r="F150">
            <v>0</v>
          </cell>
        </row>
        <row r="151">
          <cell r="A151">
            <v>44764</v>
          </cell>
          <cell r="B151" t="str">
            <v>LM</v>
          </cell>
          <cell r="C151">
            <v>0</v>
          </cell>
          <cell r="D151">
            <v>710</v>
          </cell>
          <cell r="E151">
            <v>0</v>
          </cell>
          <cell r="F151">
            <v>0</v>
          </cell>
        </row>
        <row r="152">
          <cell r="A152">
            <v>44764</v>
          </cell>
          <cell r="B152" t="str">
            <v>Kleidung</v>
          </cell>
          <cell r="C152">
            <v>0</v>
          </cell>
          <cell r="D152">
            <v>19064.650000000001</v>
          </cell>
          <cell r="E152">
            <v>0</v>
          </cell>
          <cell r="F152">
            <v>0</v>
          </cell>
        </row>
        <row r="153">
          <cell r="A153">
            <v>44764</v>
          </cell>
          <cell r="B153" t="str">
            <v>VM</v>
          </cell>
          <cell r="C153">
            <v>0</v>
          </cell>
          <cell r="D153">
            <v>0</v>
          </cell>
          <cell r="E153">
            <v>0</v>
          </cell>
          <cell r="F153">
            <v>21</v>
          </cell>
        </row>
        <row r="156">
          <cell r="A156">
            <v>44765</v>
          </cell>
          <cell r="B156" t="str">
            <v>for me</v>
          </cell>
          <cell r="C156">
            <v>0</v>
          </cell>
          <cell r="D156">
            <v>5097.5</v>
          </cell>
          <cell r="E156">
            <v>0</v>
          </cell>
          <cell r="F156">
            <v>0</v>
          </cell>
        </row>
        <row r="157">
          <cell r="A157">
            <v>44765</v>
          </cell>
          <cell r="B157" t="str">
            <v>for me</v>
          </cell>
          <cell r="C157">
            <v>0</v>
          </cell>
          <cell r="D157">
            <v>2800</v>
          </cell>
          <cell r="E157">
            <v>0</v>
          </cell>
          <cell r="F157">
            <v>0</v>
          </cell>
        </row>
        <row r="158">
          <cell r="A158">
            <v>44765</v>
          </cell>
          <cell r="B158" t="str">
            <v>Party</v>
          </cell>
          <cell r="C158">
            <v>0</v>
          </cell>
          <cell r="D158">
            <v>2500</v>
          </cell>
          <cell r="E158">
            <v>0</v>
          </cell>
          <cell r="F158">
            <v>0</v>
          </cell>
        </row>
        <row r="159">
          <cell r="A159">
            <v>44765</v>
          </cell>
          <cell r="B159" t="str">
            <v>LM</v>
          </cell>
          <cell r="C159">
            <v>0</v>
          </cell>
          <cell r="D159">
            <v>2597</v>
          </cell>
          <cell r="E159">
            <v>0</v>
          </cell>
          <cell r="F159">
            <v>140</v>
          </cell>
        </row>
        <row r="160">
          <cell r="A160">
            <v>44765</v>
          </cell>
          <cell r="B160" t="str">
            <v>Andere</v>
          </cell>
          <cell r="C160">
            <v>0</v>
          </cell>
          <cell r="D160">
            <v>700</v>
          </cell>
          <cell r="E160">
            <v>0</v>
          </cell>
          <cell r="F160">
            <v>0</v>
          </cell>
        </row>
        <row r="161">
          <cell r="A161">
            <v>44765</v>
          </cell>
          <cell r="B161" t="str">
            <v>VM</v>
          </cell>
          <cell r="C161">
            <v>0</v>
          </cell>
          <cell r="D161">
            <v>0</v>
          </cell>
          <cell r="E161">
            <v>0</v>
          </cell>
          <cell r="F161">
            <v>975</v>
          </cell>
        </row>
        <row r="163">
          <cell r="A163">
            <v>44766</v>
          </cell>
          <cell r="B163" t="str">
            <v>Rauchen</v>
          </cell>
          <cell r="C163">
            <v>0</v>
          </cell>
          <cell r="D163">
            <v>150</v>
          </cell>
          <cell r="E163">
            <v>0</v>
          </cell>
          <cell r="F163">
            <v>0</v>
          </cell>
        </row>
        <row r="164">
          <cell r="A164">
            <v>44766</v>
          </cell>
          <cell r="B164" t="str">
            <v>LM</v>
          </cell>
          <cell r="C164">
            <v>0</v>
          </cell>
          <cell r="D164">
            <v>86.490000000000009</v>
          </cell>
          <cell r="E164">
            <v>0</v>
          </cell>
          <cell r="F164">
            <v>0</v>
          </cell>
        </row>
        <row r="165">
          <cell r="A165">
            <v>44766</v>
          </cell>
          <cell r="B165" t="str">
            <v>VM</v>
          </cell>
          <cell r="C165">
            <v>0</v>
          </cell>
          <cell r="D165">
            <v>0</v>
          </cell>
          <cell r="E165">
            <v>0</v>
          </cell>
          <cell r="F165">
            <v>38</v>
          </cell>
        </row>
        <row r="166">
          <cell r="A166">
            <v>44766</v>
          </cell>
          <cell r="B166" t="str">
            <v>Party</v>
          </cell>
          <cell r="C166">
            <v>0</v>
          </cell>
          <cell r="D166">
            <v>3300</v>
          </cell>
          <cell r="E166">
            <v>0</v>
          </cell>
          <cell r="F166">
            <v>0</v>
          </cell>
        </row>
        <row r="167">
          <cell r="A167">
            <v>44766</v>
          </cell>
          <cell r="B167" t="str">
            <v>VM</v>
          </cell>
          <cell r="C167">
            <v>0</v>
          </cell>
          <cell r="D167">
            <v>51</v>
          </cell>
          <cell r="E167">
            <v>0</v>
          </cell>
          <cell r="F167">
            <v>0</v>
          </cell>
        </row>
        <row r="170">
          <cell r="A170">
            <v>44767</v>
          </cell>
          <cell r="B170" t="str">
            <v>Andere</v>
          </cell>
          <cell r="C170">
            <v>0</v>
          </cell>
          <cell r="D170">
            <v>900</v>
          </cell>
          <cell r="E170">
            <v>0</v>
          </cell>
          <cell r="F170">
            <v>0</v>
          </cell>
        </row>
        <row r="171">
          <cell r="A171">
            <v>44767</v>
          </cell>
          <cell r="B171" t="str">
            <v>Kleidung</v>
          </cell>
          <cell r="C171">
            <v>0</v>
          </cell>
          <cell r="D171">
            <v>4499</v>
          </cell>
          <cell r="E171">
            <v>0</v>
          </cell>
          <cell r="F171">
            <v>0</v>
          </cell>
        </row>
        <row r="172">
          <cell r="A172">
            <v>44767</v>
          </cell>
          <cell r="B172" t="str">
            <v>VM</v>
          </cell>
          <cell r="C172">
            <v>0</v>
          </cell>
          <cell r="D172">
            <v>0</v>
          </cell>
          <cell r="E172">
            <v>0</v>
          </cell>
          <cell r="F172">
            <v>446</v>
          </cell>
        </row>
        <row r="177">
          <cell r="A177">
            <v>44768</v>
          </cell>
          <cell r="B177" t="str">
            <v>LM</v>
          </cell>
          <cell r="C177">
            <v>0</v>
          </cell>
          <cell r="D177">
            <v>490</v>
          </cell>
          <cell r="E177">
            <v>0</v>
          </cell>
          <cell r="F177">
            <v>0</v>
          </cell>
        </row>
        <row r="178">
          <cell r="A178">
            <v>44768</v>
          </cell>
          <cell r="B178" t="str">
            <v>Rauchen</v>
          </cell>
          <cell r="C178">
            <v>0</v>
          </cell>
          <cell r="D178">
            <v>170</v>
          </cell>
          <cell r="E178">
            <v>0</v>
          </cell>
          <cell r="F178">
            <v>0</v>
          </cell>
        </row>
        <row r="179">
          <cell r="A179">
            <v>44768</v>
          </cell>
          <cell r="B179" t="str">
            <v>VM</v>
          </cell>
          <cell r="C179">
            <v>0</v>
          </cell>
          <cell r="D179">
            <v>0</v>
          </cell>
          <cell r="E179">
            <v>0</v>
          </cell>
          <cell r="F179">
            <v>87</v>
          </cell>
        </row>
        <row r="184">
          <cell r="A184">
            <v>44769</v>
          </cell>
          <cell r="B184" t="str">
            <v>LM</v>
          </cell>
          <cell r="C184">
            <v>0</v>
          </cell>
          <cell r="D184">
            <v>0</v>
          </cell>
          <cell r="E184">
            <v>0</v>
          </cell>
          <cell r="F184">
            <v>500</v>
          </cell>
        </row>
        <row r="185">
          <cell r="A185">
            <v>44769</v>
          </cell>
          <cell r="B185" t="str">
            <v>Refill</v>
          </cell>
          <cell r="C185">
            <v>500</v>
          </cell>
          <cell r="D185">
            <v>0</v>
          </cell>
          <cell r="E185">
            <v>0</v>
          </cell>
          <cell r="F185">
            <v>500</v>
          </cell>
        </row>
        <row r="186">
          <cell r="A186">
            <v>44769</v>
          </cell>
          <cell r="B186" t="str">
            <v>VM</v>
          </cell>
          <cell r="C186">
            <v>0</v>
          </cell>
          <cell r="D186">
            <v>0</v>
          </cell>
          <cell r="E186">
            <v>0</v>
          </cell>
          <cell r="F186">
            <v>21</v>
          </cell>
        </row>
        <row r="187">
          <cell r="A187">
            <v>44769</v>
          </cell>
          <cell r="B187" t="str">
            <v>VM</v>
          </cell>
          <cell r="C187">
            <v>0</v>
          </cell>
          <cell r="D187">
            <v>1400</v>
          </cell>
          <cell r="E187">
            <v>0</v>
          </cell>
          <cell r="F187">
            <v>0</v>
          </cell>
        </row>
        <row r="188">
          <cell r="A188">
            <v>44769</v>
          </cell>
          <cell r="B188" t="str">
            <v>for me</v>
          </cell>
          <cell r="C188">
            <v>0</v>
          </cell>
          <cell r="D188">
            <v>1250</v>
          </cell>
          <cell r="E188">
            <v>0</v>
          </cell>
          <cell r="F188">
            <v>0</v>
          </cell>
        </row>
        <row r="191">
          <cell r="A191">
            <v>44770</v>
          </cell>
          <cell r="B191" t="str">
            <v>Kleidung</v>
          </cell>
          <cell r="C191">
            <v>0</v>
          </cell>
          <cell r="D191">
            <v>830</v>
          </cell>
          <cell r="E191">
            <v>0</v>
          </cell>
          <cell r="F191">
            <v>0</v>
          </cell>
        </row>
        <row r="192">
          <cell r="A192">
            <v>44770</v>
          </cell>
          <cell r="B192" t="str">
            <v>Andere</v>
          </cell>
          <cell r="C192">
            <v>0</v>
          </cell>
          <cell r="D192">
            <v>82000</v>
          </cell>
          <cell r="E192">
            <v>0</v>
          </cell>
          <cell r="F192">
            <v>0</v>
          </cell>
        </row>
        <row r="193">
          <cell r="A193">
            <v>44770</v>
          </cell>
          <cell r="B193" t="str">
            <v>Andere</v>
          </cell>
          <cell r="C193">
            <v>0</v>
          </cell>
          <cell r="D193">
            <v>15225</v>
          </cell>
          <cell r="E193">
            <v>0</v>
          </cell>
          <cell r="F193">
            <v>0</v>
          </cell>
        </row>
        <row r="194">
          <cell r="A194">
            <v>44770</v>
          </cell>
          <cell r="B194" t="str">
            <v>LM</v>
          </cell>
          <cell r="C194">
            <v>0</v>
          </cell>
          <cell r="D194">
            <v>706.35</v>
          </cell>
          <cell r="E194">
            <v>0</v>
          </cell>
          <cell r="F194">
            <v>0</v>
          </cell>
        </row>
        <row r="195">
          <cell r="A195">
            <v>44770</v>
          </cell>
          <cell r="B195" t="str">
            <v>Rauchen</v>
          </cell>
          <cell r="C195">
            <v>0</v>
          </cell>
          <cell r="D195">
            <v>150</v>
          </cell>
          <cell r="E195">
            <v>0</v>
          </cell>
          <cell r="F195">
            <v>0</v>
          </cell>
        </row>
        <row r="196">
          <cell r="A196">
            <v>44770</v>
          </cell>
          <cell r="B196" t="str">
            <v>VM</v>
          </cell>
          <cell r="C196">
            <v>0</v>
          </cell>
          <cell r="D196">
            <v>0</v>
          </cell>
          <cell r="E196">
            <v>0</v>
          </cell>
          <cell r="F196">
            <v>84</v>
          </cell>
        </row>
        <row r="198">
          <cell r="A198">
            <v>44771</v>
          </cell>
          <cell r="B198" t="str">
            <v>VM</v>
          </cell>
          <cell r="C198">
            <v>0</v>
          </cell>
          <cell r="D198">
            <v>102</v>
          </cell>
          <cell r="E198">
            <v>0</v>
          </cell>
          <cell r="F198">
            <v>28</v>
          </cell>
        </row>
        <row r="199">
          <cell r="A199">
            <v>44771</v>
          </cell>
          <cell r="B199" t="str">
            <v>Kleidung</v>
          </cell>
          <cell r="C199">
            <v>0</v>
          </cell>
          <cell r="D199">
            <v>948</v>
          </cell>
          <cell r="E199">
            <v>0</v>
          </cell>
          <cell r="F199">
            <v>0</v>
          </cell>
        </row>
        <row r="200">
          <cell r="A200">
            <v>44771</v>
          </cell>
          <cell r="B200" t="str">
            <v>for me</v>
          </cell>
          <cell r="C200">
            <v>0</v>
          </cell>
          <cell r="D200">
            <v>12812</v>
          </cell>
          <cell r="E200">
            <v>0</v>
          </cell>
          <cell r="F200">
            <v>0</v>
          </cell>
        </row>
        <row r="205">
          <cell r="A205">
            <v>44772</v>
          </cell>
          <cell r="B205" t="str">
            <v>LM</v>
          </cell>
          <cell r="C205">
            <v>0</v>
          </cell>
          <cell r="D205">
            <v>862</v>
          </cell>
          <cell r="E205">
            <v>0</v>
          </cell>
          <cell r="F205">
            <v>270</v>
          </cell>
        </row>
        <row r="206">
          <cell r="A206">
            <v>44772</v>
          </cell>
          <cell r="B206" t="str">
            <v>Kleidung</v>
          </cell>
          <cell r="C206">
            <v>0</v>
          </cell>
          <cell r="D206">
            <v>141.47999999999999</v>
          </cell>
          <cell r="E206">
            <v>0</v>
          </cell>
          <cell r="F206">
            <v>0</v>
          </cell>
        </row>
        <row r="207">
          <cell r="A207">
            <v>44772</v>
          </cell>
          <cell r="B207" t="str">
            <v>Andere</v>
          </cell>
          <cell r="C207">
            <v>0</v>
          </cell>
          <cell r="D207">
            <v>50</v>
          </cell>
          <cell r="E207">
            <v>0</v>
          </cell>
          <cell r="F207">
            <v>0</v>
          </cell>
        </row>
        <row r="208">
          <cell r="A208">
            <v>44772</v>
          </cell>
          <cell r="B208" t="str">
            <v>VM</v>
          </cell>
          <cell r="C208">
            <v>0</v>
          </cell>
          <cell r="D208">
            <v>0</v>
          </cell>
          <cell r="E208">
            <v>0</v>
          </cell>
          <cell r="F208">
            <v>56</v>
          </cell>
        </row>
        <row r="209">
          <cell r="A209">
            <v>44772</v>
          </cell>
          <cell r="B209" t="str">
            <v>VM</v>
          </cell>
          <cell r="C209">
            <v>0</v>
          </cell>
          <cell r="D209">
            <v>0</v>
          </cell>
          <cell r="E209">
            <v>0</v>
          </cell>
          <cell r="F209">
            <v>886</v>
          </cell>
        </row>
        <row r="212">
          <cell r="A212">
            <v>44773</v>
          </cell>
          <cell r="B212" t="str">
            <v>VM</v>
          </cell>
          <cell r="C212">
            <v>0</v>
          </cell>
          <cell r="D212">
            <v>917.55</v>
          </cell>
          <cell r="E212">
            <v>0</v>
          </cell>
          <cell r="F212">
            <v>0</v>
          </cell>
        </row>
        <row r="213">
          <cell r="A213">
            <v>44773</v>
          </cell>
          <cell r="B213" t="str">
            <v>LM</v>
          </cell>
          <cell r="C213">
            <v>0</v>
          </cell>
          <cell r="D213">
            <v>1204.4100000000001</v>
          </cell>
          <cell r="E213">
            <v>0</v>
          </cell>
          <cell r="F213">
            <v>0</v>
          </cell>
        </row>
        <row r="214">
          <cell r="A214">
            <v>44773</v>
          </cell>
          <cell r="B214" t="str">
            <v>Andere</v>
          </cell>
          <cell r="C214">
            <v>0</v>
          </cell>
          <cell r="D214">
            <v>500</v>
          </cell>
          <cell r="E214">
            <v>0</v>
          </cell>
        </row>
        <row r="215">
          <cell r="A215">
            <v>44773</v>
          </cell>
          <cell r="B215" t="str">
            <v>for me</v>
          </cell>
          <cell r="C215">
            <v>0</v>
          </cell>
          <cell r="D215">
            <v>2800</v>
          </cell>
          <cell r="E215">
            <v>0</v>
          </cell>
          <cell r="F215">
            <v>0</v>
          </cell>
        </row>
        <row r="216">
          <cell r="A216">
            <v>44773</v>
          </cell>
          <cell r="B216" t="str">
            <v>Party</v>
          </cell>
          <cell r="C216">
            <v>0</v>
          </cell>
          <cell r="D216">
            <v>2200</v>
          </cell>
          <cell r="E216">
            <v>0</v>
          </cell>
          <cell r="F216">
            <v>0</v>
          </cell>
        </row>
        <row r="217">
          <cell r="A217">
            <v>44773</v>
          </cell>
          <cell r="B217" t="str">
            <v>Refill</v>
          </cell>
          <cell r="C217">
            <v>1698.64</v>
          </cell>
          <cell r="D217">
            <v>0</v>
          </cell>
          <cell r="E217">
            <v>0</v>
          </cell>
          <cell r="F217">
            <v>0</v>
          </cell>
        </row>
      </sheetData>
      <sheetData sheetId="20">
        <row r="2">
          <cell r="A2">
            <v>44774</v>
          </cell>
          <cell r="B2" t="str">
            <v>LM</v>
          </cell>
          <cell r="C2">
            <v>0</v>
          </cell>
          <cell r="D2">
            <v>490</v>
          </cell>
          <cell r="E2">
            <v>0</v>
          </cell>
          <cell r="F2">
            <v>0</v>
          </cell>
        </row>
        <row r="3">
          <cell r="A3">
            <v>44774</v>
          </cell>
          <cell r="B3" t="str">
            <v>VM</v>
          </cell>
          <cell r="C3">
            <v>0</v>
          </cell>
          <cell r="D3">
            <v>9638</v>
          </cell>
          <cell r="E3">
            <v>0</v>
          </cell>
          <cell r="F3">
            <v>0</v>
          </cell>
        </row>
        <row r="4">
          <cell r="A4">
            <v>44774</v>
          </cell>
          <cell r="B4" t="str">
            <v>VM</v>
          </cell>
          <cell r="C4">
            <v>0</v>
          </cell>
          <cell r="D4">
            <v>435</v>
          </cell>
          <cell r="E4">
            <v>0</v>
          </cell>
          <cell r="F4">
            <v>54</v>
          </cell>
        </row>
        <row r="9">
          <cell r="A9">
            <v>44775</v>
          </cell>
          <cell r="B9" t="str">
            <v>Rauchen</v>
          </cell>
          <cell r="C9">
            <v>0</v>
          </cell>
          <cell r="D9">
            <v>155</v>
          </cell>
          <cell r="E9">
            <v>0</v>
          </cell>
          <cell r="F9">
            <v>0</v>
          </cell>
        </row>
        <row r="10">
          <cell r="A10">
            <v>44775</v>
          </cell>
          <cell r="B10" t="str">
            <v>LM</v>
          </cell>
          <cell r="C10">
            <v>0</v>
          </cell>
          <cell r="D10">
            <v>1066</v>
          </cell>
          <cell r="E10">
            <v>0</v>
          </cell>
          <cell r="F10">
            <v>0</v>
          </cell>
        </row>
        <row r="11">
          <cell r="A11">
            <v>44775</v>
          </cell>
          <cell r="B11" t="str">
            <v>VM</v>
          </cell>
          <cell r="C11">
            <v>0</v>
          </cell>
          <cell r="D11">
            <v>0</v>
          </cell>
          <cell r="E11">
            <v>0</v>
          </cell>
          <cell r="F11">
            <v>234</v>
          </cell>
        </row>
        <row r="16">
          <cell r="A16">
            <v>44776</v>
          </cell>
          <cell r="B16" t="str">
            <v>LM</v>
          </cell>
          <cell r="C16">
            <v>0</v>
          </cell>
          <cell r="D16">
            <v>195.48</v>
          </cell>
          <cell r="E16">
            <v>0</v>
          </cell>
          <cell r="F16">
            <v>0</v>
          </cell>
        </row>
        <row r="17">
          <cell r="A17">
            <v>44776</v>
          </cell>
          <cell r="B17" t="str">
            <v>none</v>
          </cell>
          <cell r="C17">
            <v>0</v>
          </cell>
          <cell r="D17">
            <v>2000</v>
          </cell>
          <cell r="E17">
            <v>2000</v>
          </cell>
          <cell r="F17">
            <v>0</v>
          </cell>
        </row>
        <row r="18">
          <cell r="A18">
            <v>44776</v>
          </cell>
          <cell r="B18" t="str">
            <v>Andere</v>
          </cell>
          <cell r="C18">
            <v>0</v>
          </cell>
          <cell r="D18">
            <v>100</v>
          </cell>
          <cell r="E18">
            <v>0</v>
          </cell>
          <cell r="F18">
            <v>0</v>
          </cell>
        </row>
        <row r="19">
          <cell r="A19">
            <v>44776</v>
          </cell>
          <cell r="B19" t="str">
            <v>LM</v>
          </cell>
          <cell r="C19">
            <v>0</v>
          </cell>
          <cell r="D19">
            <v>0</v>
          </cell>
          <cell r="E19">
            <v>0</v>
          </cell>
          <cell r="F19">
            <v>160</v>
          </cell>
        </row>
        <row r="23">
          <cell r="A23">
            <v>44777</v>
          </cell>
          <cell r="B23" t="str">
            <v>Andere</v>
          </cell>
          <cell r="C23">
            <v>0</v>
          </cell>
          <cell r="D23">
            <v>500</v>
          </cell>
          <cell r="E23">
            <v>0</v>
          </cell>
          <cell r="F23">
            <v>0</v>
          </cell>
        </row>
        <row r="24">
          <cell r="A24">
            <v>44777</v>
          </cell>
          <cell r="B24" t="str">
            <v>Party</v>
          </cell>
          <cell r="C24">
            <v>0</v>
          </cell>
          <cell r="D24">
            <v>390</v>
          </cell>
          <cell r="E24">
            <v>0</v>
          </cell>
          <cell r="F24">
            <v>0</v>
          </cell>
        </row>
        <row r="25">
          <cell r="A25">
            <v>44777</v>
          </cell>
          <cell r="B25" t="str">
            <v>Rauchen</v>
          </cell>
          <cell r="C25">
            <v>0</v>
          </cell>
          <cell r="D25">
            <v>170</v>
          </cell>
          <cell r="E25">
            <v>0</v>
          </cell>
          <cell r="F25">
            <v>0</v>
          </cell>
        </row>
        <row r="26">
          <cell r="A26">
            <v>44777</v>
          </cell>
          <cell r="B26" t="str">
            <v>LM</v>
          </cell>
          <cell r="C26">
            <v>0</v>
          </cell>
          <cell r="D26">
            <v>674</v>
          </cell>
          <cell r="E26">
            <v>0</v>
          </cell>
          <cell r="F26">
            <v>0</v>
          </cell>
        </row>
        <row r="27">
          <cell r="A27">
            <v>44777</v>
          </cell>
          <cell r="B27" t="str">
            <v>VM</v>
          </cell>
          <cell r="C27">
            <v>0</v>
          </cell>
          <cell r="D27">
            <v>0</v>
          </cell>
          <cell r="E27">
            <v>0</v>
          </cell>
          <cell r="F27">
            <v>75</v>
          </cell>
        </row>
        <row r="30">
          <cell r="A30">
            <v>44778</v>
          </cell>
          <cell r="B30" t="str">
            <v>LM</v>
          </cell>
          <cell r="C30">
            <v>0</v>
          </cell>
          <cell r="D30">
            <v>840</v>
          </cell>
          <cell r="E30">
            <v>0</v>
          </cell>
          <cell r="F30">
            <v>0</v>
          </cell>
        </row>
        <row r="31">
          <cell r="A31">
            <v>44778</v>
          </cell>
          <cell r="B31" t="str">
            <v>VM</v>
          </cell>
          <cell r="C31">
            <v>0</v>
          </cell>
          <cell r="D31">
            <v>0</v>
          </cell>
          <cell r="E31">
            <v>0</v>
          </cell>
          <cell r="F31">
            <v>105</v>
          </cell>
        </row>
        <row r="37">
          <cell r="A37">
            <v>44779</v>
          </cell>
          <cell r="B37" t="str">
            <v>none</v>
          </cell>
          <cell r="C37">
            <v>0</v>
          </cell>
          <cell r="D37">
            <v>1000</v>
          </cell>
          <cell r="E37">
            <v>1000</v>
          </cell>
          <cell r="F37">
            <v>0</v>
          </cell>
        </row>
        <row r="38">
          <cell r="A38">
            <v>44779</v>
          </cell>
          <cell r="B38" t="str">
            <v>LM</v>
          </cell>
          <cell r="C38">
            <v>0</v>
          </cell>
          <cell r="D38">
            <v>1202.73</v>
          </cell>
          <cell r="E38">
            <v>0</v>
          </cell>
          <cell r="F38">
            <v>0</v>
          </cell>
        </row>
        <row r="39">
          <cell r="A39">
            <v>44779</v>
          </cell>
          <cell r="B39" t="str">
            <v>for me</v>
          </cell>
          <cell r="C39">
            <v>0</v>
          </cell>
          <cell r="D39">
            <v>2300</v>
          </cell>
          <cell r="E39">
            <v>0</v>
          </cell>
          <cell r="F39">
            <v>0</v>
          </cell>
        </row>
        <row r="40">
          <cell r="A40">
            <v>44779</v>
          </cell>
          <cell r="B40" t="str">
            <v>Kleidung</v>
          </cell>
          <cell r="C40">
            <v>0</v>
          </cell>
          <cell r="D40">
            <v>2156</v>
          </cell>
          <cell r="E40">
            <v>0</v>
          </cell>
          <cell r="F40">
            <v>0</v>
          </cell>
        </row>
        <row r="41">
          <cell r="A41">
            <v>44779</v>
          </cell>
          <cell r="B41" t="str">
            <v>Party</v>
          </cell>
          <cell r="C41">
            <v>0</v>
          </cell>
          <cell r="D41">
            <v>2500</v>
          </cell>
          <cell r="E41">
            <v>0</v>
          </cell>
          <cell r="F41">
            <v>0</v>
          </cell>
        </row>
        <row r="42">
          <cell r="A42">
            <v>44779</v>
          </cell>
          <cell r="B42" t="str">
            <v>VM</v>
          </cell>
          <cell r="C42">
            <v>0</v>
          </cell>
          <cell r="D42">
            <v>0</v>
          </cell>
          <cell r="E42">
            <v>0</v>
          </cell>
          <cell r="F42">
            <v>1090</v>
          </cell>
        </row>
        <row r="44">
          <cell r="A44">
            <v>44780</v>
          </cell>
          <cell r="B44" t="str">
            <v>Andere</v>
          </cell>
          <cell r="C44">
            <v>0</v>
          </cell>
          <cell r="D44">
            <v>500</v>
          </cell>
          <cell r="E44">
            <v>0</v>
          </cell>
          <cell r="F44">
            <v>0</v>
          </cell>
        </row>
        <row r="45">
          <cell r="A45">
            <v>44780</v>
          </cell>
          <cell r="B45" t="str">
            <v>LM</v>
          </cell>
          <cell r="C45">
            <v>0</v>
          </cell>
          <cell r="D45">
            <v>618.69000000000005</v>
          </cell>
          <cell r="E45">
            <v>0</v>
          </cell>
          <cell r="F45">
            <v>0</v>
          </cell>
        </row>
        <row r="51">
          <cell r="A51">
            <v>44781</v>
          </cell>
          <cell r="B51" t="str">
            <v>Party</v>
          </cell>
          <cell r="C51">
            <v>0</v>
          </cell>
          <cell r="D51">
            <v>238</v>
          </cell>
          <cell r="E51">
            <v>0</v>
          </cell>
          <cell r="F51">
            <v>0</v>
          </cell>
        </row>
        <row r="52">
          <cell r="A52">
            <v>44781</v>
          </cell>
          <cell r="B52" t="str">
            <v>Andere</v>
          </cell>
          <cell r="C52">
            <v>0</v>
          </cell>
          <cell r="D52">
            <v>130</v>
          </cell>
          <cell r="E52">
            <v>0</v>
          </cell>
          <cell r="F52">
            <v>0</v>
          </cell>
        </row>
        <row r="53">
          <cell r="A53">
            <v>44781</v>
          </cell>
          <cell r="B53" t="str">
            <v>VM</v>
          </cell>
          <cell r="C53">
            <v>0</v>
          </cell>
          <cell r="D53">
            <v>0</v>
          </cell>
          <cell r="E53">
            <v>0</v>
          </cell>
          <cell r="F53">
            <v>14</v>
          </cell>
        </row>
        <row r="58">
          <cell r="A58">
            <v>44782</v>
          </cell>
          <cell r="B58" t="str">
            <v>LM</v>
          </cell>
          <cell r="C58">
            <v>0</v>
          </cell>
          <cell r="D58">
            <v>1738.8300000000002</v>
          </cell>
          <cell r="E58">
            <v>0</v>
          </cell>
          <cell r="F58">
            <v>0</v>
          </cell>
        </row>
        <row r="59">
          <cell r="A59">
            <v>44782</v>
          </cell>
          <cell r="B59" t="str">
            <v>Party</v>
          </cell>
          <cell r="C59">
            <v>0</v>
          </cell>
          <cell r="D59">
            <v>665</v>
          </cell>
          <cell r="E59">
            <v>0</v>
          </cell>
          <cell r="F59">
            <v>0</v>
          </cell>
        </row>
        <row r="60">
          <cell r="A60">
            <v>44782</v>
          </cell>
          <cell r="B60" t="str">
            <v>Rauchen</v>
          </cell>
          <cell r="C60">
            <v>0</v>
          </cell>
          <cell r="D60">
            <v>140</v>
          </cell>
          <cell r="E60">
            <v>0</v>
          </cell>
          <cell r="F60">
            <v>0</v>
          </cell>
        </row>
        <row r="61">
          <cell r="A61">
            <v>44782</v>
          </cell>
          <cell r="B61" t="str">
            <v>Refill</v>
          </cell>
          <cell r="C61">
            <v>57114.57</v>
          </cell>
          <cell r="D61">
            <v>0</v>
          </cell>
          <cell r="E61">
            <v>0</v>
          </cell>
          <cell r="F61">
            <v>0</v>
          </cell>
        </row>
        <row r="62">
          <cell r="A62">
            <v>44782</v>
          </cell>
          <cell r="B62" t="str">
            <v>VM</v>
          </cell>
          <cell r="C62">
            <v>0</v>
          </cell>
          <cell r="D62">
            <v>0</v>
          </cell>
          <cell r="E62">
            <v>0</v>
          </cell>
          <cell r="F62">
            <v>199</v>
          </cell>
        </row>
        <row r="65">
          <cell r="A65">
            <v>44783</v>
          </cell>
          <cell r="B65" t="str">
            <v>LM</v>
          </cell>
          <cell r="C65">
            <v>0</v>
          </cell>
          <cell r="D65">
            <v>567</v>
          </cell>
          <cell r="E65">
            <v>0</v>
          </cell>
          <cell r="F65">
            <v>0</v>
          </cell>
        </row>
        <row r="66">
          <cell r="A66">
            <v>44783</v>
          </cell>
          <cell r="B66" t="str">
            <v>Frauen</v>
          </cell>
          <cell r="C66">
            <v>0</v>
          </cell>
          <cell r="D66">
            <v>1540</v>
          </cell>
          <cell r="E66">
            <v>0</v>
          </cell>
          <cell r="F66">
            <v>0</v>
          </cell>
        </row>
        <row r="67">
          <cell r="A67">
            <v>44783</v>
          </cell>
          <cell r="B67" t="str">
            <v>VM</v>
          </cell>
          <cell r="C67">
            <v>0</v>
          </cell>
          <cell r="D67">
            <v>0</v>
          </cell>
          <cell r="E67">
            <v>0</v>
          </cell>
          <cell r="F67">
            <v>119</v>
          </cell>
        </row>
        <row r="72">
          <cell r="A72">
            <v>44784</v>
          </cell>
          <cell r="B72" t="str">
            <v>Rauchen</v>
          </cell>
          <cell r="C72">
            <v>0</v>
          </cell>
          <cell r="D72">
            <v>155</v>
          </cell>
          <cell r="E72">
            <v>0</v>
          </cell>
          <cell r="F72">
            <v>0</v>
          </cell>
        </row>
        <row r="73">
          <cell r="A73">
            <v>44784</v>
          </cell>
          <cell r="B73" t="str">
            <v>LM</v>
          </cell>
          <cell r="C73">
            <v>0</v>
          </cell>
          <cell r="D73">
            <v>582</v>
          </cell>
          <cell r="E73">
            <v>0</v>
          </cell>
          <cell r="F73">
            <v>0</v>
          </cell>
        </row>
        <row r="74">
          <cell r="A74">
            <v>44784</v>
          </cell>
          <cell r="B74" t="str">
            <v>Andere</v>
          </cell>
          <cell r="C74">
            <v>0</v>
          </cell>
          <cell r="D74">
            <v>599</v>
          </cell>
          <cell r="E74">
            <v>0</v>
          </cell>
          <cell r="F74">
            <v>0</v>
          </cell>
        </row>
        <row r="75">
          <cell r="A75">
            <v>44784</v>
          </cell>
          <cell r="B75" t="str">
            <v>Refill</v>
          </cell>
          <cell r="C75">
            <v>30828.080000000002</v>
          </cell>
          <cell r="D75">
            <v>726.08</v>
          </cell>
          <cell r="E75">
            <v>726.08</v>
          </cell>
          <cell r="F75">
            <v>0</v>
          </cell>
        </row>
        <row r="76">
          <cell r="A76">
            <v>44784</v>
          </cell>
          <cell r="B76" t="str">
            <v>for me</v>
          </cell>
          <cell r="C76">
            <v>0</v>
          </cell>
          <cell r="D76">
            <v>2300</v>
          </cell>
          <cell r="E76">
            <v>0</v>
          </cell>
          <cell r="F76">
            <v>0</v>
          </cell>
        </row>
        <row r="77">
          <cell r="A77">
            <v>44784</v>
          </cell>
          <cell r="B77" t="str">
            <v>VM</v>
          </cell>
          <cell r="C77">
            <v>0</v>
          </cell>
          <cell r="D77">
            <v>0</v>
          </cell>
          <cell r="E77">
            <v>0</v>
          </cell>
          <cell r="F77">
            <v>468</v>
          </cell>
        </row>
        <row r="79">
          <cell r="A79">
            <v>44785</v>
          </cell>
          <cell r="B79" t="str">
            <v>VM</v>
          </cell>
          <cell r="C79">
            <v>0</v>
          </cell>
          <cell r="D79">
            <v>450</v>
          </cell>
          <cell r="E79">
            <v>0</v>
          </cell>
          <cell r="F79">
            <v>538</v>
          </cell>
        </row>
        <row r="80">
          <cell r="A80">
            <v>44785</v>
          </cell>
          <cell r="B80" t="str">
            <v>LM</v>
          </cell>
          <cell r="C80">
            <v>0</v>
          </cell>
          <cell r="D80">
            <v>560</v>
          </cell>
          <cell r="E80">
            <v>0</v>
          </cell>
          <cell r="F80">
            <v>0</v>
          </cell>
        </row>
        <row r="86">
          <cell r="A86">
            <v>44786</v>
          </cell>
          <cell r="B86" t="str">
            <v>LM</v>
          </cell>
          <cell r="C86">
            <v>0</v>
          </cell>
          <cell r="D86">
            <v>1411.39</v>
          </cell>
          <cell r="E86">
            <v>0</v>
          </cell>
          <cell r="F86">
            <v>0</v>
          </cell>
        </row>
        <row r="87">
          <cell r="A87">
            <v>44786</v>
          </cell>
          <cell r="B87" t="str">
            <v>Rauchen</v>
          </cell>
          <cell r="C87">
            <v>0</v>
          </cell>
          <cell r="D87">
            <v>150</v>
          </cell>
          <cell r="E87">
            <v>0</v>
          </cell>
          <cell r="F87">
            <v>0</v>
          </cell>
        </row>
        <row r="100">
          <cell r="A100">
            <v>44788</v>
          </cell>
          <cell r="B100" t="str">
            <v>Andere</v>
          </cell>
          <cell r="C100">
            <v>0</v>
          </cell>
          <cell r="D100">
            <v>149</v>
          </cell>
          <cell r="E100">
            <v>0</v>
          </cell>
          <cell r="F100">
            <v>0</v>
          </cell>
        </row>
        <row r="101">
          <cell r="A101">
            <v>44788</v>
          </cell>
          <cell r="B101" t="str">
            <v>Kleidung</v>
          </cell>
          <cell r="C101">
            <v>0</v>
          </cell>
          <cell r="D101">
            <v>1877</v>
          </cell>
          <cell r="E101">
            <v>0</v>
          </cell>
          <cell r="F101">
            <v>0</v>
          </cell>
        </row>
        <row r="102">
          <cell r="A102">
            <v>44788</v>
          </cell>
          <cell r="B102" t="str">
            <v>Andere</v>
          </cell>
          <cell r="C102">
            <v>0</v>
          </cell>
          <cell r="D102">
            <v>1520</v>
          </cell>
          <cell r="E102">
            <v>0</v>
          </cell>
          <cell r="F102">
            <v>0</v>
          </cell>
        </row>
        <row r="103">
          <cell r="A103">
            <v>44788</v>
          </cell>
          <cell r="B103" t="str">
            <v>VM</v>
          </cell>
          <cell r="C103">
            <v>0</v>
          </cell>
          <cell r="D103">
            <v>0</v>
          </cell>
          <cell r="E103">
            <v>0</v>
          </cell>
          <cell r="F103">
            <v>119</v>
          </cell>
        </row>
        <row r="107">
          <cell r="A107">
            <v>44789</v>
          </cell>
          <cell r="B107" t="str">
            <v>Andere</v>
          </cell>
          <cell r="C107">
            <v>0</v>
          </cell>
          <cell r="D107">
            <v>150</v>
          </cell>
          <cell r="E107">
            <v>0</v>
          </cell>
          <cell r="F107">
            <v>0</v>
          </cell>
        </row>
        <row r="108">
          <cell r="A108">
            <v>44789</v>
          </cell>
          <cell r="B108" t="str">
            <v>none</v>
          </cell>
          <cell r="C108">
            <v>0</v>
          </cell>
          <cell r="D108">
            <v>500</v>
          </cell>
          <cell r="E108">
            <v>500</v>
          </cell>
          <cell r="F108">
            <v>0</v>
          </cell>
        </row>
        <row r="109">
          <cell r="A109">
            <v>44789</v>
          </cell>
          <cell r="B109" t="str">
            <v>Andere</v>
          </cell>
          <cell r="C109">
            <v>0</v>
          </cell>
          <cell r="D109">
            <v>849</v>
          </cell>
          <cell r="E109">
            <v>0</v>
          </cell>
          <cell r="F109">
            <v>0</v>
          </cell>
        </row>
        <row r="110">
          <cell r="A110">
            <v>44789</v>
          </cell>
          <cell r="B110" t="str">
            <v>LM</v>
          </cell>
          <cell r="C110">
            <v>0</v>
          </cell>
          <cell r="D110">
            <v>330</v>
          </cell>
          <cell r="E110">
            <v>0</v>
          </cell>
          <cell r="F110">
            <v>0</v>
          </cell>
        </row>
        <row r="111">
          <cell r="A111">
            <v>44789</v>
          </cell>
          <cell r="B111" t="str">
            <v>Andere</v>
          </cell>
          <cell r="C111">
            <v>0</v>
          </cell>
          <cell r="D111">
            <v>200</v>
          </cell>
          <cell r="E111">
            <v>0</v>
          </cell>
          <cell r="F111">
            <v>0</v>
          </cell>
        </row>
        <row r="112">
          <cell r="A112">
            <v>44789</v>
          </cell>
          <cell r="B112" t="str">
            <v>VM</v>
          </cell>
          <cell r="C112">
            <v>0</v>
          </cell>
          <cell r="D112">
            <v>0</v>
          </cell>
          <cell r="E112">
            <v>0</v>
          </cell>
          <cell r="F112">
            <v>343</v>
          </cell>
        </row>
        <row r="114">
          <cell r="A114">
            <v>44790</v>
          </cell>
          <cell r="B114" t="str">
            <v>Rauchen</v>
          </cell>
          <cell r="C114">
            <v>0</v>
          </cell>
          <cell r="D114">
            <v>150</v>
          </cell>
          <cell r="E114">
            <v>0</v>
          </cell>
          <cell r="F114">
            <v>0</v>
          </cell>
        </row>
        <row r="115">
          <cell r="A115">
            <v>44790</v>
          </cell>
          <cell r="B115" t="str">
            <v>Andere</v>
          </cell>
          <cell r="C115">
            <v>0</v>
          </cell>
          <cell r="D115">
            <v>100</v>
          </cell>
          <cell r="E115">
            <v>0</v>
          </cell>
          <cell r="F115">
            <v>0</v>
          </cell>
        </row>
        <row r="121">
          <cell r="A121">
            <v>44791</v>
          </cell>
          <cell r="B121" t="str">
            <v>for me</v>
          </cell>
          <cell r="C121">
            <v>0</v>
          </cell>
          <cell r="D121">
            <v>1600</v>
          </cell>
          <cell r="E121">
            <v>0</v>
          </cell>
          <cell r="F121">
            <v>0</v>
          </cell>
        </row>
        <row r="122">
          <cell r="A122">
            <v>44791</v>
          </cell>
          <cell r="B122" t="str">
            <v>Andere</v>
          </cell>
          <cell r="C122">
            <v>0</v>
          </cell>
          <cell r="D122">
            <v>377</v>
          </cell>
          <cell r="E122">
            <v>0</v>
          </cell>
          <cell r="F122">
            <v>0</v>
          </cell>
        </row>
        <row r="128">
          <cell r="A128">
            <v>44792</v>
          </cell>
          <cell r="B128" t="str">
            <v>Kleidung</v>
          </cell>
          <cell r="C128">
            <v>0</v>
          </cell>
          <cell r="D128">
            <v>999</v>
          </cell>
          <cell r="E128">
            <v>0</v>
          </cell>
          <cell r="F128">
            <v>0</v>
          </cell>
        </row>
        <row r="129">
          <cell r="A129">
            <v>44792</v>
          </cell>
          <cell r="B129" t="str">
            <v>Andere</v>
          </cell>
          <cell r="C129">
            <v>0</v>
          </cell>
          <cell r="D129">
            <v>2100</v>
          </cell>
          <cell r="E129">
            <v>0</v>
          </cell>
          <cell r="F129">
            <v>0</v>
          </cell>
        </row>
        <row r="135">
          <cell r="A135">
            <v>44793</v>
          </cell>
          <cell r="B135" t="str">
            <v>none</v>
          </cell>
          <cell r="C135">
            <v>0</v>
          </cell>
          <cell r="D135">
            <v>1000</v>
          </cell>
          <cell r="E135">
            <v>1000</v>
          </cell>
          <cell r="F135">
            <v>0</v>
          </cell>
        </row>
        <row r="136">
          <cell r="A136">
            <v>44793</v>
          </cell>
          <cell r="B136" t="str">
            <v>for me</v>
          </cell>
          <cell r="C136">
            <v>0</v>
          </cell>
          <cell r="D136">
            <v>1800</v>
          </cell>
          <cell r="E136">
            <v>0</v>
          </cell>
          <cell r="F136">
            <v>0</v>
          </cell>
        </row>
        <row r="137">
          <cell r="A137">
            <v>44793</v>
          </cell>
          <cell r="B137" t="str">
            <v>Party</v>
          </cell>
          <cell r="C137">
            <v>0</v>
          </cell>
          <cell r="D137">
            <v>8410</v>
          </cell>
          <cell r="E137">
            <v>0</v>
          </cell>
          <cell r="F137">
            <v>0</v>
          </cell>
        </row>
        <row r="138">
          <cell r="A138">
            <v>44793</v>
          </cell>
          <cell r="B138" t="str">
            <v>LM</v>
          </cell>
          <cell r="C138">
            <v>0</v>
          </cell>
          <cell r="D138">
            <v>219.99</v>
          </cell>
          <cell r="E138">
            <v>0</v>
          </cell>
          <cell r="F138">
            <v>0</v>
          </cell>
        </row>
        <row r="139">
          <cell r="A139">
            <v>44793</v>
          </cell>
          <cell r="B139" t="str">
            <v>VM</v>
          </cell>
          <cell r="C139">
            <v>0</v>
          </cell>
          <cell r="D139">
            <v>0</v>
          </cell>
          <cell r="E139">
            <v>0</v>
          </cell>
          <cell r="F139">
            <v>400</v>
          </cell>
        </row>
        <row r="142">
          <cell r="A142">
            <v>44794</v>
          </cell>
          <cell r="B142" t="str">
            <v>LM</v>
          </cell>
          <cell r="C142">
            <v>0</v>
          </cell>
          <cell r="D142">
            <v>355</v>
          </cell>
          <cell r="E142">
            <v>0</v>
          </cell>
          <cell r="F142">
            <v>0</v>
          </cell>
        </row>
        <row r="149">
          <cell r="A149">
            <v>44795</v>
          </cell>
          <cell r="B149" t="str">
            <v>Andere</v>
          </cell>
          <cell r="C149">
            <v>0</v>
          </cell>
          <cell r="D149">
            <v>203.9</v>
          </cell>
          <cell r="E149">
            <v>0</v>
          </cell>
          <cell r="F149">
            <v>0</v>
          </cell>
        </row>
        <row r="156">
          <cell r="A156">
            <v>44796</v>
          </cell>
          <cell r="B156" t="str">
            <v>for me</v>
          </cell>
          <cell r="C156">
            <v>0</v>
          </cell>
          <cell r="D156">
            <v>100</v>
          </cell>
          <cell r="E156">
            <v>0</v>
          </cell>
          <cell r="F156">
            <v>0</v>
          </cell>
        </row>
        <row r="157">
          <cell r="A157">
            <v>44796</v>
          </cell>
          <cell r="B157" t="str">
            <v>Andere</v>
          </cell>
          <cell r="C157">
            <v>0</v>
          </cell>
          <cell r="D157">
            <v>4190</v>
          </cell>
          <cell r="E157">
            <v>0</v>
          </cell>
          <cell r="F157">
            <v>0</v>
          </cell>
        </row>
        <row r="158">
          <cell r="A158">
            <v>44796</v>
          </cell>
          <cell r="B158" t="str">
            <v>LM</v>
          </cell>
          <cell r="C158">
            <v>0</v>
          </cell>
          <cell r="D158">
            <v>275.98</v>
          </cell>
          <cell r="E158">
            <v>0</v>
          </cell>
          <cell r="F158">
            <v>0</v>
          </cell>
        </row>
        <row r="163">
          <cell r="A163">
            <v>44797</v>
          </cell>
          <cell r="B163" t="str">
            <v>LM</v>
          </cell>
          <cell r="C163">
            <v>0</v>
          </cell>
          <cell r="D163">
            <v>3160</v>
          </cell>
          <cell r="E163">
            <v>0</v>
          </cell>
          <cell r="F163">
            <v>0</v>
          </cell>
        </row>
        <row r="164">
          <cell r="A164">
            <v>44797</v>
          </cell>
          <cell r="B164" t="str">
            <v>Refill</v>
          </cell>
          <cell r="C164">
            <v>31320</v>
          </cell>
          <cell r="D164">
            <v>0</v>
          </cell>
          <cell r="E164">
            <v>0</v>
          </cell>
          <cell r="F164">
            <v>0</v>
          </cell>
        </row>
        <row r="170">
          <cell r="A170">
            <v>44798</v>
          </cell>
          <cell r="B170" t="str">
            <v>LM</v>
          </cell>
          <cell r="C170">
            <v>0</v>
          </cell>
          <cell r="D170">
            <v>200</v>
          </cell>
          <cell r="E170">
            <v>0</v>
          </cell>
          <cell r="F170">
            <v>0</v>
          </cell>
        </row>
        <row r="171">
          <cell r="A171">
            <v>44798</v>
          </cell>
          <cell r="B171" t="str">
            <v>for me</v>
          </cell>
          <cell r="C171">
            <v>0</v>
          </cell>
          <cell r="D171">
            <v>2446.8000000000002</v>
          </cell>
          <cell r="E171">
            <v>0</v>
          </cell>
          <cell r="F171">
            <v>0</v>
          </cell>
        </row>
        <row r="172">
          <cell r="A172">
            <v>44798</v>
          </cell>
          <cell r="B172" t="str">
            <v>Andere</v>
          </cell>
          <cell r="C172">
            <v>0</v>
          </cell>
          <cell r="D172">
            <v>560</v>
          </cell>
          <cell r="E172">
            <v>0</v>
          </cell>
          <cell r="F172">
            <v>0</v>
          </cell>
        </row>
        <row r="173">
          <cell r="A173">
            <v>44798</v>
          </cell>
          <cell r="B173" t="str">
            <v>VM</v>
          </cell>
          <cell r="C173">
            <v>0</v>
          </cell>
          <cell r="D173">
            <v>0</v>
          </cell>
          <cell r="E173">
            <v>0</v>
          </cell>
          <cell r="F173">
            <v>366</v>
          </cell>
        </row>
        <row r="177">
          <cell r="A177">
            <v>44799</v>
          </cell>
          <cell r="B177" t="str">
            <v>for me</v>
          </cell>
          <cell r="C177">
            <v>0</v>
          </cell>
          <cell r="D177">
            <v>900</v>
          </cell>
          <cell r="E177">
            <v>0</v>
          </cell>
          <cell r="F177">
            <v>0</v>
          </cell>
        </row>
        <row r="184">
          <cell r="A184">
            <v>44800</v>
          </cell>
          <cell r="B184" t="str">
            <v>VM</v>
          </cell>
          <cell r="C184">
            <v>500</v>
          </cell>
          <cell r="D184">
            <v>450</v>
          </cell>
          <cell r="E184">
            <v>0</v>
          </cell>
          <cell r="F184">
            <v>0</v>
          </cell>
        </row>
        <row r="185">
          <cell r="A185">
            <v>44800</v>
          </cell>
          <cell r="B185" t="str">
            <v>Rauchen</v>
          </cell>
          <cell r="C185">
            <v>0</v>
          </cell>
          <cell r="D185">
            <v>150</v>
          </cell>
          <cell r="E185">
            <v>0</v>
          </cell>
          <cell r="F185">
            <v>0</v>
          </cell>
        </row>
        <row r="186">
          <cell r="A186">
            <v>44800</v>
          </cell>
          <cell r="B186" t="str">
            <v>LM</v>
          </cell>
          <cell r="C186">
            <v>0</v>
          </cell>
          <cell r="D186">
            <v>1145.3399999999999</v>
          </cell>
          <cell r="E186">
            <v>0</v>
          </cell>
          <cell r="F186">
            <v>0</v>
          </cell>
        </row>
        <row r="191">
          <cell r="A191">
            <v>44801</v>
          </cell>
          <cell r="B191" t="str">
            <v>Andere</v>
          </cell>
          <cell r="C191">
            <v>0</v>
          </cell>
          <cell r="D191">
            <v>20</v>
          </cell>
          <cell r="E191">
            <v>0</v>
          </cell>
          <cell r="F191">
            <v>0</v>
          </cell>
        </row>
        <row r="192">
          <cell r="A192">
            <v>44801</v>
          </cell>
          <cell r="B192" t="str">
            <v>none</v>
          </cell>
          <cell r="C192">
            <v>0</v>
          </cell>
          <cell r="D192">
            <v>1000</v>
          </cell>
          <cell r="E192">
            <v>1000</v>
          </cell>
          <cell r="F192">
            <v>0</v>
          </cell>
        </row>
        <row r="193">
          <cell r="A193">
            <v>44801</v>
          </cell>
          <cell r="B193" t="str">
            <v>VM</v>
          </cell>
          <cell r="C193">
            <v>0</v>
          </cell>
          <cell r="D193">
            <v>600</v>
          </cell>
          <cell r="E193">
            <v>0</v>
          </cell>
          <cell r="F193">
            <v>579</v>
          </cell>
        </row>
        <row r="198">
          <cell r="A198">
            <v>44802</v>
          </cell>
          <cell r="B198" t="str">
            <v>LM</v>
          </cell>
          <cell r="C198">
            <v>0</v>
          </cell>
          <cell r="D198">
            <v>360</v>
          </cell>
          <cell r="E198">
            <v>0</v>
          </cell>
          <cell r="F198">
            <v>0</v>
          </cell>
        </row>
        <row r="199">
          <cell r="A199">
            <v>44802</v>
          </cell>
          <cell r="B199" t="str">
            <v>VM</v>
          </cell>
          <cell r="C199">
            <v>0</v>
          </cell>
          <cell r="D199">
            <v>0</v>
          </cell>
          <cell r="E199">
            <v>0</v>
          </cell>
          <cell r="F199">
            <v>130.88</v>
          </cell>
        </row>
        <row r="205">
          <cell r="A205">
            <v>44803</v>
          </cell>
          <cell r="B205" t="str">
            <v>LM</v>
          </cell>
          <cell r="C205">
            <v>0</v>
          </cell>
          <cell r="D205">
            <v>570</v>
          </cell>
          <cell r="E205">
            <v>0</v>
          </cell>
          <cell r="F205">
            <v>0</v>
          </cell>
        </row>
        <row r="206">
          <cell r="A206">
            <v>44803</v>
          </cell>
          <cell r="B206" t="str">
            <v>Rauchen</v>
          </cell>
          <cell r="C206">
            <v>0</v>
          </cell>
          <cell r="D206">
            <v>165</v>
          </cell>
          <cell r="E206">
            <v>0</v>
          </cell>
          <cell r="F206">
            <v>0</v>
          </cell>
        </row>
        <row r="207">
          <cell r="A207">
            <v>44803</v>
          </cell>
          <cell r="B207" t="str">
            <v>Party</v>
          </cell>
          <cell r="C207">
            <v>0</v>
          </cell>
          <cell r="D207">
            <v>5186</v>
          </cell>
          <cell r="E207">
            <v>0</v>
          </cell>
          <cell r="F207">
            <v>0</v>
          </cell>
        </row>
        <row r="208">
          <cell r="A208">
            <v>44803</v>
          </cell>
          <cell r="B208" t="str">
            <v>VM</v>
          </cell>
          <cell r="C208">
            <v>0</v>
          </cell>
          <cell r="D208">
            <v>0</v>
          </cell>
          <cell r="E208">
            <v>0</v>
          </cell>
          <cell r="F208">
            <v>24.87</v>
          </cell>
        </row>
        <row r="212">
          <cell r="A212">
            <v>44804</v>
          </cell>
          <cell r="B212" t="str">
            <v>Andere</v>
          </cell>
          <cell r="C212">
            <v>0</v>
          </cell>
          <cell r="D212">
            <v>2000</v>
          </cell>
          <cell r="E212">
            <v>0</v>
          </cell>
          <cell r="F212">
            <v>0</v>
          </cell>
        </row>
        <row r="213">
          <cell r="A213">
            <v>44804</v>
          </cell>
          <cell r="B213" t="str">
            <v>Frauen</v>
          </cell>
          <cell r="C213">
            <v>0</v>
          </cell>
          <cell r="D213">
            <v>930</v>
          </cell>
          <cell r="E213">
            <v>0</v>
          </cell>
          <cell r="F213">
            <v>0</v>
          </cell>
        </row>
        <row r="214">
          <cell r="A214">
            <v>44804</v>
          </cell>
          <cell r="B214" t="str">
            <v>Refill</v>
          </cell>
          <cell r="C214">
            <v>1460.82</v>
          </cell>
          <cell r="D214">
            <v>0</v>
          </cell>
          <cell r="E214">
            <v>0</v>
          </cell>
        </row>
        <row r="215">
          <cell r="A215">
            <v>44804</v>
          </cell>
          <cell r="B215" t="str">
            <v>none</v>
          </cell>
          <cell r="C215">
            <v>16</v>
          </cell>
          <cell r="D215">
            <v>0</v>
          </cell>
          <cell r="E215">
            <v>0</v>
          </cell>
          <cell r="F215">
            <v>0</v>
          </cell>
        </row>
        <row r="216">
          <cell r="A216">
            <v>44804</v>
          </cell>
          <cell r="B216" t="str">
            <v>VM</v>
          </cell>
          <cell r="C216">
            <v>0</v>
          </cell>
          <cell r="D216">
            <v>0</v>
          </cell>
          <cell r="E216">
            <v>0</v>
          </cell>
          <cell r="F216">
            <v>53.49</v>
          </cell>
        </row>
      </sheetData>
      <sheetData sheetId="21"/>
      <sheetData sheetId="22">
        <row r="2">
          <cell r="A2">
            <v>44805</v>
          </cell>
          <cell r="B2" t="str">
            <v>LM</v>
          </cell>
          <cell r="C2">
            <v>0</v>
          </cell>
          <cell r="D2">
            <v>704.94</v>
          </cell>
          <cell r="E2">
            <v>0</v>
          </cell>
          <cell r="F2">
            <v>0</v>
          </cell>
        </row>
        <row r="3">
          <cell r="A3">
            <v>44805</v>
          </cell>
          <cell r="B3" t="str">
            <v>LM</v>
          </cell>
          <cell r="C3">
            <v>0</v>
          </cell>
          <cell r="D3">
            <v>700.49</v>
          </cell>
          <cell r="E3">
            <v>0</v>
          </cell>
          <cell r="F3">
            <v>0</v>
          </cell>
        </row>
        <row r="4">
          <cell r="A4">
            <v>44805</v>
          </cell>
          <cell r="B4" t="str">
            <v>VM</v>
          </cell>
          <cell r="C4">
            <v>0</v>
          </cell>
          <cell r="D4">
            <v>0</v>
          </cell>
          <cell r="E4">
            <v>0</v>
          </cell>
          <cell r="F4">
            <v>600</v>
          </cell>
        </row>
        <row r="9">
          <cell r="A9">
            <v>44806</v>
          </cell>
          <cell r="B9" t="str">
            <v>LM</v>
          </cell>
          <cell r="C9">
            <v>0</v>
          </cell>
          <cell r="D9">
            <v>860</v>
          </cell>
          <cell r="E9">
            <v>0</v>
          </cell>
          <cell r="F9">
            <v>0</v>
          </cell>
        </row>
        <row r="10">
          <cell r="A10">
            <v>44806</v>
          </cell>
          <cell r="B10" t="str">
            <v>VM</v>
          </cell>
          <cell r="C10">
            <v>0</v>
          </cell>
          <cell r="D10">
            <v>435</v>
          </cell>
          <cell r="E10">
            <v>0</v>
          </cell>
          <cell r="F10">
            <v>27.96</v>
          </cell>
        </row>
        <row r="11">
          <cell r="A11">
            <v>44806</v>
          </cell>
          <cell r="B11" t="str">
            <v>Rauchen</v>
          </cell>
          <cell r="C11">
            <v>0</v>
          </cell>
          <cell r="D11">
            <v>155</v>
          </cell>
          <cell r="E11">
            <v>0</v>
          </cell>
          <cell r="F11">
            <v>0</v>
          </cell>
        </row>
        <row r="16">
          <cell r="A16">
            <v>44807</v>
          </cell>
          <cell r="B16" t="str">
            <v>none</v>
          </cell>
          <cell r="C16">
            <v>0</v>
          </cell>
          <cell r="D16">
            <v>6000</v>
          </cell>
          <cell r="E16">
            <v>6000</v>
          </cell>
          <cell r="F16">
            <v>0</v>
          </cell>
        </row>
        <row r="17">
          <cell r="A17">
            <v>44807</v>
          </cell>
          <cell r="B17" t="str">
            <v>Andere</v>
          </cell>
          <cell r="C17">
            <v>0</v>
          </cell>
          <cell r="D17">
            <v>500</v>
          </cell>
          <cell r="E17">
            <v>0</v>
          </cell>
          <cell r="F17">
            <v>0</v>
          </cell>
        </row>
        <row r="18">
          <cell r="A18">
            <v>44807</v>
          </cell>
          <cell r="B18" t="str">
            <v>for me</v>
          </cell>
          <cell r="C18">
            <v>0</v>
          </cell>
          <cell r="D18">
            <v>0</v>
          </cell>
          <cell r="E18">
            <v>0</v>
          </cell>
          <cell r="F18">
            <v>5000</v>
          </cell>
        </row>
        <row r="23">
          <cell r="A23">
            <v>44808</v>
          </cell>
          <cell r="B23" t="str">
            <v>LM</v>
          </cell>
          <cell r="C23">
            <v>0</v>
          </cell>
          <cell r="D23">
            <v>79.989999999999995</v>
          </cell>
          <cell r="E23">
            <v>0</v>
          </cell>
          <cell r="F23">
            <v>0</v>
          </cell>
        </row>
        <row r="24">
          <cell r="A24">
            <v>44808</v>
          </cell>
          <cell r="B24" t="str">
            <v>Kleidung</v>
          </cell>
          <cell r="C24">
            <v>0</v>
          </cell>
          <cell r="D24">
            <v>956</v>
          </cell>
          <cell r="E24">
            <v>0</v>
          </cell>
          <cell r="F24">
            <v>0</v>
          </cell>
        </row>
        <row r="25">
          <cell r="A25">
            <v>44808</v>
          </cell>
          <cell r="B25" t="str">
            <v>for me</v>
          </cell>
          <cell r="C25">
            <v>0</v>
          </cell>
          <cell r="D25">
            <v>1100</v>
          </cell>
          <cell r="E25">
            <v>0</v>
          </cell>
          <cell r="F25">
            <v>0</v>
          </cell>
        </row>
        <row r="26">
          <cell r="A26">
            <v>44808</v>
          </cell>
          <cell r="B26" t="str">
            <v>Party</v>
          </cell>
          <cell r="C26">
            <v>0</v>
          </cell>
          <cell r="D26">
            <v>2020</v>
          </cell>
          <cell r="E26">
            <v>0</v>
          </cell>
          <cell r="F26">
            <v>0</v>
          </cell>
        </row>
        <row r="27">
          <cell r="A27">
            <v>44808</v>
          </cell>
          <cell r="B27" t="str">
            <v>none</v>
          </cell>
          <cell r="C27">
            <v>0</v>
          </cell>
          <cell r="D27">
            <v>810</v>
          </cell>
          <cell r="E27">
            <v>810</v>
          </cell>
          <cell r="F27">
            <v>0</v>
          </cell>
        </row>
        <row r="28">
          <cell r="A28">
            <v>44808</v>
          </cell>
          <cell r="B28" t="str">
            <v>VM</v>
          </cell>
          <cell r="C28">
            <v>0</v>
          </cell>
          <cell r="D28">
            <v>0</v>
          </cell>
          <cell r="E28">
            <v>0</v>
          </cell>
          <cell r="F28">
            <v>328</v>
          </cell>
        </row>
        <row r="30">
          <cell r="A30">
            <v>44809</v>
          </cell>
          <cell r="B30" t="str">
            <v>VM</v>
          </cell>
          <cell r="C30">
            <v>0</v>
          </cell>
          <cell r="D30">
            <v>51</v>
          </cell>
          <cell r="E30">
            <v>0</v>
          </cell>
          <cell r="F30">
            <v>0</v>
          </cell>
        </row>
        <row r="31">
          <cell r="A31">
            <v>44809</v>
          </cell>
          <cell r="B31" t="str">
            <v>Andere</v>
          </cell>
          <cell r="C31">
            <v>0</v>
          </cell>
          <cell r="D31">
            <v>50</v>
          </cell>
          <cell r="E31">
            <v>0</v>
          </cell>
          <cell r="F31">
            <v>0</v>
          </cell>
        </row>
        <row r="37">
          <cell r="A37">
            <v>44810</v>
          </cell>
          <cell r="B37" t="str">
            <v>Andere</v>
          </cell>
          <cell r="C37">
            <v>0</v>
          </cell>
          <cell r="D37">
            <v>2800</v>
          </cell>
          <cell r="E37">
            <v>0</v>
          </cell>
          <cell r="F37">
            <v>0</v>
          </cell>
        </row>
        <row r="38">
          <cell r="A38">
            <v>44810</v>
          </cell>
          <cell r="B38" t="str">
            <v>LM</v>
          </cell>
          <cell r="C38">
            <v>0</v>
          </cell>
          <cell r="D38">
            <v>765</v>
          </cell>
          <cell r="E38">
            <v>0</v>
          </cell>
          <cell r="F38">
            <v>0</v>
          </cell>
        </row>
        <row r="39">
          <cell r="A39">
            <v>44810</v>
          </cell>
          <cell r="B39" t="str">
            <v>Rauchen</v>
          </cell>
          <cell r="C39">
            <v>0</v>
          </cell>
          <cell r="D39">
            <v>170</v>
          </cell>
          <cell r="E39">
            <v>0</v>
          </cell>
          <cell r="F39">
            <v>0</v>
          </cell>
        </row>
        <row r="40">
          <cell r="A40">
            <v>44810</v>
          </cell>
          <cell r="B40" t="str">
            <v>VM</v>
          </cell>
          <cell r="C40">
            <v>0</v>
          </cell>
          <cell r="D40">
            <v>0</v>
          </cell>
          <cell r="E40">
            <v>0</v>
          </cell>
          <cell r="F40">
            <v>23.64</v>
          </cell>
        </row>
        <row r="44">
          <cell r="A44">
            <v>44811</v>
          </cell>
          <cell r="B44" t="str">
            <v>VM</v>
          </cell>
          <cell r="C44">
            <v>0</v>
          </cell>
          <cell r="D44">
            <v>102</v>
          </cell>
          <cell r="E44">
            <v>0</v>
          </cell>
          <cell r="F44">
            <v>0</v>
          </cell>
        </row>
        <row r="45">
          <cell r="A45">
            <v>44811</v>
          </cell>
          <cell r="B45" t="str">
            <v>Andere</v>
          </cell>
          <cell r="C45">
            <v>0</v>
          </cell>
          <cell r="D45">
            <v>50</v>
          </cell>
          <cell r="E45">
            <v>0</v>
          </cell>
          <cell r="F45">
            <v>0</v>
          </cell>
        </row>
        <row r="46">
          <cell r="A46">
            <v>44811</v>
          </cell>
          <cell r="B46" t="str">
            <v>LM</v>
          </cell>
          <cell r="C46">
            <v>0</v>
          </cell>
          <cell r="D46">
            <v>0</v>
          </cell>
          <cell r="E46">
            <v>0</v>
          </cell>
          <cell r="F46">
            <v>350</v>
          </cell>
        </row>
        <row r="51">
          <cell r="A51">
            <v>44812</v>
          </cell>
          <cell r="B51" t="str">
            <v>LM</v>
          </cell>
          <cell r="C51">
            <v>0</v>
          </cell>
          <cell r="D51">
            <v>2039.12</v>
          </cell>
          <cell r="E51">
            <v>0</v>
          </cell>
          <cell r="F51">
            <v>0</v>
          </cell>
        </row>
        <row r="52">
          <cell r="A52">
            <v>44812</v>
          </cell>
          <cell r="B52" t="str">
            <v>VM</v>
          </cell>
          <cell r="C52">
            <v>0</v>
          </cell>
          <cell r="D52">
            <v>102</v>
          </cell>
          <cell r="E52">
            <v>0</v>
          </cell>
          <cell r="F52">
            <v>0</v>
          </cell>
        </row>
        <row r="58">
          <cell r="A58">
            <v>44813</v>
          </cell>
          <cell r="B58" t="str">
            <v>Refill</v>
          </cell>
          <cell r="C58">
            <v>32207</v>
          </cell>
          <cell r="D58">
            <v>0</v>
          </cell>
          <cell r="E58">
            <v>0</v>
          </cell>
          <cell r="F58">
            <v>0</v>
          </cell>
        </row>
        <row r="59">
          <cell r="A59">
            <v>44813</v>
          </cell>
          <cell r="B59" t="str">
            <v>Andere</v>
          </cell>
          <cell r="C59">
            <v>0</v>
          </cell>
          <cell r="D59">
            <v>50</v>
          </cell>
          <cell r="E59">
            <v>0</v>
          </cell>
          <cell r="F59">
            <v>0</v>
          </cell>
        </row>
        <row r="60">
          <cell r="A60">
            <v>44813</v>
          </cell>
          <cell r="B60" t="str">
            <v>LM</v>
          </cell>
          <cell r="C60">
            <v>0</v>
          </cell>
          <cell r="D60">
            <v>359</v>
          </cell>
          <cell r="E60">
            <v>0</v>
          </cell>
          <cell r="F60">
            <v>0</v>
          </cell>
        </row>
        <row r="61">
          <cell r="A61">
            <v>44813</v>
          </cell>
          <cell r="B61" t="str">
            <v>Rauchen</v>
          </cell>
          <cell r="C61">
            <v>0</v>
          </cell>
          <cell r="D61">
            <v>150</v>
          </cell>
          <cell r="E61">
            <v>0</v>
          </cell>
          <cell r="F61">
            <v>0</v>
          </cell>
        </row>
        <row r="65">
          <cell r="A65">
            <v>44814</v>
          </cell>
          <cell r="B65" t="str">
            <v>for me</v>
          </cell>
          <cell r="C65">
            <v>0</v>
          </cell>
          <cell r="D65">
            <v>450</v>
          </cell>
          <cell r="E65">
            <v>0</v>
          </cell>
          <cell r="F65">
            <v>0</v>
          </cell>
        </row>
        <row r="66">
          <cell r="A66">
            <v>44814</v>
          </cell>
          <cell r="B66" t="str">
            <v>Party</v>
          </cell>
          <cell r="C66">
            <v>0</v>
          </cell>
          <cell r="D66">
            <v>7185</v>
          </cell>
          <cell r="E66">
            <v>0</v>
          </cell>
          <cell r="F66">
            <v>0</v>
          </cell>
        </row>
        <row r="67">
          <cell r="A67">
            <v>44814</v>
          </cell>
          <cell r="B67" t="str">
            <v>LM</v>
          </cell>
          <cell r="C67">
            <v>0</v>
          </cell>
          <cell r="D67">
            <v>296</v>
          </cell>
          <cell r="E67">
            <v>0</v>
          </cell>
          <cell r="F67">
            <v>0</v>
          </cell>
        </row>
        <row r="68">
          <cell r="A68">
            <v>44814</v>
          </cell>
          <cell r="B68" t="str">
            <v>Rauchen</v>
          </cell>
          <cell r="C68">
            <v>0</v>
          </cell>
          <cell r="D68">
            <v>150</v>
          </cell>
          <cell r="E68">
            <v>0</v>
          </cell>
          <cell r="F68">
            <v>0</v>
          </cell>
        </row>
        <row r="69">
          <cell r="A69">
            <v>44814</v>
          </cell>
          <cell r="B69" t="str">
            <v>Education</v>
          </cell>
          <cell r="C69">
            <v>0</v>
          </cell>
          <cell r="D69">
            <v>178.8</v>
          </cell>
          <cell r="E69">
            <v>0</v>
          </cell>
          <cell r="F69">
            <v>0</v>
          </cell>
        </row>
        <row r="70">
          <cell r="A70">
            <v>44814</v>
          </cell>
          <cell r="B70" t="str">
            <v>none</v>
          </cell>
          <cell r="C70">
            <v>0</v>
          </cell>
          <cell r="D70">
            <v>4150</v>
          </cell>
          <cell r="E70">
            <v>4150</v>
          </cell>
          <cell r="F70">
            <v>0</v>
          </cell>
        </row>
        <row r="71">
          <cell r="A71">
            <v>44814</v>
          </cell>
          <cell r="B71" t="str">
            <v>none</v>
          </cell>
          <cell r="C71">
            <v>0</v>
          </cell>
          <cell r="D71">
            <v>10500</v>
          </cell>
          <cell r="E71">
            <v>10500</v>
          </cell>
          <cell r="F71">
            <v>0</v>
          </cell>
        </row>
        <row r="72">
          <cell r="A72">
            <v>44815</v>
          </cell>
          <cell r="B72" t="str">
            <v>VM</v>
          </cell>
          <cell r="C72">
            <v>0</v>
          </cell>
          <cell r="D72">
            <v>0</v>
          </cell>
          <cell r="E72">
            <v>0</v>
          </cell>
          <cell r="F72">
            <v>111.86</v>
          </cell>
        </row>
        <row r="79">
          <cell r="A79">
            <v>44816</v>
          </cell>
          <cell r="B79" t="str">
            <v>Andere</v>
          </cell>
          <cell r="C79">
            <v>0</v>
          </cell>
          <cell r="D79">
            <v>175</v>
          </cell>
          <cell r="E79">
            <v>0</v>
          </cell>
          <cell r="F79">
            <v>0</v>
          </cell>
        </row>
        <row r="86">
          <cell r="A86">
            <v>44817</v>
          </cell>
          <cell r="B86" t="str">
            <v>LM</v>
          </cell>
          <cell r="C86">
            <v>0</v>
          </cell>
          <cell r="D86">
            <v>574.67999999999995</v>
          </cell>
          <cell r="E86">
            <v>0</v>
          </cell>
          <cell r="F86">
            <v>0</v>
          </cell>
        </row>
        <row r="93">
          <cell r="A93">
            <v>44818</v>
          </cell>
          <cell r="B93" t="str">
            <v>LM</v>
          </cell>
          <cell r="C93">
            <v>0</v>
          </cell>
          <cell r="D93">
            <v>729</v>
          </cell>
          <cell r="E93">
            <v>0</v>
          </cell>
          <cell r="F93">
            <v>0</v>
          </cell>
        </row>
        <row r="94">
          <cell r="A94">
            <v>44818</v>
          </cell>
          <cell r="B94" t="str">
            <v>Rauchen</v>
          </cell>
          <cell r="C94">
            <v>0</v>
          </cell>
          <cell r="D94">
            <v>140</v>
          </cell>
          <cell r="E94">
            <v>0</v>
          </cell>
          <cell r="F94">
            <v>0</v>
          </cell>
        </row>
        <row r="100">
          <cell r="A100">
            <v>44819</v>
          </cell>
          <cell r="B100" t="str">
            <v>LM</v>
          </cell>
          <cell r="C100">
            <v>0</v>
          </cell>
          <cell r="D100">
            <v>260.83</v>
          </cell>
          <cell r="E100">
            <v>0</v>
          </cell>
          <cell r="F100">
            <v>0</v>
          </cell>
        </row>
        <row r="101">
          <cell r="A101">
            <v>44819</v>
          </cell>
          <cell r="B101" t="str">
            <v>Andere</v>
          </cell>
          <cell r="C101">
            <v>0</v>
          </cell>
          <cell r="D101">
            <v>423</v>
          </cell>
          <cell r="E101">
            <v>0</v>
          </cell>
          <cell r="F101">
            <v>0</v>
          </cell>
        </row>
        <row r="102">
          <cell r="A102">
            <v>44819</v>
          </cell>
          <cell r="B102" t="str">
            <v>Andere</v>
          </cell>
          <cell r="C102">
            <v>0</v>
          </cell>
          <cell r="D102">
            <v>50</v>
          </cell>
          <cell r="E102">
            <v>0</v>
          </cell>
          <cell r="F102">
            <v>0</v>
          </cell>
        </row>
        <row r="103">
          <cell r="A103">
            <v>44819</v>
          </cell>
          <cell r="B103" t="str">
            <v>none</v>
          </cell>
          <cell r="C103">
            <v>0</v>
          </cell>
          <cell r="D103">
            <v>500</v>
          </cell>
          <cell r="E103">
            <v>500</v>
          </cell>
          <cell r="F103">
            <v>0</v>
          </cell>
        </row>
        <row r="107">
          <cell r="A107">
            <v>44820</v>
          </cell>
          <cell r="B107" t="str">
            <v>Rauchen</v>
          </cell>
          <cell r="C107">
            <v>0</v>
          </cell>
          <cell r="D107">
            <v>147</v>
          </cell>
          <cell r="E107">
            <v>0</v>
          </cell>
          <cell r="F107">
            <v>0</v>
          </cell>
        </row>
        <row r="108">
          <cell r="A108">
            <v>44820</v>
          </cell>
          <cell r="B108" t="str">
            <v>Andere</v>
          </cell>
          <cell r="C108">
            <v>0</v>
          </cell>
          <cell r="D108">
            <v>0</v>
          </cell>
          <cell r="E108">
            <v>0</v>
          </cell>
          <cell r="F108">
            <v>1000</v>
          </cell>
        </row>
        <row r="109">
          <cell r="A109">
            <v>44820</v>
          </cell>
          <cell r="B109" t="str">
            <v>VM</v>
          </cell>
          <cell r="C109">
            <v>0</v>
          </cell>
          <cell r="D109">
            <v>0</v>
          </cell>
          <cell r="E109">
            <v>0</v>
          </cell>
          <cell r="F109">
            <v>1135.96</v>
          </cell>
        </row>
        <row r="114">
          <cell r="A114">
            <v>44821</v>
          </cell>
          <cell r="B114" t="str">
            <v>for me</v>
          </cell>
          <cell r="C114">
            <v>0</v>
          </cell>
          <cell r="D114">
            <v>2400</v>
          </cell>
          <cell r="E114">
            <v>0</v>
          </cell>
          <cell r="F114">
            <v>0</v>
          </cell>
        </row>
        <row r="115">
          <cell r="A115">
            <v>44821</v>
          </cell>
          <cell r="B115" t="str">
            <v>LM</v>
          </cell>
          <cell r="C115">
            <v>0</v>
          </cell>
          <cell r="D115">
            <v>185</v>
          </cell>
          <cell r="E115">
            <v>0</v>
          </cell>
          <cell r="F115">
            <v>0</v>
          </cell>
        </row>
        <row r="116">
          <cell r="A116">
            <v>44821</v>
          </cell>
          <cell r="B116" t="str">
            <v>Party</v>
          </cell>
          <cell r="C116">
            <v>0</v>
          </cell>
          <cell r="D116">
            <v>0</v>
          </cell>
          <cell r="E116">
            <v>0</v>
          </cell>
          <cell r="F116">
            <v>2692</v>
          </cell>
        </row>
        <row r="117">
          <cell r="A117">
            <v>44821</v>
          </cell>
          <cell r="B117" t="str">
            <v>VM</v>
          </cell>
          <cell r="C117">
            <v>0</v>
          </cell>
          <cell r="D117">
            <v>0</v>
          </cell>
          <cell r="E117">
            <v>0</v>
          </cell>
          <cell r="F117">
            <v>37.450000000000003</v>
          </cell>
        </row>
        <row r="121">
          <cell r="A121">
            <v>44822</v>
          </cell>
          <cell r="B121" t="str">
            <v>Rauchen</v>
          </cell>
          <cell r="C121">
            <v>0</v>
          </cell>
          <cell r="D121">
            <v>300</v>
          </cell>
          <cell r="E121">
            <v>0</v>
          </cell>
          <cell r="F121">
            <v>0</v>
          </cell>
        </row>
        <row r="122">
          <cell r="A122">
            <v>44822</v>
          </cell>
          <cell r="B122" t="str">
            <v>VM</v>
          </cell>
          <cell r="C122">
            <v>0</v>
          </cell>
          <cell r="D122">
            <v>0</v>
          </cell>
          <cell r="E122">
            <v>0</v>
          </cell>
          <cell r="F122">
            <v>29.96</v>
          </cell>
        </row>
        <row r="123">
          <cell r="A123">
            <v>44822</v>
          </cell>
          <cell r="B123" t="str">
            <v>LM</v>
          </cell>
          <cell r="C123">
            <v>0</v>
          </cell>
          <cell r="D123">
            <v>490</v>
          </cell>
          <cell r="E123">
            <v>0</v>
          </cell>
          <cell r="F123">
            <v>0</v>
          </cell>
        </row>
        <row r="124">
          <cell r="A124">
            <v>44822</v>
          </cell>
          <cell r="B124" t="str">
            <v>VM</v>
          </cell>
          <cell r="C124">
            <v>0</v>
          </cell>
          <cell r="D124">
            <v>0</v>
          </cell>
          <cell r="E124">
            <v>0</v>
          </cell>
          <cell r="F124">
            <v>1953</v>
          </cell>
        </row>
        <row r="128">
          <cell r="A128">
            <v>44823</v>
          </cell>
          <cell r="B128" t="str">
            <v>none</v>
          </cell>
          <cell r="C128">
            <v>0</v>
          </cell>
          <cell r="D128">
            <v>26730</v>
          </cell>
          <cell r="E128">
            <v>0</v>
          </cell>
          <cell r="F128">
            <v>0</v>
          </cell>
        </row>
        <row r="129">
          <cell r="A129">
            <v>44823</v>
          </cell>
          <cell r="B129" t="str">
            <v>LM</v>
          </cell>
          <cell r="C129">
            <v>0</v>
          </cell>
          <cell r="D129">
            <v>1410</v>
          </cell>
          <cell r="E129">
            <v>0</v>
          </cell>
          <cell r="F129">
            <v>0</v>
          </cell>
        </row>
        <row r="130">
          <cell r="A130">
            <v>44823</v>
          </cell>
          <cell r="B130" t="str">
            <v>VM</v>
          </cell>
          <cell r="C130">
            <v>0</v>
          </cell>
          <cell r="D130">
            <v>0</v>
          </cell>
          <cell r="E130">
            <v>0</v>
          </cell>
          <cell r="F130">
            <v>318</v>
          </cell>
        </row>
        <row r="135">
          <cell r="A135">
            <v>44824</v>
          </cell>
          <cell r="B135" t="str">
            <v>LM</v>
          </cell>
          <cell r="C135">
            <v>0</v>
          </cell>
          <cell r="D135">
            <v>1067.7</v>
          </cell>
          <cell r="E135">
            <v>0</v>
          </cell>
          <cell r="F135">
            <v>0</v>
          </cell>
        </row>
        <row r="136">
          <cell r="A136">
            <v>44824</v>
          </cell>
          <cell r="B136" t="str">
            <v>VM</v>
          </cell>
          <cell r="C136">
            <v>0</v>
          </cell>
          <cell r="D136">
            <v>0</v>
          </cell>
          <cell r="E136">
            <v>0</v>
          </cell>
          <cell r="F136">
            <v>504</v>
          </cell>
        </row>
        <row r="142">
          <cell r="A142">
            <v>44825</v>
          </cell>
          <cell r="B142" t="str">
            <v>LM</v>
          </cell>
          <cell r="C142">
            <v>0</v>
          </cell>
          <cell r="D142">
            <v>891</v>
          </cell>
          <cell r="E142">
            <v>0</v>
          </cell>
          <cell r="F142">
            <v>0</v>
          </cell>
        </row>
        <row r="143">
          <cell r="A143">
            <v>44825</v>
          </cell>
          <cell r="B143" t="str">
            <v>VM</v>
          </cell>
          <cell r="C143">
            <v>0</v>
          </cell>
          <cell r="D143">
            <v>0</v>
          </cell>
          <cell r="E143">
            <v>0</v>
          </cell>
          <cell r="F143">
            <v>336</v>
          </cell>
        </row>
        <row r="149">
          <cell r="A149">
            <v>44826</v>
          </cell>
          <cell r="B149" t="str">
            <v>LM</v>
          </cell>
          <cell r="C149">
            <v>0</v>
          </cell>
          <cell r="D149">
            <v>1324.8</v>
          </cell>
          <cell r="E149">
            <v>0</v>
          </cell>
          <cell r="F149">
            <v>0</v>
          </cell>
        </row>
        <row r="150">
          <cell r="A150">
            <v>44826</v>
          </cell>
          <cell r="B150" t="str">
            <v>VM</v>
          </cell>
          <cell r="C150">
            <v>0</v>
          </cell>
          <cell r="D150">
            <v>0</v>
          </cell>
          <cell r="E150">
            <v>0</v>
          </cell>
          <cell r="F150">
            <v>353</v>
          </cell>
        </row>
        <row r="156">
          <cell r="A156">
            <v>44827</v>
          </cell>
          <cell r="B156" t="str">
            <v>VM</v>
          </cell>
          <cell r="C156">
            <v>0</v>
          </cell>
          <cell r="D156">
            <v>3425.3999999999996</v>
          </cell>
          <cell r="E156">
            <v>0</v>
          </cell>
          <cell r="F156">
            <v>1069</v>
          </cell>
        </row>
        <row r="157">
          <cell r="A157">
            <v>44827</v>
          </cell>
          <cell r="B157" t="str">
            <v>Refill</v>
          </cell>
          <cell r="C157">
            <v>36018</v>
          </cell>
          <cell r="D157">
            <v>0</v>
          </cell>
          <cell r="E157">
            <v>0</v>
          </cell>
          <cell r="F157">
            <v>0</v>
          </cell>
        </row>
        <row r="158">
          <cell r="A158">
            <v>44827</v>
          </cell>
          <cell r="B158" t="str">
            <v>LM</v>
          </cell>
          <cell r="C158">
            <v>0</v>
          </cell>
          <cell r="D158">
            <v>1057.49</v>
          </cell>
          <cell r="E158">
            <v>0</v>
          </cell>
          <cell r="F158">
            <v>0</v>
          </cell>
        </row>
        <row r="163">
          <cell r="A163">
            <v>44828</v>
          </cell>
          <cell r="B163" t="str">
            <v>Rauchen</v>
          </cell>
          <cell r="C163">
            <v>0</v>
          </cell>
          <cell r="D163">
            <v>150</v>
          </cell>
          <cell r="E163">
            <v>0</v>
          </cell>
          <cell r="F163">
            <v>0</v>
          </cell>
        </row>
        <row r="164">
          <cell r="A164">
            <v>44828</v>
          </cell>
          <cell r="B164" t="str">
            <v>LM</v>
          </cell>
          <cell r="C164">
            <v>0</v>
          </cell>
          <cell r="D164">
            <v>555.70000000000005</v>
          </cell>
          <cell r="E164">
            <v>0</v>
          </cell>
          <cell r="F164">
            <v>0</v>
          </cell>
        </row>
        <row r="165">
          <cell r="A165">
            <v>44828</v>
          </cell>
          <cell r="B165" t="str">
            <v>VM</v>
          </cell>
          <cell r="C165">
            <v>0</v>
          </cell>
          <cell r="D165">
            <v>0</v>
          </cell>
          <cell r="E165">
            <v>0</v>
          </cell>
          <cell r="F165">
            <v>1030</v>
          </cell>
        </row>
        <row r="170">
          <cell r="A170">
            <v>44829</v>
          </cell>
          <cell r="B170" t="str">
            <v>Party</v>
          </cell>
          <cell r="C170">
            <v>0</v>
          </cell>
          <cell r="D170">
            <v>538</v>
          </cell>
          <cell r="E170">
            <v>0</v>
          </cell>
          <cell r="F170">
            <v>0</v>
          </cell>
        </row>
        <row r="171">
          <cell r="A171">
            <v>44829</v>
          </cell>
          <cell r="B171" t="str">
            <v>LM</v>
          </cell>
          <cell r="C171">
            <v>0</v>
          </cell>
          <cell r="D171">
            <v>545</v>
          </cell>
          <cell r="E171">
            <v>0</v>
          </cell>
          <cell r="F171">
            <v>0</v>
          </cell>
        </row>
        <row r="172">
          <cell r="A172">
            <v>44829</v>
          </cell>
          <cell r="B172" t="str">
            <v>Andere</v>
          </cell>
          <cell r="C172">
            <v>0</v>
          </cell>
          <cell r="D172">
            <v>0</v>
          </cell>
          <cell r="E172">
            <v>0</v>
          </cell>
          <cell r="F172">
            <v>356.53</v>
          </cell>
        </row>
        <row r="173">
          <cell r="A173">
            <v>44829</v>
          </cell>
          <cell r="B173" t="str">
            <v>VM</v>
          </cell>
          <cell r="C173">
            <v>0</v>
          </cell>
          <cell r="D173">
            <v>0</v>
          </cell>
          <cell r="E173">
            <v>0</v>
          </cell>
          <cell r="F173">
            <v>421</v>
          </cell>
        </row>
        <row r="177">
          <cell r="A177">
            <v>44830</v>
          </cell>
          <cell r="B177" t="str">
            <v>VM</v>
          </cell>
          <cell r="C177">
            <v>0</v>
          </cell>
          <cell r="D177">
            <v>51</v>
          </cell>
          <cell r="E177">
            <v>0</v>
          </cell>
          <cell r="F177">
            <v>361</v>
          </cell>
        </row>
        <row r="178">
          <cell r="A178">
            <v>44830</v>
          </cell>
          <cell r="B178" t="str">
            <v>LM</v>
          </cell>
          <cell r="C178">
            <v>0</v>
          </cell>
          <cell r="D178">
            <v>50.76</v>
          </cell>
          <cell r="E178">
            <v>0</v>
          </cell>
          <cell r="F178">
            <v>0</v>
          </cell>
        </row>
        <row r="184">
          <cell r="A184">
            <v>44831</v>
          </cell>
          <cell r="B184" t="str">
            <v>LM</v>
          </cell>
          <cell r="C184">
            <v>0</v>
          </cell>
          <cell r="D184">
            <v>583</v>
          </cell>
          <cell r="E184">
            <v>0</v>
          </cell>
          <cell r="F184">
            <v>200</v>
          </cell>
        </row>
        <row r="185">
          <cell r="A185">
            <v>44831</v>
          </cell>
          <cell r="B185" t="str">
            <v>Rauchen</v>
          </cell>
          <cell r="C185">
            <v>0</v>
          </cell>
          <cell r="D185">
            <v>150</v>
          </cell>
          <cell r="E185">
            <v>0</v>
          </cell>
          <cell r="F185">
            <v>0</v>
          </cell>
        </row>
        <row r="186">
          <cell r="A186">
            <v>44831</v>
          </cell>
          <cell r="B186" t="str">
            <v>VM</v>
          </cell>
          <cell r="C186">
            <v>0</v>
          </cell>
          <cell r="D186">
            <v>51</v>
          </cell>
          <cell r="E186">
            <v>0</v>
          </cell>
          <cell r="F186">
            <v>27.96</v>
          </cell>
        </row>
        <row r="187">
          <cell r="A187">
            <v>44831</v>
          </cell>
          <cell r="B187" t="str">
            <v>Refill</v>
          </cell>
          <cell r="C187">
            <v>42830</v>
          </cell>
          <cell r="D187">
            <v>0</v>
          </cell>
          <cell r="E187">
            <v>0</v>
          </cell>
          <cell r="F187">
            <v>0</v>
          </cell>
        </row>
        <row r="188">
          <cell r="A188">
            <v>44831</v>
          </cell>
          <cell r="B188" t="str">
            <v>LM</v>
          </cell>
          <cell r="C188">
            <v>0</v>
          </cell>
          <cell r="D188">
            <v>784.74</v>
          </cell>
          <cell r="E188">
            <v>0</v>
          </cell>
          <cell r="F188">
            <v>0</v>
          </cell>
        </row>
        <row r="191">
          <cell r="A191">
            <v>44832</v>
          </cell>
          <cell r="B191" t="str">
            <v>LM</v>
          </cell>
          <cell r="C191">
            <v>0</v>
          </cell>
          <cell r="D191">
            <v>425</v>
          </cell>
          <cell r="E191">
            <v>0</v>
          </cell>
          <cell r="F191">
            <v>0</v>
          </cell>
        </row>
        <row r="192">
          <cell r="A192">
            <v>44832</v>
          </cell>
          <cell r="B192" t="str">
            <v>VM</v>
          </cell>
          <cell r="C192">
            <v>0</v>
          </cell>
          <cell r="D192">
            <v>0</v>
          </cell>
          <cell r="E192">
            <v>0</v>
          </cell>
          <cell r="F192">
            <v>370</v>
          </cell>
        </row>
        <row r="198">
          <cell r="A198">
            <v>44833</v>
          </cell>
          <cell r="B198" t="str">
            <v>LM</v>
          </cell>
          <cell r="C198">
            <v>0</v>
          </cell>
          <cell r="D198">
            <v>611</v>
          </cell>
          <cell r="E198">
            <v>0</v>
          </cell>
          <cell r="F198">
            <v>0</v>
          </cell>
        </row>
        <row r="199">
          <cell r="A199">
            <v>44833</v>
          </cell>
          <cell r="B199" t="str">
            <v>Andere</v>
          </cell>
          <cell r="C199">
            <v>0</v>
          </cell>
          <cell r="D199">
            <v>500</v>
          </cell>
          <cell r="E199">
            <v>0</v>
          </cell>
          <cell r="F199">
            <v>0</v>
          </cell>
        </row>
        <row r="200">
          <cell r="A200">
            <v>44833</v>
          </cell>
          <cell r="B200" t="str">
            <v>VM</v>
          </cell>
          <cell r="C200">
            <v>0</v>
          </cell>
          <cell r="D200">
            <v>0</v>
          </cell>
          <cell r="E200">
            <v>0</v>
          </cell>
          <cell r="F200">
            <v>298.95999999999998</v>
          </cell>
        </row>
        <row r="205">
          <cell r="A205">
            <v>44834</v>
          </cell>
          <cell r="B205" t="str">
            <v>VM</v>
          </cell>
          <cell r="C205">
            <v>0</v>
          </cell>
          <cell r="D205">
            <v>51</v>
          </cell>
          <cell r="E205">
            <v>0</v>
          </cell>
          <cell r="F205">
            <v>0</v>
          </cell>
        </row>
        <row r="206">
          <cell r="A206">
            <v>44834</v>
          </cell>
          <cell r="B206" t="str">
            <v>for me</v>
          </cell>
          <cell r="C206">
            <v>0</v>
          </cell>
          <cell r="D206">
            <v>2300</v>
          </cell>
          <cell r="E206">
            <v>0</v>
          </cell>
          <cell r="F206">
            <v>0</v>
          </cell>
        </row>
        <row r="207">
          <cell r="A207">
            <v>44834</v>
          </cell>
          <cell r="B207" t="str">
            <v>Party</v>
          </cell>
          <cell r="C207">
            <v>0</v>
          </cell>
          <cell r="D207">
            <v>2137</v>
          </cell>
          <cell r="E207">
            <v>0</v>
          </cell>
          <cell r="F207">
            <v>0</v>
          </cell>
        </row>
        <row r="208">
          <cell r="A208">
            <v>44834</v>
          </cell>
          <cell r="B208" t="str">
            <v>Refill</v>
          </cell>
          <cell r="C208">
            <v>1315.06</v>
          </cell>
          <cell r="D208">
            <v>0</v>
          </cell>
          <cell r="E208">
            <v>0</v>
          </cell>
          <cell r="F208">
            <v>0</v>
          </cell>
        </row>
        <row r="209">
          <cell r="A209">
            <v>44834</v>
          </cell>
          <cell r="B209" t="str">
            <v>VM</v>
          </cell>
          <cell r="C209">
            <v>0</v>
          </cell>
          <cell r="D209">
            <v>0</v>
          </cell>
          <cell r="E209">
            <v>0</v>
          </cell>
          <cell r="F209">
            <v>398</v>
          </cell>
        </row>
        <row r="210">
          <cell r="A210">
            <v>44834</v>
          </cell>
          <cell r="B210" t="str">
            <v>LM</v>
          </cell>
          <cell r="C210">
            <v>0</v>
          </cell>
          <cell r="D210">
            <v>0</v>
          </cell>
          <cell r="E210">
            <v>0</v>
          </cell>
          <cell r="F210">
            <v>540</v>
          </cell>
        </row>
      </sheetData>
      <sheetData sheetId="23">
        <row r="2">
          <cell r="A2">
            <v>44835</v>
          </cell>
          <cell r="B2" t="str">
            <v>Andere</v>
          </cell>
          <cell r="C2">
            <v>0</v>
          </cell>
          <cell r="D2">
            <v>600</v>
          </cell>
          <cell r="F2">
            <v>0</v>
          </cell>
        </row>
        <row r="3">
          <cell r="A3">
            <v>44835</v>
          </cell>
          <cell r="B3" t="str">
            <v>Party</v>
          </cell>
          <cell r="C3">
            <v>0</v>
          </cell>
          <cell r="D3">
            <v>3000</v>
          </cell>
          <cell r="F3">
            <v>0</v>
          </cell>
        </row>
        <row r="4">
          <cell r="A4">
            <v>44835</v>
          </cell>
          <cell r="B4" t="str">
            <v>for me</v>
          </cell>
          <cell r="C4">
            <v>0</v>
          </cell>
          <cell r="D4">
            <v>870</v>
          </cell>
          <cell r="F4">
            <v>0</v>
          </cell>
        </row>
        <row r="5">
          <cell r="A5">
            <v>44835</v>
          </cell>
          <cell r="B5" t="str">
            <v>LM</v>
          </cell>
          <cell r="C5">
            <v>0</v>
          </cell>
          <cell r="D5">
            <v>1527.6399999999999</v>
          </cell>
          <cell r="F5">
            <v>0</v>
          </cell>
        </row>
        <row r="6">
          <cell r="A6">
            <v>44835</v>
          </cell>
          <cell r="B6" t="str">
            <v>Rauchen</v>
          </cell>
          <cell r="C6">
            <v>0</v>
          </cell>
          <cell r="D6">
            <v>140</v>
          </cell>
          <cell r="F6">
            <v>0</v>
          </cell>
        </row>
        <row r="7">
          <cell r="A7">
            <v>44835</v>
          </cell>
          <cell r="B7" t="str">
            <v>VM</v>
          </cell>
          <cell r="C7">
            <v>0</v>
          </cell>
          <cell r="D7">
            <v>0</v>
          </cell>
          <cell r="F7">
            <v>44.94</v>
          </cell>
        </row>
        <row r="9">
          <cell r="A9">
            <v>44836</v>
          </cell>
          <cell r="B9" t="str">
            <v>Andere</v>
          </cell>
          <cell r="C9">
            <v>0</v>
          </cell>
          <cell r="D9">
            <v>550</v>
          </cell>
          <cell r="F9">
            <v>0</v>
          </cell>
        </row>
        <row r="10">
          <cell r="A10">
            <v>44836</v>
          </cell>
          <cell r="B10" t="str">
            <v>LM</v>
          </cell>
          <cell r="C10">
            <v>0</v>
          </cell>
          <cell r="D10">
            <v>307</v>
          </cell>
          <cell r="F10">
            <v>290</v>
          </cell>
        </row>
        <row r="11">
          <cell r="A11">
            <v>44836</v>
          </cell>
          <cell r="B11" t="str">
            <v>none</v>
          </cell>
          <cell r="C11">
            <v>0</v>
          </cell>
          <cell r="D11">
            <v>590.67999999999995</v>
          </cell>
          <cell r="F11">
            <v>0</v>
          </cell>
        </row>
        <row r="16">
          <cell r="A16">
            <v>44837</v>
          </cell>
          <cell r="B16" t="str">
            <v>Rauchen</v>
          </cell>
          <cell r="C16">
            <v>0</v>
          </cell>
          <cell r="D16">
            <v>165</v>
          </cell>
          <cell r="F16">
            <v>0</v>
          </cell>
        </row>
        <row r="17">
          <cell r="A17">
            <v>44837</v>
          </cell>
          <cell r="B17" t="str">
            <v>VM</v>
          </cell>
          <cell r="C17">
            <v>0</v>
          </cell>
          <cell r="D17">
            <v>0</v>
          </cell>
          <cell r="F17">
            <v>370</v>
          </cell>
        </row>
        <row r="23">
          <cell r="A23">
            <v>44838</v>
          </cell>
          <cell r="B23" t="str">
            <v>Andere</v>
          </cell>
          <cell r="C23">
            <v>0</v>
          </cell>
          <cell r="D23">
            <v>300</v>
          </cell>
          <cell r="F23">
            <v>0</v>
          </cell>
        </row>
        <row r="24">
          <cell r="A24">
            <v>44838</v>
          </cell>
          <cell r="B24" t="str">
            <v>LM</v>
          </cell>
          <cell r="C24">
            <v>0</v>
          </cell>
          <cell r="D24">
            <v>860.88</v>
          </cell>
          <cell r="F24">
            <v>370</v>
          </cell>
        </row>
        <row r="25">
          <cell r="A25">
            <v>44838</v>
          </cell>
          <cell r="B25" t="str">
            <v>Andere</v>
          </cell>
          <cell r="C25">
            <v>0</v>
          </cell>
          <cell r="D25">
            <v>21400</v>
          </cell>
          <cell r="F25">
            <v>0</v>
          </cell>
        </row>
        <row r="30">
          <cell r="A30">
            <v>44839</v>
          </cell>
          <cell r="B30" t="str">
            <v>LM</v>
          </cell>
          <cell r="C30">
            <v>0</v>
          </cell>
          <cell r="D30">
            <v>323</v>
          </cell>
          <cell r="F30">
            <v>0</v>
          </cell>
        </row>
        <row r="31">
          <cell r="A31">
            <v>44839</v>
          </cell>
          <cell r="B31" t="str">
            <v>Rauchen</v>
          </cell>
          <cell r="C31">
            <v>0</v>
          </cell>
          <cell r="D31">
            <v>140</v>
          </cell>
          <cell r="F31">
            <v>0</v>
          </cell>
        </row>
        <row r="32">
          <cell r="A32">
            <v>44839</v>
          </cell>
          <cell r="B32" t="str">
            <v>Andere</v>
          </cell>
          <cell r="C32">
            <v>0</v>
          </cell>
          <cell r="D32">
            <v>299</v>
          </cell>
          <cell r="F32">
            <v>0</v>
          </cell>
        </row>
        <row r="37">
          <cell r="A37">
            <v>44840</v>
          </cell>
          <cell r="B37" t="str">
            <v>LM</v>
          </cell>
          <cell r="C37">
            <v>0</v>
          </cell>
          <cell r="D37">
            <v>739</v>
          </cell>
          <cell r="F37">
            <v>0</v>
          </cell>
        </row>
        <row r="38">
          <cell r="A38">
            <v>44840</v>
          </cell>
          <cell r="B38" t="str">
            <v>VM</v>
          </cell>
          <cell r="C38">
            <v>0</v>
          </cell>
          <cell r="D38">
            <v>0</v>
          </cell>
          <cell r="F38">
            <v>27.96</v>
          </cell>
        </row>
        <row r="44">
          <cell r="A44">
            <v>44841</v>
          </cell>
          <cell r="B44" t="str">
            <v>VM</v>
          </cell>
          <cell r="C44">
            <v>0</v>
          </cell>
          <cell r="D44">
            <v>51</v>
          </cell>
          <cell r="F44">
            <v>41.94</v>
          </cell>
        </row>
        <row r="45">
          <cell r="A45">
            <v>44841</v>
          </cell>
          <cell r="B45" t="str">
            <v>Rauchen</v>
          </cell>
          <cell r="C45">
            <v>0</v>
          </cell>
          <cell r="D45">
            <v>140</v>
          </cell>
          <cell r="F45">
            <v>0</v>
          </cell>
        </row>
        <row r="46">
          <cell r="A46">
            <v>44841</v>
          </cell>
          <cell r="B46" t="str">
            <v>LM</v>
          </cell>
          <cell r="C46">
            <v>0</v>
          </cell>
          <cell r="D46">
            <v>132.97999999999999</v>
          </cell>
          <cell r="F46">
            <v>0</v>
          </cell>
        </row>
        <row r="47">
          <cell r="A47">
            <v>44841</v>
          </cell>
          <cell r="B47" t="str">
            <v>Refill</v>
          </cell>
          <cell r="C47">
            <v>61140.56</v>
          </cell>
          <cell r="D47">
            <v>0</v>
          </cell>
          <cell r="F47">
            <v>0</v>
          </cell>
        </row>
        <row r="51">
          <cell r="A51">
            <v>44842</v>
          </cell>
          <cell r="B51" t="str">
            <v>Party</v>
          </cell>
          <cell r="C51">
            <v>0</v>
          </cell>
          <cell r="D51">
            <v>5700</v>
          </cell>
          <cell r="F51">
            <v>0</v>
          </cell>
        </row>
        <row r="52">
          <cell r="A52">
            <v>44842</v>
          </cell>
          <cell r="B52" t="str">
            <v>Andere</v>
          </cell>
          <cell r="C52">
            <v>0</v>
          </cell>
          <cell r="D52">
            <v>60</v>
          </cell>
          <cell r="F52">
            <v>0</v>
          </cell>
        </row>
        <row r="53">
          <cell r="A53">
            <v>44842</v>
          </cell>
          <cell r="B53" t="str">
            <v>LM</v>
          </cell>
          <cell r="C53">
            <v>0</v>
          </cell>
          <cell r="D53">
            <v>421</v>
          </cell>
          <cell r="F53">
            <v>450</v>
          </cell>
        </row>
        <row r="54">
          <cell r="A54">
            <v>44842</v>
          </cell>
          <cell r="B54" t="str">
            <v>VM</v>
          </cell>
          <cell r="C54">
            <v>0</v>
          </cell>
          <cell r="D54">
            <v>0</v>
          </cell>
          <cell r="F54">
            <v>696</v>
          </cell>
        </row>
        <row r="58">
          <cell r="A58">
            <v>44843</v>
          </cell>
          <cell r="B58" t="str">
            <v>for me</v>
          </cell>
          <cell r="C58">
            <v>0</v>
          </cell>
          <cell r="D58">
            <v>2300</v>
          </cell>
          <cell r="F58">
            <v>0</v>
          </cell>
        </row>
        <row r="59">
          <cell r="A59">
            <v>44843</v>
          </cell>
          <cell r="B59" t="str">
            <v>LM</v>
          </cell>
          <cell r="C59">
            <v>0</v>
          </cell>
          <cell r="D59">
            <v>648.99</v>
          </cell>
          <cell r="F59">
            <v>0</v>
          </cell>
        </row>
        <row r="60">
          <cell r="A60">
            <v>44843</v>
          </cell>
          <cell r="B60" t="str">
            <v>VM</v>
          </cell>
          <cell r="C60">
            <v>0</v>
          </cell>
          <cell r="D60">
            <v>0</v>
          </cell>
          <cell r="F60">
            <v>349</v>
          </cell>
        </row>
        <row r="65">
          <cell r="A65">
            <v>44844</v>
          </cell>
          <cell r="B65" t="str">
            <v>LM</v>
          </cell>
          <cell r="C65">
            <v>0</v>
          </cell>
          <cell r="D65">
            <v>850</v>
          </cell>
          <cell r="F65">
            <v>0</v>
          </cell>
        </row>
        <row r="66">
          <cell r="A66">
            <v>44844</v>
          </cell>
          <cell r="B66" t="str">
            <v>Rauchen</v>
          </cell>
          <cell r="C66">
            <v>0</v>
          </cell>
          <cell r="D66">
            <v>155</v>
          </cell>
          <cell r="F66">
            <v>0</v>
          </cell>
        </row>
        <row r="67">
          <cell r="A67">
            <v>44844</v>
          </cell>
          <cell r="B67" t="str">
            <v>LM</v>
          </cell>
          <cell r="C67">
            <v>0</v>
          </cell>
          <cell r="D67">
            <v>1908.6</v>
          </cell>
          <cell r="F67">
            <v>0</v>
          </cell>
        </row>
        <row r="68">
          <cell r="A68">
            <v>44844</v>
          </cell>
          <cell r="B68" t="str">
            <v>none</v>
          </cell>
          <cell r="C68">
            <v>0</v>
          </cell>
          <cell r="D68">
            <v>15000</v>
          </cell>
          <cell r="F68">
            <v>0</v>
          </cell>
        </row>
        <row r="69">
          <cell r="A69">
            <v>44844</v>
          </cell>
          <cell r="B69" t="str">
            <v>Andere</v>
          </cell>
          <cell r="C69">
            <v>0</v>
          </cell>
          <cell r="D69">
            <v>0</v>
          </cell>
          <cell r="F69">
            <v>13580.460000000001</v>
          </cell>
        </row>
        <row r="72">
          <cell r="A72">
            <v>44845</v>
          </cell>
          <cell r="B72" t="str">
            <v>VM</v>
          </cell>
          <cell r="C72">
            <v>0</v>
          </cell>
          <cell r="D72">
            <v>204</v>
          </cell>
          <cell r="F72">
            <v>64.95</v>
          </cell>
        </row>
        <row r="73">
          <cell r="A73">
            <v>44845</v>
          </cell>
          <cell r="B73" t="str">
            <v>LM</v>
          </cell>
          <cell r="C73">
            <v>0</v>
          </cell>
          <cell r="D73">
            <v>396</v>
          </cell>
          <cell r="F73">
            <v>0</v>
          </cell>
        </row>
        <row r="79">
          <cell r="A79">
            <v>44846</v>
          </cell>
          <cell r="B79" t="str">
            <v>VM</v>
          </cell>
          <cell r="C79">
            <v>0</v>
          </cell>
          <cell r="D79">
            <v>204</v>
          </cell>
          <cell r="F79">
            <v>14.16</v>
          </cell>
        </row>
        <row r="80">
          <cell r="A80">
            <v>44846</v>
          </cell>
          <cell r="B80" t="str">
            <v>LM</v>
          </cell>
          <cell r="C80">
            <v>0</v>
          </cell>
          <cell r="D80">
            <v>428</v>
          </cell>
          <cell r="F80">
            <v>0</v>
          </cell>
        </row>
        <row r="81">
          <cell r="A81">
            <v>44846</v>
          </cell>
          <cell r="B81" t="str">
            <v>Rauchen</v>
          </cell>
          <cell r="C81">
            <v>0</v>
          </cell>
          <cell r="D81">
            <v>140</v>
          </cell>
          <cell r="F81">
            <v>0</v>
          </cell>
        </row>
        <row r="86">
          <cell r="A86">
            <v>44847</v>
          </cell>
          <cell r="B86" t="str">
            <v>LM</v>
          </cell>
          <cell r="C86">
            <v>0</v>
          </cell>
          <cell r="D86">
            <v>380</v>
          </cell>
          <cell r="F86">
            <v>0</v>
          </cell>
        </row>
        <row r="87">
          <cell r="A87">
            <v>44847</v>
          </cell>
          <cell r="B87" t="str">
            <v>VM</v>
          </cell>
          <cell r="C87">
            <v>0</v>
          </cell>
          <cell r="D87">
            <v>51</v>
          </cell>
          <cell r="F87">
            <v>295</v>
          </cell>
        </row>
        <row r="93">
          <cell r="A93">
            <v>44848</v>
          </cell>
          <cell r="B93" t="str">
            <v>for me</v>
          </cell>
          <cell r="C93">
            <v>0</v>
          </cell>
          <cell r="D93">
            <v>1200</v>
          </cell>
          <cell r="F93">
            <v>0</v>
          </cell>
        </row>
        <row r="94">
          <cell r="A94">
            <v>44848</v>
          </cell>
          <cell r="B94" t="str">
            <v>Rauchen</v>
          </cell>
          <cell r="C94">
            <v>0</v>
          </cell>
          <cell r="D94">
            <v>150</v>
          </cell>
          <cell r="F94">
            <v>0</v>
          </cell>
        </row>
        <row r="95">
          <cell r="A95">
            <v>44848</v>
          </cell>
          <cell r="B95" t="str">
            <v>LM</v>
          </cell>
          <cell r="C95">
            <v>0</v>
          </cell>
          <cell r="D95">
            <v>380</v>
          </cell>
          <cell r="F95">
            <v>0</v>
          </cell>
        </row>
        <row r="96">
          <cell r="A96">
            <v>44848</v>
          </cell>
          <cell r="B96" t="str">
            <v>VM</v>
          </cell>
          <cell r="C96">
            <v>0</v>
          </cell>
          <cell r="D96">
            <v>0</v>
          </cell>
          <cell r="F96">
            <v>574</v>
          </cell>
        </row>
        <row r="100">
          <cell r="A100">
            <v>44849</v>
          </cell>
          <cell r="B100" t="str">
            <v>VM</v>
          </cell>
          <cell r="C100">
            <v>0</v>
          </cell>
          <cell r="D100">
            <v>767</v>
          </cell>
          <cell r="F100">
            <v>0</v>
          </cell>
        </row>
        <row r="101">
          <cell r="A101">
            <v>44849</v>
          </cell>
          <cell r="B101" t="str">
            <v>Party</v>
          </cell>
          <cell r="C101">
            <v>0</v>
          </cell>
          <cell r="D101">
            <v>1050</v>
          </cell>
          <cell r="F101">
            <v>0</v>
          </cell>
        </row>
        <row r="107">
          <cell r="A107">
            <v>44850</v>
          </cell>
          <cell r="B107" t="str">
            <v>LM</v>
          </cell>
          <cell r="C107">
            <v>0</v>
          </cell>
          <cell r="D107">
            <v>1270</v>
          </cell>
          <cell r="F107">
            <v>0</v>
          </cell>
        </row>
        <row r="108">
          <cell r="A108">
            <v>44850</v>
          </cell>
          <cell r="B108" t="str">
            <v>VM</v>
          </cell>
          <cell r="C108">
            <v>0</v>
          </cell>
          <cell r="D108">
            <v>2046</v>
          </cell>
          <cell r="F108">
            <v>0</v>
          </cell>
        </row>
        <row r="109">
          <cell r="A109">
            <v>44850</v>
          </cell>
          <cell r="B109" t="str">
            <v>VM</v>
          </cell>
          <cell r="C109">
            <v>0</v>
          </cell>
          <cell r="D109">
            <v>0</v>
          </cell>
          <cell r="F109">
            <v>0</v>
          </cell>
        </row>
        <row r="110">
          <cell r="A110">
            <v>44850</v>
          </cell>
          <cell r="B110" t="str">
            <v>for me</v>
          </cell>
          <cell r="C110">
            <v>0</v>
          </cell>
          <cell r="D110">
            <v>2300</v>
          </cell>
          <cell r="F110">
            <v>0</v>
          </cell>
        </row>
        <row r="111">
          <cell r="A111">
            <v>44850</v>
          </cell>
          <cell r="B111" t="str">
            <v>Party</v>
          </cell>
          <cell r="C111">
            <v>0</v>
          </cell>
          <cell r="D111">
            <v>5830</v>
          </cell>
          <cell r="F111">
            <v>0</v>
          </cell>
        </row>
        <row r="114">
          <cell r="A114">
            <v>44851</v>
          </cell>
          <cell r="B114" t="str">
            <v>VM</v>
          </cell>
          <cell r="C114">
            <v>0</v>
          </cell>
          <cell r="D114">
            <v>0</v>
          </cell>
          <cell r="F114">
            <v>0</v>
          </cell>
        </row>
        <row r="116">
          <cell r="A116">
            <v>44851</v>
          </cell>
          <cell r="B116" t="str">
            <v>VM</v>
          </cell>
          <cell r="C116">
            <v>0</v>
          </cell>
          <cell r="D116">
            <v>296</v>
          </cell>
          <cell r="F116">
            <v>0</v>
          </cell>
        </row>
        <row r="117">
          <cell r="A117">
            <v>44851</v>
          </cell>
          <cell r="B117" t="str">
            <v>LM</v>
          </cell>
          <cell r="C117">
            <v>0</v>
          </cell>
          <cell r="D117">
            <v>1060</v>
          </cell>
          <cell r="F117">
            <v>0</v>
          </cell>
        </row>
        <row r="118">
          <cell r="A118">
            <v>44851</v>
          </cell>
          <cell r="B118" t="str">
            <v>Rauchen</v>
          </cell>
          <cell r="C118">
            <v>0</v>
          </cell>
          <cell r="D118">
            <v>153</v>
          </cell>
          <cell r="F118">
            <v>0</v>
          </cell>
        </row>
        <row r="119">
          <cell r="A119">
            <v>44851</v>
          </cell>
          <cell r="B119" t="str">
            <v>VM</v>
          </cell>
          <cell r="C119">
            <v>0</v>
          </cell>
          <cell r="D119">
            <v>51</v>
          </cell>
          <cell r="F119">
            <v>0</v>
          </cell>
        </row>
        <row r="121">
          <cell r="A121">
            <v>44852</v>
          </cell>
          <cell r="B121" t="str">
            <v>LM</v>
          </cell>
          <cell r="C121">
            <v>0</v>
          </cell>
          <cell r="D121">
            <v>1437</v>
          </cell>
          <cell r="F121">
            <v>0</v>
          </cell>
        </row>
        <row r="122">
          <cell r="A122">
            <v>44852</v>
          </cell>
          <cell r="B122" t="str">
            <v>VM</v>
          </cell>
          <cell r="C122">
            <v>0</v>
          </cell>
          <cell r="D122">
            <v>139</v>
          </cell>
          <cell r="F122">
            <v>0</v>
          </cell>
        </row>
        <row r="128">
          <cell r="A128">
            <v>44853</v>
          </cell>
          <cell r="B128" t="str">
            <v>VM</v>
          </cell>
          <cell r="C128">
            <v>0</v>
          </cell>
          <cell r="D128">
            <v>88</v>
          </cell>
          <cell r="F128">
            <v>0</v>
          </cell>
        </row>
        <row r="129">
          <cell r="A129">
            <v>44853</v>
          </cell>
          <cell r="B129" t="str">
            <v>LM</v>
          </cell>
          <cell r="C129">
            <v>0</v>
          </cell>
          <cell r="D129">
            <v>1050</v>
          </cell>
          <cell r="F129">
            <v>0</v>
          </cell>
        </row>
        <row r="135">
          <cell r="A135">
            <v>44854</v>
          </cell>
          <cell r="B135" t="str">
            <v>VM</v>
          </cell>
          <cell r="C135">
            <v>0</v>
          </cell>
          <cell r="D135">
            <v>343</v>
          </cell>
          <cell r="F135">
            <v>0</v>
          </cell>
        </row>
        <row r="136">
          <cell r="A136">
            <v>44854</v>
          </cell>
          <cell r="B136" t="str">
            <v>LM</v>
          </cell>
          <cell r="C136">
            <v>0</v>
          </cell>
          <cell r="D136">
            <v>736.2</v>
          </cell>
          <cell r="F136">
            <v>0</v>
          </cell>
        </row>
        <row r="142">
          <cell r="A142">
            <v>44855</v>
          </cell>
          <cell r="B142" t="str">
            <v>LM</v>
          </cell>
          <cell r="C142">
            <v>0</v>
          </cell>
          <cell r="D142">
            <v>1083</v>
          </cell>
          <cell r="F142">
            <v>0</v>
          </cell>
        </row>
        <row r="143">
          <cell r="A143">
            <v>44855</v>
          </cell>
          <cell r="B143" t="str">
            <v>VM</v>
          </cell>
          <cell r="C143">
            <v>0</v>
          </cell>
          <cell r="D143">
            <v>376</v>
          </cell>
          <cell r="F143">
            <v>0</v>
          </cell>
        </row>
        <row r="151">
          <cell r="A151">
            <v>44856</v>
          </cell>
          <cell r="B151" t="str">
            <v>LM</v>
          </cell>
          <cell r="C151">
            <v>0</v>
          </cell>
          <cell r="D151">
            <v>443</v>
          </cell>
          <cell r="F151">
            <v>0</v>
          </cell>
        </row>
        <row r="152">
          <cell r="A152">
            <v>44856</v>
          </cell>
          <cell r="B152" t="str">
            <v>Rauchen</v>
          </cell>
          <cell r="C152">
            <v>0</v>
          </cell>
          <cell r="D152">
            <v>140</v>
          </cell>
          <cell r="F152">
            <v>0</v>
          </cell>
        </row>
        <row r="156">
          <cell r="A156">
            <v>44857</v>
          </cell>
          <cell r="B156" t="str">
            <v>Andere</v>
          </cell>
          <cell r="C156">
            <v>0</v>
          </cell>
          <cell r="D156">
            <v>2970</v>
          </cell>
          <cell r="F156">
            <v>0</v>
          </cell>
        </row>
        <row r="157">
          <cell r="A157">
            <v>44857</v>
          </cell>
          <cell r="B157" t="str">
            <v>for me</v>
          </cell>
          <cell r="C157">
            <v>0</v>
          </cell>
          <cell r="D157">
            <v>379</v>
          </cell>
          <cell r="F157">
            <v>0</v>
          </cell>
        </row>
        <row r="158">
          <cell r="A158">
            <v>44857</v>
          </cell>
          <cell r="B158" t="str">
            <v>LM</v>
          </cell>
          <cell r="C158">
            <v>0</v>
          </cell>
          <cell r="D158">
            <v>500</v>
          </cell>
          <cell r="F158">
            <v>0</v>
          </cell>
        </row>
        <row r="159">
          <cell r="A159">
            <v>44857</v>
          </cell>
          <cell r="B159" t="str">
            <v>VM</v>
          </cell>
          <cell r="C159">
            <v>0</v>
          </cell>
          <cell r="D159">
            <v>300</v>
          </cell>
          <cell r="F159">
            <v>74.900000000000006</v>
          </cell>
        </row>
        <row r="160">
          <cell r="A160">
            <v>44857</v>
          </cell>
          <cell r="B160" t="str">
            <v>LM</v>
          </cell>
          <cell r="C160">
            <v>0</v>
          </cell>
          <cell r="D160">
            <v>204</v>
          </cell>
          <cell r="F160">
            <v>0</v>
          </cell>
        </row>
        <row r="161">
          <cell r="A161">
            <v>44857</v>
          </cell>
          <cell r="B161" t="str">
            <v>for me</v>
          </cell>
          <cell r="C161">
            <v>0</v>
          </cell>
          <cell r="D161">
            <v>2300</v>
          </cell>
          <cell r="F161">
            <v>0</v>
          </cell>
        </row>
        <row r="163">
          <cell r="A163">
            <v>44858</v>
          </cell>
          <cell r="B163" t="str">
            <v>Refill</v>
          </cell>
          <cell r="C163">
            <v>12763</v>
          </cell>
          <cell r="D163">
            <v>0</v>
          </cell>
          <cell r="F163">
            <v>0</v>
          </cell>
        </row>
        <row r="164">
          <cell r="A164">
            <v>44858</v>
          </cell>
          <cell r="B164" t="str">
            <v>VM</v>
          </cell>
          <cell r="C164">
            <v>0</v>
          </cell>
          <cell r="D164">
            <v>514</v>
          </cell>
          <cell r="F164">
            <v>0</v>
          </cell>
        </row>
        <row r="165">
          <cell r="A165">
            <v>44858</v>
          </cell>
          <cell r="B165" t="str">
            <v>Refill</v>
          </cell>
          <cell r="C165">
            <v>37953.120000000003</v>
          </cell>
          <cell r="D165">
            <v>0</v>
          </cell>
          <cell r="F165">
            <v>0</v>
          </cell>
        </row>
        <row r="166">
          <cell r="A166">
            <v>44858</v>
          </cell>
          <cell r="B166" t="str">
            <v>LM</v>
          </cell>
          <cell r="C166">
            <v>0</v>
          </cell>
          <cell r="D166">
            <v>332</v>
          </cell>
          <cell r="F166">
            <v>0</v>
          </cell>
        </row>
        <row r="167">
          <cell r="A167">
            <v>44858</v>
          </cell>
          <cell r="B167" t="str">
            <v>VM</v>
          </cell>
          <cell r="C167">
            <v>0</v>
          </cell>
          <cell r="D167">
            <v>51</v>
          </cell>
          <cell r="F167">
            <v>0</v>
          </cell>
        </row>
        <row r="170">
          <cell r="A170">
            <v>44859</v>
          </cell>
          <cell r="B170" t="str">
            <v>VM</v>
          </cell>
          <cell r="C170">
            <v>0</v>
          </cell>
          <cell r="D170">
            <v>51</v>
          </cell>
          <cell r="F170">
            <v>0</v>
          </cell>
        </row>
        <row r="171">
          <cell r="A171">
            <v>44859</v>
          </cell>
          <cell r="B171" t="str">
            <v>LM</v>
          </cell>
          <cell r="C171">
            <v>0</v>
          </cell>
          <cell r="D171">
            <v>995.95</v>
          </cell>
          <cell r="F171">
            <v>0</v>
          </cell>
        </row>
        <row r="177">
          <cell r="A177">
            <v>44860</v>
          </cell>
          <cell r="B177" t="str">
            <v>LM</v>
          </cell>
          <cell r="C177">
            <v>0</v>
          </cell>
          <cell r="D177">
            <v>490</v>
          </cell>
          <cell r="F177">
            <v>0</v>
          </cell>
        </row>
        <row r="178">
          <cell r="A178">
            <v>44860</v>
          </cell>
          <cell r="B178" t="str">
            <v>Refill</v>
          </cell>
          <cell r="C178">
            <v>444.3</v>
          </cell>
          <cell r="D178">
            <v>0</v>
          </cell>
          <cell r="F178">
            <v>0</v>
          </cell>
        </row>
        <row r="184">
          <cell r="A184">
            <v>44861</v>
          </cell>
          <cell r="B184" t="str">
            <v>Rauchen</v>
          </cell>
          <cell r="C184">
            <v>0</v>
          </cell>
          <cell r="D184">
            <v>155</v>
          </cell>
          <cell r="F184">
            <v>0</v>
          </cell>
        </row>
        <row r="185">
          <cell r="A185">
            <v>44861</v>
          </cell>
          <cell r="B185" t="str">
            <v>LM</v>
          </cell>
          <cell r="C185">
            <v>0</v>
          </cell>
          <cell r="D185">
            <v>1048.3699999999999</v>
          </cell>
          <cell r="F185">
            <v>0</v>
          </cell>
        </row>
        <row r="186">
          <cell r="A186">
            <v>44861</v>
          </cell>
          <cell r="B186" t="str">
            <v>VM</v>
          </cell>
          <cell r="C186">
            <v>0</v>
          </cell>
          <cell r="D186">
            <v>51</v>
          </cell>
          <cell r="F186">
            <v>0</v>
          </cell>
        </row>
        <row r="198">
          <cell r="A198">
            <v>44863</v>
          </cell>
          <cell r="B198" t="str">
            <v>LM</v>
          </cell>
          <cell r="C198">
            <v>0</v>
          </cell>
          <cell r="D198">
            <v>345</v>
          </cell>
          <cell r="F198">
            <v>0</v>
          </cell>
        </row>
        <row r="199">
          <cell r="A199">
            <v>44863</v>
          </cell>
          <cell r="B199" t="str">
            <v>Rauchen</v>
          </cell>
          <cell r="C199">
            <v>0</v>
          </cell>
          <cell r="D199">
            <v>140</v>
          </cell>
          <cell r="F199">
            <v>0</v>
          </cell>
        </row>
        <row r="200">
          <cell r="A200">
            <v>44863</v>
          </cell>
          <cell r="B200" t="str">
            <v>VM</v>
          </cell>
          <cell r="C200">
            <v>0</v>
          </cell>
          <cell r="D200">
            <v>6523</v>
          </cell>
          <cell r="F200">
            <v>0</v>
          </cell>
        </row>
        <row r="205">
          <cell r="A205">
            <v>44864</v>
          </cell>
          <cell r="B205" t="str">
            <v>Frauen</v>
          </cell>
          <cell r="C205">
            <v>0</v>
          </cell>
          <cell r="D205">
            <v>2260</v>
          </cell>
          <cell r="F205">
            <v>0</v>
          </cell>
        </row>
        <row r="206">
          <cell r="A206">
            <v>44864</v>
          </cell>
          <cell r="B206" t="str">
            <v>Party</v>
          </cell>
          <cell r="C206">
            <v>0</v>
          </cell>
          <cell r="D206">
            <v>2350</v>
          </cell>
          <cell r="F206">
            <v>0</v>
          </cell>
        </row>
        <row r="207">
          <cell r="A207">
            <v>44864</v>
          </cell>
          <cell r="B207" t="str">
            <v>VM</v>
          </cell>
          <cell r="C207">
            <v>0</v>
          </cell>
          <cell r="D207">
            <v>1998</v>
          </cell>
          <cell r="F207">
            <v>0</v>
          </cell>
        </row>
        <row r="208">
          <cell r="A208">
            <v>44864</v>
          </cell>
          <cell r="B208" t="str">
            <v>VM</v>
          </cell>
          <cell r="C208">
            <v>0</v>
          </cell>
          <cell r="D208">
            <v>1060</v>
          </cell>
          <cell r="F208">
            <v>0</v>
          </cell>
        </row>
        <row r="209">
          <cell r="A209">
            <v>44864</v>
          </cell>
          <cell r="B209" t="str">
            <v>VM</v>
          </cell>
          <cell r="C209">
            <v>0</v>
          </cell>
          <cell r="D209">
            <v>8401</v>
          </cell>
          <cell r="F209">
            <v>0</v>
          </cell>
        </row>
        <row r="210">
          <cell r="A210">
            <v>44864</v>
          </cell>
          <cell r="B210" t="str">
            <v>LM</v>
          </cell>
          <cell r="C210">
            <v>0</v>
          </cell>
          <cell r="D210">
            <v>501</v>
          </cell>
          <cell r="F210">
            <v>0</v>
          </cell>
        </row>
        <row r="211">
          <cell r="A211">
            <v>44864</v>
          </cell>
          <cell r="B211" t="str">
            <v>VM</v>
          </cell>
          <cell r="C211">
            <v>0</v>
          </cell>
          <cell r="D211">
            <v>51</v>
          </cell>
          <cell r="F211">
            <v>0</v>
          </cell>
        </row>
        <row r="212">
          <cell r="A212">
            <v>44865</v>
          </cell>
          <cell r="B212" t="str">
            <v>Rauchen</v>
          </cell>
          <cell r="C212">
            <v>0</v>
          </cell>
          <cell r="D212">
            <v>140</v>
          </cell>
          <cell r="F212">
            <v>0</v>
          </cell>
        </row>
        <row r="213">
          <cell r="A213">
            <v>44865</v>
          </cell>
          <cell r="B213" t="str">
            <v>none</v>
          </cell>
          <cell r="C213">
            <v>0</v>
          </cell>
          <cell r="D213">
            <v>0</v>
          </cell>
          <cell r="F213">
            <v>290.88</v>
          </cell>
        </row>
        <row r="215">
          <cell r="A215">
            <v>44865</v>
          </cell>
          <cell r="B215" t="str">
            <v>none</v>
          </cell>
          <cell r="C215">
            <v>0</v>
          </cell>
          <cell r="D215">
            <v>5600</v>
          </cell>
          <cell r="F215">
            <v>0</v>
          </cell>
        </row>
      </sheetData>
      <sheetData sheetId="24">
        <row r="2">
          <cell r="A2">
            <v>44866</v>
          </cell>
          <cell r="B2" t="str">
            <v>Refill</v>
          </cell>
          <cell r="C2">
            <v>1465.0700000000002</v>
          </cell>
          <cell r="D2">
            <v>0</v>
          </cell>
          <cell r="F2">
            <v>0</v>
          </cell>
        </row>
        <row r="16">
          <cell r="A16">
            <v>44868</v>
          </cell>
          <cell r="B16" t="str">
            <v>Andere</v>
          </cell>
          <cell r="C16">
            <v>0</v>
          </cell>
          <cell r="D16">
            <v>882</v>
          </cell>
          <cell r="F16">
            <v>0</v>
          </cell>
        </row>
        <row r="23">
          <cell r="A23">
            <v>44869</v>
          </cell>
          <cell r="B23" t="str">
            <v>LM</v>
          </cell>
          <cell r="C23">
            <v>0</v>
          </cell>
          <cell r="D23">
            <v>889.99</v>
          </cell>
          <cell r="F23">
            <v>0</v>
          </cell>
        </row>
        <row r="24">
          <cell r="A24">
            <v>44869</v>
          </cell>
          <cell r="B24" t="str">
            <v>Andere</v>
          </cell>
          <cell r="C24">
            <v>0</v>
          </cell>
          <cell r="D24">
            <v>103</v>
          </cell>
          <cell r="F24">
            <v>0</v>
          </cell>
        </row>
        <row r="25">
          <cell r="A25">
            <v>44869</v>
          </cell>
          <cell r="B25" t="str">
            <v>Party</v>
          </cell>
          <cell r="C25">
            <v>0</v>
          </cell>
          <cell r="D25">
            <v>1400</v>
          </cell>
          <cell r="F25">
            <v>0</v>
          </cell>
        </row>
        <row r="30">
          <cell r="A30">
            <v>44870</v>
          </cell>
          <cell r="B30" t="str">
            <v>Andere</v>
          </cell>
          <cell r="C30">
            <v>0</v>
          </cell>
          <cell r="D30">
            <v>1000</v>
          </cell>
          <cell r="F30">
            <v>0</v>
          </cell>
        </row>
        <row r="31">
          <cell r="A31">
            <v>44870</v>
          </cell>
          <cell r="B31" t="str">
            <v>LM</v>
          </cell>
          <cell r="C31">
            <v>0</v>
          </cell>
          <cell r="D31">
            <v>74.989999999999995</v>
          </cell>
          <cell r="F31">
            <v>0</v>
          </cell>
        </row>
        <row r="37">
          <cell r="A37">
            <v>44871</v>
          </cell>
          <cell r="B37" t="str">
            <v>LM</v>
          </cell>
          <cell r="C37">
            <v>0</v>
          </cell>
          <cell r="D37">
            <v>219.99</v>
          </cell>
          <cell r="F37">
            <v>0</v>
          </cell>
        </row>
        <row r="38">
          <cell r="A38">
            <v>44871</v>
          </cell>
          <cell r="B38" t="str">
            <v>Andere</v>
          </cell>
          <cell r="C38">
            <v>0</v>
          </cell>
          <cell r="D38">
            <v>500</v>
          </cell>
          <cell r="F38">
            <v>0</v>
          </cell>
        </row>
        <row r="51">
          <cell r="A51">
            <v>44873</v>
          </cell>
          <cell r="B51" t="str">
            <v>Andere</v>
          </cell>
          <cell r="C51">
            <v>0</v>
          </cell>
          <cell r="D51">
            <v>5640</v>
          </cell>
          <cell r="F51">
            <v>0</v>
          </cell>
        </row>
        <row r="58">
          <cell r="A58">
            <v>44874</v>
          </cell>
          <cell r="B58" t="str">
            <v>LM</v>
          </cell>
          <cell r="C58">
            <v>0</v>
          </cell>
          <cell r="D58">
            <v>617.99</v>
          </cell>
          <cell r="F58">
            <v>0</v>
          </cell>
        </row>
        <row r="59">
          <cell r="A59">
            <v>44874</v>
          </cell>
          <cell r="B59" t="str">
            <v>Refill</v>
          </cell>
          <cell r="C59">
            <v>63464.01</v>
          </cell>
          <cell r="D59">
            <v>0</v>
          </cell>
          <cell r="F59">
            <v>0</v>
          </cell>
        </row>
        <row r="60">
          <cell r="A60">
            <v>44874</v>
          </cell>
          <cell r="B60" t="str">
            <v>Rauchen</v>
          </cell>
          <cell r="C60">
            <v>0</v>
          </cell>
          <cell r="D60">
            <v>140</v>
          </cell>
          <cell r="F60">
            <v>0</v>
          </cell>
        </row>
        <row r="61">
          <cell r="A61">
            <v>44874</v>
          </cell>
          <cell r="B61" t="str">
            <v>VM</v>
          </cell>
          <cell r="C61">
            <v>0</v>
          </cell>
          <cell r="D61">
            <v>40</v>
          </cell>
          <cell r="F61">
            <v>0</v>
          </cell>
        </row>
        <row r="62">
          <cell r="A62">
            <v>44874</v>
          </cell>
          <cell r="B62" t="str">
            <v>Refill</v>
          </cell>
          <cell r="C62">
            <v>4143</v>
          </cell>
          <cell r="D62">
            <v>0</v>
          </cell>
          <cell r="F62">
            <v>0</v>
          </cell>
        </row>
        <row r="63">
          <cell r="A63">
            <v>44874</v>
          </cell>
          <cell r="B63" t="str">
            <v>LM</v>
          </cell>
          <cell r="C63">
            <v>0</v>
          </cell>
          <cell r="D63">
            <v>890</v>
          </cell>
          <cell r="F63">
            <v>0</v>
          </cell>
        </row>
        <row r="65">
          <cell r="A65">
            <v>44875</v>
          </cell>
          <cell r="B65" t="str">
            <v>VM</v>
          </cell>
          <cell r="C65">
            <v>0</v>
          </cell>
          <cell r="D65">
            <v>112</v>
          </cell>
          <cell r="F65">
            <v>0</v>
          </cell>
        </row>
        <row r="66">
          <cell r="A66">
            <v>44875</v>
          </cell>
          <cell r="B66" t="str">
            <v>LM</v>
          </cell>
          <cell r="C66">
            <v>0</v>
          </cell>
          <cell r="D66">
            <v>151</v>
          </cell>
          <cell r="F66">
            <v>0</v>
          </cell>
        </row>
        <row r="68">
          <cell r="A68">
            <v>44875</v>
          </cell>
          <cell r="B68" t="str">
            <v>Andere</v>
          </cell>
          <cell r="C68">
            <v>0</v>
          </cell>
          <cell r="D68">
            <v>444.3</v>
          </cell>
          <cell r="F68">
            <v>0</v>
          </cell>
        </row>
        <row r="72">
          <cell r="A72">
            <v>44876</v>
          </cell>
          <cell r="B72" t="str">
            <v>VM</v>
          </cell>
          <cell r="C72">
            <v>0</v>
          </cell>
          <cell r="D72">
            <v>149</v>
          </cell>
          <cell r="F72">
            <v>0</v>
          </cell>
        </row>
        <row r="73">
          <cell r="A73">
            <v>44876</v>
          </cell>
          <cell r="B73" t="str">
            <v>LM</v>
          </cell>
          <cell r="C73">
            <v>0</v>
          </cell>
          <cell r="D73">
            <v>1908</v>
          </cell>
          <cell r="F73">
            <v>0</v>
          </cell>
        </row>
        <row r="74">
          <cell r="A74">
            <v>44876</v>
          </cell>
          <cell r="B74" t="str">
            <v>none</v>
          </cell>
          <cell r="C74">
            <v>1000</v>
          </cell>
          <cell r="D74">
            <v>1000</v>
          </cell>
          <cell r="F74">
            <v>0</v>
          </cell>
        </row>
        <row r="79">
          <cell r="A79">
            <v>44877</v>
          </cell>
          <cell r="B79" t="str">
            <v>VM</v>
          </cell>
          <cell r="C79">
            <v>0</v>
          </cell>
          <cell r="D79">
            <v>79</v>
          </cell>
          <cell r="F79">
            <v>0</v>
          </cell>
        </row>
        <row r="80">
          <cell r="A80">
            <v>44877</v>
          </cell>
          <cell r="B80" t="str">
            <v>Rauchen</v>
          </cell>
          <cell r="C80">
            <v>0</v>
          </cell>
          <cell r="D80">
            <v>139</v>
          </cell>
          <cell r="F80">
            <v>0</v>
          </cell>
        </row>
        <row r="81">
          <cell r="A81">
            <v>44877</v>
          </cell>
          <cell r="B81" t="str">
            <v>Andere</v>
          </cell>
          <cell r="C81">
            <v>0</v>
          </cell>
          <cell r="D81">
            <v>130</v>
          </cell>
          <cell r="F81">
            <v>0</v>
          </cell>
        </row>
        <row r="82">
          <cell r="A82">
            <v>44877</v>
          </cell>
          <cell r="B82" t="str">
            <v>for me</v>
          </cell>
          <cell r="C82">
            <v>0</v>
          </cell>
          <cell r="D82">
            <v>600</v>
          </cell>
          <cell r="F82">
            <v>0</v>
          </cell>
        </row>
        <row r="83">
          <cell r="A83">
            <v>44877</v>
          </cell>
          <cell r="B83" t="str">
            <v>Kleidung</v>
          </cell>
          <cell r="C83">
            <v>0</v>
          </cell>
          <cell r="D83">
            <v>2999</v>
          </cell>
          <cell r="F83">
            <v>0</v>
          </cell>
        </row>
        <row r="84">
          <cell r="A84">
            <v>44877</v>
          </cell>
          <cell r="B84" t="str">
            <v>LM</v>
          </cell>
          <cell r="C84">
            <v>0</v>
          </cell>
          <cell r="D84">
            <v>0</v>
          </cell>
          <cell r="F84">
            <v>190</v>
          </cell>
        </row>
        <row r="86">
          <cell r="A86">
            <v>44878</v>
          </cell>
          <cell r="B86" t="str">
            <v>Andere</v>
          </cell>
          <cell r="C86">
            <v>0</v>
          </cell>
          <cell r="D86">
            <v>509.75</v>
          </cell>
          <cell r="F86">
            <v>0</v>
          </cell>
        </row>
        <row r="87">
          <cell r="A87">
            <v>44878</v>
          </cell>
          <cell r="B87" t="str">
            <v>VM</v>
          </cell>
          <cell r="C87">
            <v>0</v>
          </cell>
          <cell r="D87">
            <v>426</v>
          </cell>
          <cell r="F87">
            <v>0</v>
          </cell>
        </row>
        <row r="88">
          <cell r="A88">
            <v>44878</v>
          </cell>
          <cell r="B88" t="str">
            <v>Kleidung</v>
          </cell>
          <cell r="C88">
            <v>0</v>
          </cell>
          <cell r="D88">
            <v>14259</v>
          </cell>
          <cell r="F88">
            <v>0</v>
          </cell>
        </row>
        <row r="89">
          <cell r="A89">
            <v>44878</v>
          </cell>
          <cell r="B89" t="str">
            <v>VM</v>
          </cell>
          <cell r="C89">
            <v>0</v>
          </cell>
          <cell r="D89">
            <v>102</v>
          </cell>
          <cell r="F89">
            <v>0</v>
          </cell>
        </row>
        <row r="90">
          <cell r="A90">
            <v>44878</v>
          </cell>
          <cell r="B90" t="str">
            <v>Refill</v>
          </cell>
          <cell r="C90">
            <v>12209</v>
          </cell>
          <cell r="D90">
            <v>0</v>
          </cell>
          <cell r="F90">
            <v>0</v>
          </cell>
        </row>
        <row r="93">
          <cell r="A93">
            <v>44879</v>
          </cell>
          <cell r="B93" t="str">
            <v>LM</v>
          </cell>
          <cell r="C93">
            <v>0</v>
          </cell>
          <cell r="D93">
            <v>806</v>
          </cell>
          <cell r="F93">
            <v>0</v>
          </cell>
        </row>
        <row r="94">
          <cell r="A94">
            <v>44879</v>
          </cell>
          <cell r="B94" t="str">
            <v>VM</v>
          </cell>
          <cell r="C94">
            <v>0</v>
          </cell>
          <cell r="D94">
            <v>404</v>
          </cell>
          <cell r="F94">
            <v>0</v>
          </cell>
        </row>
        <row r="95">
          <cell r="A95">
            <v>44879</v>
          </cell>
          <cell r="B95" t="str">
            <v>Andere</v>
          </cell>
          <cell r="C95">
            <v>0</v>
          </cell>
          <cell r="D95">
            <v>1500</v>
          </cell>
          <cell r="F95">
            <v>0</v>
          </cell>
        </row>
        <row r="96">
          <cell r="A96">
            <v>44879</v>
          </cell>
          <cell r="B96" t="str">
            <v>none</v>
          </cell>
          <cell r="C96">
            <v>10000</v>
          </cell>
          <cell r="D96">
            <v>0</v>
          </cell>
          <cell r="F96">
            <v>0</v>
          </cell>
        </row>
        <row r="97">
          <cell r="A97">
            <v>44879</v>
          </cell>
          <cell r="B97" t="str">
            <v>none</v>
          </cell>
          <cell r="C97">
            <v>0</v>
          </cell>
          <cell r="D97">
            <v>1000</v>
          </cell>
          <cell r="F97">
            <v>0</v>
          </cell>
        </row>
        <row r="100">
          <cell r="A100">
            <v>44880</v>
          </cell>
          <cell r="B100" t="str">
            <v>LM</v>
          </cell>
          <cell r="C100">
            <v>0</v>
          </cell>
          <cell r="D100">
            <v>882</v>
          </cell>
          <cell r="F100">
            <v>0</v>
          </cell>
        </row>
        <row r="101">
          <cell r="A101">
            <v>44880</v>
          </cell>
          <cell r="B101" t="str">
            <v>Rauchen</v>
          </cell>
          <cell r="C101">
            <v>0</v>
          </cell>
          <cell r="D101">
            <v>150</v>
          </cell>
          <cell r="F101">
            <v>0</v>
          </cell>
        </row>
        <row r="102">
          <cell r="A102">
            <v>44880</v>
          </cell>
          <cell r="B102" t="str">
            <v>none</v>
          </cell>
          <cell r="C102">
            <v>0</v>
          </cell>
          <cell r="D102">
            <v>500</v>
          </cell>
          <cell r="F102">
            <v>0</v>
          </cell>
        </row>
        <row r="107">
          <cell r="A107">
            <v>44881</v>
          </cell>
          <cell r="B107" t="str">
            <v>LM</v>
          </cell>
          <cell r="C107">
            <v>0</v>
          </cell>
          <cell r="D107">
            <v>1584</v>
          </cell>
          <cell r="F107">
            <v>0</v>
          </cell>
        </row>
        <row r="114">
          <cell r="A114">
            <v>44882</v>
          </cell>
          <cell r="B114" t="str">
            <v>LM</v>
          </cell>
          <cell r="C114">
            <v>0</v>
          </cell>
          <cell r="D114">
            <v>1124</v>
          </cell>
          <cell r="F114">
            <v>0</v>
          </cell>
        </row>
        <row r="121">
          <cell r="A121">
            <v>44883</v>
          </cell>
          <cell r="B121" t="str">
            <v>Andere</v>
          </cell>
          <cell r="C121">
            <v>0</v>
          </cell>
          <cell r="D121">
            <v>4000</v>
          </cell>
          <cell r="F121">
            <v>0</v>
          </cell>
        </row>
        <row r="135">
          <cell r="A135">
            <v>44885</v>
          </cell>
          <cell r="B135" t="str">
            <v>VM</v>
          </cell>
          <cell r="C135">
            <v>0</v>
          </cell>
          <cell r="D135">
            <v>934</v>
          </cell>
          <cell r="F135">
            <v>0</v>
          </cell>
        </row>
        <row r="136">
          <cell r="A136">
            <v>44885</v>
          </cell>
          <cell r="B136" t="str">
            <v>Party</v>
          </cell>
          <cell r="C136">
            <v>0</v>
          </cell>
          <cell r="D136">
            <v>1600</v>
          </cell>
          <cell r="F136">
            <v>0</v>
          </cell>
        </row>
        <row r="137">
          <cell r="A137">
            <v>44885</v>
          </cell>
          <cell r="B137" t="str">
            <v>Rauchen</v>
          </cell>
          <cell r="C137">
            <v>0</v>
          </cell>
          <cell r="D137">
            <v>150</v>
          </cell>
          <cell r="F137">
            <v>0</v>
          </cell>
        </row>
        <row r="142">
          <cell r="A142">
            <v>44886</v>
          </cell>
          <cell r="B142" t="str">
            <v>LM</v>
          </cell>
          <cell r="C142">
            <v>0</v>
          </cell>
          <cell r="D142">
            <v>1104.08</v>
          </cell>
          <cell r="F142">
            <v>0</v>
          </cell>
        </row>
        <row r="149">
          <cell r="A149">
            <v>44887</v>
          </cell>
          <cell r="B149" t="str">
            <v>Andere</v>
          </cell>
          <cell r="C149">
            <v>0</v>
          </cell>
          <cell r="D149">
            <v>50</v>
          </cell>
          <cell r="F149">
            <v>0</v>
          </cell>
        </row>
        <row r="150">
          <cell r="A150">
            <v>44887</v>
          </cell>
          <cell r="B150" t="str">
            <v>VM</v>
          </cell>
          <cell r="C150">
            <v>0</v>
          </cell>
          <cell r="D150">
            <v>102</v>
          </cell>
          <cell r="F150">
            <v>0</v>
          </cell>
        </row>
        <row r="151">
          <cell r="A151">
            <v>44887</v>
          </cell>
          <cell r="B151" t="str">
            <v>Rauchen</v>
          </cell>
          <cell r="C151">
            <v>0</v>
          </cell>
          <cell r="D151">
            <v>165</v>
          </cell>
          <cell r="F151">
            <v>0</v>
          </cell>
        </row>
        <row r="156">
          <cell r="A156">
            <v>44888</v>
          </cell>
          <cell r="B156" t="str">
            <v>VM</v>
          </cell>
          <cell r="C156">
            <v>0</v>
          </cell>
          <cell r="D156">
            <v>770</v>
          </cell>
          <cell r="F156">
            <v>0</v>
          </cell>
        </row>
        <row r="157">
          <cell r="A157">
            <v>44888</v>
          </cell>
          <cell r="B157" t="str">
            <v>LM</v>
          </cell>
          <cell r="C157">
            <v>0</v>
          </cell>
          <cell r="D157">
            <v>335</v>
          </cell>
          <cell r="F157">
            <v>0</v>
          </cell>
        </row>
        <row r="163">
          <cell r="A163">
            <v>44889</v>
          </cell>
          <cell r="B163" t="str">
            <v>LM</v>
          </cell>
          <cell r="C163">
            <v>0</v>
          </cell>
          <cell r="D163">
            <v>390</v>
          </cell>
          <cell r="F163">
            <v>0</v>
          </cell>
        </row>
        <row r="164">
          <cell r="A164">
            <v>44889</v>
          </cell>
          <cell r="B164" t="str">
            <v>Refill</v>
          </cell>
          <cell r="C164">
            <v>37639.199999999997</v>
          </cell>
          <cell r="D164">
            <v>0</v>
          </cell>
          <cell r="F164">
            <v>0</v>
          </cell>
        </row>
        <row r="165">
          <cell r="A165">
            <v>44889</v>
          </cell>
          <cell r="B165" t="str">
            <v>Party</v>
          </cell>
          <cell r="C165">
            <v>0</v>
          </cell>
          <cell r="D165">
            <v>0</v>
          </cell>
          <cell r="F165">
            <v>780</v>
          </cell>
        </row>
        <row r="170">
          <cell r="A170">
            <v>44890</v>
          </cell>
          <cell r="B170" t="str">
            <v>LM</v>
          </cell>
          <cell r="C170">
            <v>0</v>
          </cell>
          <cell r="D170">
            <v>346.88</v>
          </cell>
          <cell r="F170">
            <v>0</v>
          </cell>
        </row>
        <row r="171">
          <cell r="A171">
            <v>44890</v>
          </cell>
          <cell r="B171" t="str">
            <v>Rauchen</v>
          </cell>
          <cell r="C171">
            <v>0</v>
          </cell>
          <cell r="D171">
            <v>140</v>
          </cell>
          <cell r="F171">
            <v>0</v>
          </cell>
        </row>
        <row r="172">
          <cell r="A172">
            <v>44890</v>
          </cell>
          <cell r="B172" t="str">
            <v>VM</v>
          </cell>
          <cell r="C172">
            <v>0</v>
          </cell>
          <cell r="D172">
            <v>102</v>
          </cell>
          <cell r="F172">
            <v>0</v>
          </cell>
        </row>
        <row r="173">
          <cell r="A173">
            <v>44890</v>
          </cell>
          <cell r="B173" t="str">
            <v>Andere</v>
          </cell>
          <cell r="C173">
            <v>0</v>
          </cell>
          <cell r="D173">
            <v>500</v>
          </cell>
          <cell r="F173">
            <v>0</v>
          </cell>
        </row>
        <row r="177">
          <cell r="A177">
            <v>44891</v>
          </cell>
          <cell r="B177" t="str">
            <v>VM</v>
          </cell>
          <cell r="C177">
            <v>0</v>
          </cell>
          <cell r="D177">
            <v>667</v>
          </cell>
          <cell r="F177">
            <v>0</v>
          </cell>
        </row>
        <row r="178">
          <cell r="A178">
            <v>44891</v>
          </cell>
          <cell r="B178" t="str">
            <v>LM</v>
          </cell>
          <cell r="C178">
            <v>0</v>
          </cell>
          <cell r="D178">
            <v>1234</v>
          </cell>
          <cell r="F178">
            <v>0</v>
          </cell>
        </row>
        <row r="179">
          <cell r="A179">
            <v>44891</v>
          </cell>
          <cell r="B179" t="str">
            <v>for me</v>
          </cell>
          <cell r="C179">
            <v>0</v>
          </cell>
          <cell r="D179">
            <v>900</v>
          </cell>
          <cell r="F179">
            <v>0</v>
          </cell>
        </row>
        <row r="184">
          <cell r="A184">
            <v>44892</v>
          </cell>
          <cell r="B184" t="str">
            <v>LM</v>
          </cell>
          <cell r="C184">
            <v>0</v>
          </cell>
          <cell r="D184">
            <v>1257.31</v>
          </cell>
          <cell r="F184">
            <v>1700</v>
          </cell>
        </row>
        <row r="185">
          <cell r="A185">
            <v>44892</v>
          </cell>
          <cell r="B185" t="str">
            <v>VM</v>
          </cell>
          <cell r="C185">
            <v>0</v>
          </cell>
          <cell r="D185">
            <v>311</v>
          </cell>
          <cell r="F185">
            <v>0</v>
          </cell>
        </row>
        <row r="186">
          <cell r="A186">
            <v>44892</v>
          </cell>
          <cell r="B186" t="str">
            <v>Party</v>
          </cell>
          <cell r="C186">
            <v>0</v>
          </cell>
          <cell r="D186">
            <v>0</v>
          </cell>
          <cell r="F186">
            <v>2700</v>
          </cell>
        </row>
        <row r="191">
          <cell r="A191">
            <v>44893</v>
          </cell>
          <cell r="B191" t="str">
            <v>Rauchen</v>
          </cell>
          <cell r="C191">
            <v>0</v>
          </cell>
          <cell r="D191">
            <v>155</v>
          </cell>
          <cell r="F191">
            <v>0</v>
          </cell>
        </row>
        <row r="192">
          <cell r="A192">
            <v>44893</v>
          </cell>
          <cell r="B192" t="str">
            <v>Andere</v>
          </cell>
          <cell r="C192">
            <v>0</v>
          </cell>
          <cell r="D192">
            <v>2200</v>
          </cell>
          <cell r="F192">
            <v>0</v>
          </cell>
        </row>
        <row r="193">
          <cell r="A193">
            <v>44893</v>
          </cell>
          <cell r="B193" t="str">
            <v>VM</v>
          </cell>
          <cell r="C193">
            <v>0</v>
          </cell>
          <cell r="D193">
            <v>5775</v>
          </cell>
          <cell r="F193">
            <v>0</v>
          </cell>
        </row>
        <row r="194">
          <cell r="A194">
            <v>44893</v>
          </cell>
          <cell r="B194" t="str">
            <v>none</v>
          </cell>
          <cell r="C194">
            <v>0</v>
          </cell>
          <cell r="D194">
            <v>1500</v>
          </cell>
          <cell r="F194">
            <v>0</v>
          </cell>
        </row>
        <row r="198">
          <cell r="A198">
            <v>44894</v>
          </cell>
          <cell r="B198" t="str">
            <v>VM</v>
          </cell>
          <cell r="C198">
            <v>0</v>
          </cell>
          <cell r="D198">
            <v>102</v>
          </cell>
          <cell r="F198">
            <v>0</v>
          </cell>
        </row>
        <row r="199">
          <cell r="A199">
            <v>44894</v>
          </cell>
          <cell r="B199" t="str">
            <v>LM</v>
          </cell>
          <cell r="C199">
            <v>0</v>
          </cell>
          <cell r="D199">
            <v>609.44000000000005</v>
          </cell>
          <cell r="F199">
            <v>0</v>
          </cell>
        </row>
        <row r="205">
          <cell r="A205">
            <v>44895</v>
          </cell>
          <cell r="B205" t="str">
            <v>Refill</v>
          </cell>
          <cell r="C205">
            <v>1602.74</v>
          </cell>
          <cell r="D205">
            <v>0</v>
          </cell>
          <cell r="F205">
            <v>0</v>
          </cell>
        </row>
      </sheetData>
      <sheetData sheetId="25"/>
      <sheetData sheetId="26">
        <row r="2">
          <cell r="A2">
            <v>44896</v>
          </cell>
          <cell r="B2" t="str">
            <v>Party</v>
          </cell>
          <cell r="C2">
            <v>0</v>
          </cell>
          <cell r="D2">
            <v>2000</v>
          </cell>
          <cell r="E2">
            <v>0</v>
          </cell>
          <cell r="F2">
            <v>0</v>
          </cell>
        </row>
        <row r="9">
          <cell r="A9">
            <v>44897</v>
          </cell>
          <cell r="B9" t="str">
            <v>LM</v>
          </cell>
          <cell r="C9">
            <v>0</v>
          </cell>
          <cell r="D9">
            <v>757.6</v>
          </cell>
          <cell r="E9">
            <v>0</v>
          </cell>
          <cell r="F9">
            <v>0</v>
          </cell>
        </row>
        <row r="16">
          <cell r="A16">
            <v>44898</v>
          </cell>
          <cell r="B16" t="str">
            <v>for me</v>
          </cell>
          <cell r="C16">
            <v>0</v>
          </cell>
          <cell r="D16">
            <v>550</v>
          </cell>
          <cell r="E16">
            <v>0</v>
          </cell>
          <cell r="F16">
            <v>0</v>
          </cell>
        </row>
        <row r="17">
          <cell r="A17">
            <v>44898</v>
          </cell>
          <cell r="B17" t="str">
            <v>Frauen</v>
          </cell>
          <cell r="C17">
            <v>0</v>
          </cell>
          <cell r="D17">
            <v>999</v>
          </cell>
          <cell r="E17">
            <v>0</v>
          </cell>
          <cell r="F17">
            <v>0</v>
          </cell>
        </row>
        <row r="18">
          <cell r="A18">
            <v>44898</v>
          </cell>
          <cell r="B18" t="str">
            <v>Party</v>
          </cell>
          <cell r="C18">
            <v>0</v>
          </cell>
          <cell r="D18">
            <v>3690</v>
          </cell>
          <cell r="E18">
            <v>0</v>
          </cell>
          <cell r="F18">
            <v>0</v>
          </cell>
        </row>
        <row r="23">
          <cell r="A23">
            <v>44899</v>
          </cell>
          <cell r="B23" t="str">
            <v>VM</v>
          </cell>
          <cell r="C23">
            <v>0</v>
          </cell>
          <cell r="D23">
            <v>102</v>
          </cell>
          <cell r="E23">
            <v>0</v>
          </cell>
          <cell r="F23">
            <v>0</v>
          </cell>
        </row>
        <row r="24">
          <cell r="A24">
            <v>44899</v>
          </cell>
          <cell r="B24" t="str">
            <v>LM</v>
          </cell>
          <cell r="C24">
            <v>0</v>
          </cell>
          <cell r="D24">
            <v>768</v>
          </cell>
          <cell r="E24">
            <v>0</v>
          </cell>
          <cell r="F24">
            <v>300</v>
          </cell>
        </row>
        <row r="25">
          <cell r="A25">
            <v>44899</v>
          </cell>
          <cell r="B25" t="str">
            <v>Andere</v>
          </cell>
          <cell r="C25">
            <v>0</v>
          </cell>
          <cell r="D25">
            <v>999</v>
          </cell>
          <cell r="E25">
            <v>0</v>
          </cell>
          <cell r="F25">
            <v>0</v>
          </cell>
        </row>
        <row r="30">
          <cell r="A30">
            <v>44900</v>
          </cell>
          <cell r="B30" t="str">
            <v>VM</v>
          </cell>
          <cell r="C30">
            <v>0</v>
          </cell>
          <cell r="D30">
            <v>102</v>
          </cell>
          <cell r="E30">
            <v>0</v>
          </cell>
          <cell r="F30">
            <v>0</v>
          </cell>
        </row>
        <row r="37">
          <cell r="A37">
            <v>44901</v>
          </cell>
          <cell r="B37" t="str">
            <v>LM</v>
          </cell>
          <cell r="C37">
            <v>0</v>
          </cell>
          <cell r="D37">
            <v>1019.6700000000001</v>
          </cell>
          <cell r="E37">
            <v>0</v>
          </cell>
          <cell r="F37">
            <v>0</v>
          </cell>
        </row>
        <row r="38">
          <cell r="A38">
            <v>44901</v>
          </cell>
          <cell r="B38" t="str">
            <v>Rauchen</v>
          </cell>
          <cell r="C38">
            <v>0</v>
          </cell>
          <cell r="D38">
            <v>140</v>
          </cell>
          <cell r="E38">
            <v>0</v>
          </cell>
          <cell r="F38">
            <v>0</v>
          </cell>
        </row>
        <row r="44">
          <cell r="A44">
            <v>44902</v>
          </cell>
          <cell r="B44" t="str">
            <v>LM</v>
          </cell>
          <cell r="C44">
            <v>0</v>
          </cell>
          <cell r="D44">
            <v>381</v>
          </cell>
          <cell r="E44">
            <v>0</v>
          </cell>
          <cell r="F44">
            <v>0</v>
          </cell>
        </row>
        <row r="45">
          <cell r="A45">
            <v>44902</v>
          </cell>
          <cell r="B45" t="str">
            <v>Andere</v>
          </cell>
          <cell r="C45">
            <v>0</v>
          </cell>
          <cell r="D45">
            <v>10000</v>
          </cell>
          <cell r="E45">
            <v>0</v>
          </cell>
          <cell r="F45">
            <v>0</v>
          </cell>
        </row>
        <row r="51">
          <cell r="A51">
            <v>44903</v>
          </cell>
          <cell r="B51" t="str">
            <v>LM</v>
          </cell>
          <cell r="C51">
            <v>0</v>
          </cell>
          <cell r="D51">
            <v>99.8</v>
          </cell>
          <cell r="E51">
            <v>0</v>
          </cell>
          <cell r="F51">
            <v>345</v>
          </cell>
        </row>
        <row r="52">
          <cell r="A52">
            <v>44903</v>
          </cell>
          <cell r="B52" t="str">
            <v>VM</v>
          </cell>
          <cell r="C52">
            <v>0</v>
          </cell>
          <cell r="D52">
            <v>51</v>
          </cell>
          <cell r="E52">
            <v>0</v>
          </cell>
          <cell r="F52">
            <v>0</v>
          </cell>
        </row>
        <row r="58">
          <cell r="A58">
            <v>44904</v>
          </cell>
          <cell r="B58" t="str">
            <v>LM</v>
          </cell>
          <cell r="C58">
            <v>0</v>
          </cell>
          <cell r="D58">
            <v>264</v>
          </cell>
          <cell r="E58">
            <v>0</v>
          </cell>
          <cell r="F58">
            <v>0</v>
          </cell>
        </row>
        <row r="59">
          <cell r="A59">
            <v>44904</v>
          </cell>
          <cell r="B59" t="str">
            <v>Rauchen</v>
          </cell>
          <cell r="C59">
            <v>0</v>
          </cell>
          <cell r="D59">
            <v>155</v>
          </cell>
          <cell r="E59">
            <v>0</v>
          </cell>
          <cell r="F59">
            <v>0</v>
          </cell>
        </row>
        <row r="60">
          <cell r="A60">
            <v>44904</v>
          </cell>
          <cell r="B60" t="str">
            <v>Refill</v>
          </cell>
          <cell r="C60">
            <v>65464.38</v>
          </cell>
          <cell r="D60">
            <v>0</v>
          </cell>
          <cell r="E60">
            <v>0</v>
          </cell>
          <cell r="F60">
            <v>0</v>
          </cell>
        </row>
        <row r="65">
          <cell r="A65">
            <v>44905</v>
          </cell>
          <cell r="B65" t="str">
            <v>VM</v>
          </cell>
          <cell r="C65">
            <v>0</v>
          </cell>
          <cell r="D65">
            <v>102</v>
          </cell>
          <cell r="E65">
            <v>0</v>
          </cell>
          <cell r="F65">
            <v>0</v>
          </cell>
        </row>
        <row r="66">
          <cell r="A66">
            <v>44905</v>
          </cell>
          <cell r="B66" t="str">
            <v>Rauchen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</row>
        <row r="67">
          <cell r="A67">
            <v>44905</v>
          </cell>
          <cell r="B67" t="str">
            <v>LM</v>
          </cell>
          <cell r="C67">
            <v>0</v>
          </cell>
          <cell r="D67">
            <v>0</v>
          </cell>
          <cell r="E67">
            <v>0</v>
          </cell>
          <cell r="F67">
            <v>445</v>
          </cell>
        </row>
        <row r="72">
          <cell r="A72">
            <v>44906</v>
          </cell>
          <cell r="B72" t="str">
            <v>Rauchen</v>
          </cell>
          <cell r="C72">
            <v>0</v>
          </cell>
          <cell r="D72">
            <v>145</v>
          </cell>
          <cell r="E72">
            <v>0</v>
          </cell>
          <cell r="F72">
            <v>0</v>
          </cell>
        </row>
        <row r="73">
          <cell r="A73">
            <v>44906</v>
          </cell>
          <cell r="B73" t="str">
            <v>LM</v>
          </cell>
          <cell r="C73">
            <v>0</v>
          </cell>
          <cell r="D73">
            <v>0</v>
          </cell>
          <cell r="E73">
            <v>0</v>
          </cell>
          <cell r="F73">
            <v>240</v>
          </cell>
        </row>
        <row r="79">
          <cell r="A79">
            <v>44907</v>
          </cell>
          <cell r="B79" t="str">
            <v>none</v>
          </cell>
          <cell r="C79">
            <v>12326</v>
          </cell>
          <cell r="D79">
            <v>0</v>
          </cell>
          <cell r="E79">
            <v>0</v>
          </cell>
          <cell r="F79">
            <v>0</v>
          </cell>
        </row>
        <row r="80">
          <cell r="A80">
            <v>44907</v>
          </cell>
          <cell r="B80" t="str">
            <v>LM</v>
          </cell>
          <cell r="C80">
            <v>0</v>
          </cell>
          <cell r="D80">
            <v>756</v>
          </cell>
          <cell r="E80">
            <v>0</v>
          </cell>
          <cell r="F80">
            <v>0</v>
          </cell>
        </row>
        <row r="81">
          <cell r="A81">
            <v>44907</v>
          </cell>
          <cell r="B81" t="str">
            <v>Andere</v>
          </cell>
          <cell r="C81">
            <v>0</v>
          </cell>
          <cell r="D81">
            <v>0</v>
          </cell>
          <cell r="E81">
            <v>0</v>
          </cell>
          <cell r="F81">
            <v>219.17</v>
          </cell>
        </row>
        <row r="86">
          <cell r="A86">
            <v>44908</v>
          </cell>
          <cell r="B86" t="str">
            <v>LM</v>
          </cell>
          <cell r="C86">
            <v>0</v>
          </cell>
          <cell r="D86">
            <v>724</v>
          </cell>
          <cell r="E86">
            <v>0</v>
          </cell>
          <cell r="F86">
            <v>0</v>
          </cell>
        </row>
        <row r="93">
          <cell r="A93">
            <v>44909</v>
          </cell>
          <cell r="B93" t="str">
            <v>Rauchen</v>
          </cell>
          <cell r="C93">
            <v>0</v>
          </cell>
          <cell r="D93">
            <v>130</v>
          </cell>
          <cell r="E93">
            <v>0</v>
          </cell>
          <cell r="F93">
            <v>0</v>
          </cell>
        </row>
        <row r="94">
          <cell r="A94">
            <v>44909</v>
          </cell>
          <cell r="B94" t="str">
            <v>LM</v>
          </cell>
          <cell r="C94">
            <v>0</v>
          </cell>
          <cell r="D94">
            <v>967.5</v>
          </cell>
          <cell r="E94">
            <v>0</v>
          </cell>
          <cell r="F94">
            <v>0</v>
          </cell>
        </row>
        <row r="100">
          <cell r="A100">
            <v>44910</v>
          </cell>
          <cell r="B100" t="str">
            <v>LM</v>
          </cell>
          <cell r="C100">
            <v>0</v>
          </cell>
          <cell r="D100">
            <v>920.5</v>
          </cell>
          <cell r="E100">
            <v>0</v>
          </cell>
          <cell r="F100">
            <v>0</v>
          </cell>
        </row>
        <row r="107">
          <cell r="A107">
            <v>44911</v>
          </cell>
          <cell r="B107" t="str">
            <v>LM</v>
          </cell>
          <cell r="C107">
            <v>0</v>
          </cell>
          <cell r="D107">
            <v>127</v>
          </cell>
          <cell r="E107">
            <v>0</v>
          </cell>
          <cell r="F107">
            <v>0</v>
          </cell>
        </row>
        <row r="108">
          <cell r="A108">
            <v>44911</v>
          </cell>
          <cell r="B108" t="str">
            <v>Refill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</row>
        <row r="114">
          <cell r="A114">
            <v>44912</v>
          </cell>
          <cell r="B114" t="str">
            <v>LM</v>
          </cell>
          <cell r="C114">
            <v>0</v>
          </cell>
          <cell r="D114">
            <v>1866.59</v>
          </cell>
          <cell r="E114">
            <v>0</v>
          </cell>
          <cell r="F114">
            <v>545</v>
          </cell>
        </row>
        <row r="115">
          <cell r="A115">
            <v>44912</v>
          </cell>
          <cell r="B115" t="str">
            <v>Andere</v>
          </cell>
          <cell r="C115">
            <v>0</v>
          </cell>
          <cell r="D115">
            <v>3330</v>
          </cell>
          <cell r="E115">
            <v>0</v>
          </cell>
          <cell r="F115">
            <v>0</v>
          </cell>
        </row>
        <row r="128">
          <cell r="A128">
            <v>44914</v>
          </cell>
          <cell r="B128" t="str">
            <v>LM</v>
          </cell>
          <cell r="C128">
            <v>0</v>
          </cell>
          <cell r="D128">
            <v>558</v>
          </cell>
          <cell r="E128">
            <v>0</v>
          </cell>
          <cell r="F128">
            <v>0</v>
          </cell>
        </row>
        <row r="129">
          <cell r="A129">
            <v>44914</v>
          </cell>
          <cell r="B129" t="str">
            <v>Andere</v>
          </cell>
          <cell r="C129">
            <v>0</v>
          </cell>
          <cell r="D129">
            <v>490</v>
          </cell>
          <cell r="E129">
            <v>0</v>
          </cell>
          <cell r="F129">
            <v>0</v>
          </cell>
        </row>
        <row r="130">
          <cell r="A130">
            <v>44914</v>
          </cell>
          <cell r="B130" t="str">
            <v>Refill</v>
          </cell>
          <cell r="C130">
            <v>2200</v>
          </cell>
          <cell r="D130">
            <v>0</v>
          </cell>
          <cell r="E130">
            <v>4500</v>
          </cell>
          <cell r="F130">
            <v>0</v>
          </cell>
        </row>
        <row r="131">
          <cell r="A131">
            <v>44914</v>
          </cell>
          <cell r="B131" t="str">
            <v>none</v>
          </cell>
          <cell r="C131">
            <v>0</v>
          </cell>
          <cell r="D131">
            <v>8325</v>
          </cell>
          <cell r="E131">
            <v>0</v>
          </cell>
          <cell r="F131">
            <v>0</v>
          </cell>
        </row>
        <row r="135">
          <cell r="A135">
            <v>44915</v>
          </cell>
          <cell r="B135" t="str">
            <v>VM</v>
          </cell>
          <cell r="C135">
            <v>0</v>
          </cell>
          <cell r="D135">
            <v>102</v>
          </cell>
          <cell r="E135">
            <v>0</v>
          </cell>
          <cell r="F135">
            <v>0</v>
          </cell>
        </row>
        <row r="136">
          <cell r="A136">
            <v>44915</v>
          </cell>
          <cell r="B136" t="str">
            <v>Andere</v>
          </cell>
          <cell r="C136">
            <v>0</v>
          </cell>
          <cell r="D136">
            <v>0</v>
          </cell>
          <cell r="E136">
            <v>0</v>
          </cell>
          <cell r="F136">
            <v>150</v>
          </cell>
        </row>
        <row r="142">
          <cell r="A142">
            <v>44916</v>
          </cell>
          <cell r="B142" t="str">
            <v>Andere</v>
          </cell>
          <cell r="C142">
            <v>0</v>
          </cell>
          <cell r="D142">
            <v>1000</v>
          </cell>
          <cell r="E142">
            <v>0</v>
          </cell>
          <cell r="F142">
            <v>0</v>
          </cell>
        </row>
        <row r="143">
          <cell r="A143">
            <v>44916</v>
          </cell>
          <cell r="B143" t="str">
            <v>LM</v>
          </cell>
          <cell r="C143">
            <v>0</v>
          </cell>
          <cell r="D143">
            <v>0</v>
          </cell>
          <cell r="E143">
            <v>0</v>
          </cell>
          <cell r="F143">
            <v>350</v>
          </cell>
        </row>
        <row r="144">
          <cell r="A144">
            <v>44916</v>
          </cell>
          <cell r="B144" t="str">
            <v>VM</v>
          </cell>
          <cell r="C144">
            <v>0</v>
          </cell>
          <cell r="D144">
            <v>741</v>
          </cell>
          <cell r="E144">
            <v>0</v>
          </cell>
          <cell r="F144">
            <v>0</v>
          </cell>
        </row>
        <row r="149">
          <cell r="A149">
            <v>44917</v>
          </cell>
          <cell r="B149" t="str">
            <v>LM</v>
          </cell>
          <cell r="C149">
            <v>0</v>
          </cell>
          <cell r="D149">
            <v>1290.3600000000001</v>
          </cell>
          <cell r="E149">
            <v>0</v>
          </cell>
          <cell r="F149">
            <v>0</v>
          </cell>
        </row>
        <row r="150">
          <cell r="A150">
            <v>44917</v>
          </cell>
          <cell r="B150" t="str">
            <v>for me</v>
          </cell>
          <cell r="C150">
            <v>0</v>
          </cell>
          <cell r="D150">
            <v>700</v>
          </cell>
          <cell r="E150">
            <v>0</v>
          </cell>
          <cell r="F150">
            <v>500</v>
          </cell>
        </row>
        <row r="156">
          <cell r="A156">
            <v>44918</v>
          </cell>
          <cell r="B156" t="str">
            <v>Refill</v>
          </cell>
          <cell r="C156">
            <v>38908.99</v>
          </cell>
          <cell r="D156">
            <v>0</v>
          </cell>
          <cell r="E156">
            <v>0</v>
          </cell>
          <cell r="F156">
            <v>0</v>
          </cell>
        </row>
        <row r="157">
          <cell r="A157">
            <v>44918</v>
          </cell>
          <cell r="B157" t="str">
            <v>VM</v>
          </cell>
          <cell r="C157">
            <v>0</v>
          </cell>
          <cell r="D157">
            <v>102</v>
          </cell>
          <cell r="E157">
            <v>0</v>
          </cell>
          <cell r="F157">
            <v>0</v>
          </cell>
        </row>
        <row r="163">
          <cell r="A163">
            <v>44919</v>
          </cell>
          <cell r="B163" t="str">
            <v>VM</v>
          </cell>
          <cell r="C163">
            <v>0</v>
          </cell>
          <cell r="D163">
            <v>2120</v>
          </cell>
          <cell r="E163">
            <v>0</v>
          </cell>
          <cell r="F163">
            <v>0</v>
          </cell>
        </row>
        <row r="164">
          <cell r="A164">
            <v>44919</v>
          </cell>
          <cell r="B164" t="str">
            <v>Refill</v>
          </cell>
          <cell r="C164">
            <v>1000</v>
          </cell>
          <cell r="D164">
            <v>0</v>
          </cell>
          <cell r="E164">
            <v>0</v>
          </cell>
          <cell r="F164">
            <v>0</v>
          </cell>
        </row>
        <row r="165">
          <cell r="A165">
            <v>44919</v>
          </cell>
          <cell r="B165" t="str">
            <v>LM</v>
          </cell>
          <cell r="C165">
            <v>0</v>
          </cell>
          <cell r="D165">
            <v>824.98</v>
          </cell>
          <cell r="E165">
            <v>0</v>
          </cell>
          <cell r="F165">
            <v>0</v>
          </cell>
        </row>
        <row r="166">
          <cell r="A166">
            <v>44919</v>
          </cell>
          <cell r="B166" t="str">
            <v>Party</v>
          </cell>
          <cell r="C166">
            <v>0</v>
          </cell>
          <cell r="D166">
            <v>500</v>
          </cell>
          <cell r="E166">
            <v>0</v>
          </cell>
          <cell r="F166">
            <v>4200</v>
          </cell>
        </row>
        <row r="167">
          <cell r="A167">
            <v>44919</v>
          </cell>
          <cell r="B167" t="str">
            <v>Education</v>
          </cell>
          <cell r="C167">
            <v>0</v>
          </cell>
          <cell r="D167">
            <v>2300</v>
          </cell>
          <cell r="E167">
            <v>0</v>
          </cell>
          <cell r="F167">
            <v>0</v>
          </cell>
        </row>
        <row r="170">
          <cell r="A170">
            <v>44920</v>
          </cell>
          <cell r="B170" t="str">
            <v>Andere</v>
          </cell>
          <cell r="C170">
            <v>0</v>
          </cell>
          <cell r="D170">
            <v>100</v>
          </cell>
          <cell r="E170">
            <v>0</v>
          </cell>
          <cell r="F170">
            <v>0</v>
          </cell>
        </row>
        <row r="171">
          <cell r="A171">
            <v>44920</v>
          </cell>
          <cell r="B171" t="str">
            <v>VM</v>
          </cell>
          <cell r="C171">
            <v>0</v>
          </cell>
          <cell r="D171">
            <v>102</v>
          </cell>
          <cell r="E171">
            <v>0</v>
          </cell>
          <cell r="F171">
            <v>0</v>
          </cell>
        </row>
        <row r="172">
          <cell r="A172">
            <v>44920</v>
          </cell>
          <cell r="B172" t="str">
            <v>LM</v>
          </cell>
          <cell r="C172">
            <v>0</v>
          </cell>
          <cell r="D172">
            <v>360</v>
          </cell>
          <cell r="E172">
            <v>0</v>
          </cell>
          <cell r="F172">
            <v>0</v>
          </cell>
        </row>
        <row r="173">
          <cell r="A173">
            <v>44920</v>
          </cell>
          <cell r="B173" t="str">
            <v>Party</v>
          </cell>
          <cell r="C173">
            <v>0</v>
          </cell>
          <cell r="D173">
            <v>624</v>
          </cell>
          <cell r="E173">
            <v>0</v>
          </cell>
          <cell r="F173">
            <v>0</v>
          </cell>
        </row>
        <row r="174">
          <cell r="A174">
            <v>44920</v>
          </cell>
          <cell r="B174" t="str">
            <v>none</v>
          </cell>
          <cell r="C174">
            <v>0</v>
          </cell>
          <cell r="D174">
            <v>2000</v>
          </cell>
          <cell r="E174">
            <v>0</v>
          </cell>
          <cell r="F174">
            <v>0</v>
          </cell>
        </row>
        <row r="177">
          <cell r="A177">
            <v>44921</v>
          </cell>
          <cell r="B177" t="str">
            <v>LM</v>
          </cell>
          <cell r="C177">
            <v>0</v>
          </cell>
          <cell r="D177">
            <v>592</v>
          </cell>
          <cell r="E177">
            <v>0</v>
          </cell>
          <cell r="F177">
            <v>0</v>
          </cell>
        </row>
        <row r="178">
          <cell r="A178">
            <v>44921</v>
          </cell>
          <cell r="B178" t="str">
            <v>Rauchen</v>
          </cell>
          <cell r="C178">
            <v>0</v>
          </cell>
          <cell r="D178">
            <v>140</v>
          </cell>
          <cell r="E178">
            <v>0</v>
          </cell>
          <cell r="F178">
            <v>0</v>
          </cell>
        </row>
        <row r="184">
          <cell r="A184">
            <v>44922</v>
          </cell>
          <cell r="B184" t="str">
            <v>LM</v>
          </cell>
          <cell r="C184">
            <v>0</v>
          </cell>
          <cell r="D184">
            <v>995.97</v>
          </cell>
          <cell r="E184">
            <v>0</v>
          </cell>
          <cell r="F184">
            <v>0</v>
          </cell>
        </row>
        <row r="185">
          <cell r="A185">
            <v>44922</v>
          </cell>
          <cell r="B185" t="str">
            <v>Andere</v>
          </cell>
          <cell r="C185">
            <v>0</v>
          </cell>
          <cell r="D185">
            <v>12800</v>
          </cell>
          <cell r="E185">
            <v>0</v>
          </cell>
          <cell r="F185">
            <v>0</v>
          </cell>
        </row>
        <row r="191">
          <cell r="A191">
            <v>44923</v>
          </cell>
          <cell r="B191" t="str">
            <v>LM</v>
          </cell>
          <cell r="C191">
            <v>0</v>
          </cell>
          <cell r="D191">
            <v>398</v>
          </cell>
          <cell r="E191">
            <v>0</v>
          </cell>
          <cell r="F191">
            <v>0</v>
          </cell>
        </row>
        <row r="192">
          <cell r="A192">
            <v>44923</v>
          </cell>
          <cell r="B192" t="str">
            <v>Refill</v>
          </cell>
          <cell r="C192">
            <v>467</v>
          </cell>
          <cell r="D192">
            <v>0</v>
          </cell>
          <cell r="E192">
            <v>0</v>
          </cell>
          <cell r="F192">
            <v>0</v>
          </cell>
        </row>
        <row r="193">
          <cell r="A193">
            <v>44923</v>
          </cell>
          <cell r="B193" t="str">
            <v>VM</v>
          </cell>
          <cell r="C193">
            <v>0</v>
          </cell>
          <cell r="D193">
            <v>102</v>
          </cell>
          <cell r="E193">
            <v>0</v>
          </cell>
          <cell r="F193">
            <v>0</v>
          </cell>
        </row>
        <row r="194">
          <cell r="A194">
            <v>44923</v>
          </cell>
          <cell r="B194" t="str">
            <v>Frauen</v>
          </cell>
          <cell r="C194">
            <v>0</v>
          </cell>
          <cell r="D194">
            <v>3740</v>
          </cell>
          <cell r="E194">
            <v>0</v>
          </cell>
          <cell r="F194">
            <v>0</v>
          </cell>
        </row>
        <row r="198">
          <cell r="A198">
            <v>44924</v>
          </cell>
          <cell r="B198" t="str">
            <v>Andere</v>
          </cell>
          <cell r="C198">
            <v>0</v>
          </cell>
          <cell r="D198">
            <v>550</v>
          </cell>
          <cell r="E198">
            <v>0</v>
          </cell>
          <cell r="F198">
            <v>0</v>
          </cell>
        </row>
        <row r="199">
          <cell r="A199">
            <v>44924</v>
          </cell>
          <cell r="B199" t="str">
            <v>Rauchen</v>
          </cell>
          <cell r="C199">
            <v>0</v>
          </cell>
          <cell r="D199">
            <v>140</v>
          </cell>
          <cell r="E199">
            <v>0</v>
          </cell>
          <cell r="F199">
            <v>0</v>
          </cell>
        </row>
        <row r="200">
          <cell r="A200">
            <v>44924</v>
          </cell>
          <cell r="B200" t="str">
            <v>Refill</v>
          </cell>
          <cell r="C200">
            <v>223</v>
          </cell>
          <cell r="D200">
            <v>0</v>
          </cell>
          <cell r="E200">
            <v>0</v>
          </cell>
          <cell r="F200">
            <v>0</v>
          </cell>
        </row>
        <row r="201">
          <cell r="A201">
            <v>44924</v>
          </cell>
          <cell r="B201" t="str">
            <v>LM</v>
          </cell>
          <cell r="C201">
            <v>0</v>
          </cell>
          <cell r="D201">
            <v>0</v>
          </cell>
          <cell r="E201">
            <v>0</v>
          </cell>
          <cell r="F201">
            <v>240</v>
          </cell>
        </row>
        <row r="202">
          <cell r="A202">
            <v>44924</v>
          </cell>
          <cell r="B202" t="str">
            <v>Refill</v>
          </cell>
          <cell r="C202">
            <v>136355.01</v>
          </cell>
          <cell r="D202">
            <v>0</v>
          </cell>
          <cell r="E202">
            <v>0</v>
          </cell>
          <cell r="F202">
            <v>0</v>
          </cell>
        </row>
        <row r="203">
          <cell r="A203">
            <v>44924</v>
          </cell>
          <cell r="B203" t="str">
            <v>LM</v>
          </cell>
          <cell r="C203">
            <v>0</v>
          </cell>
          <cell r="D203">
            <v>2023</v>
          </cell>
          <cell r="E203">
            <v>0</v>
          </cell>
          <cell r="F203">
            <v>0</v>
          </cell>
        </row>
        <row r="204">
          <cell r="A204">
            <v>44924</v>
          </cell>
          <cell r="B204" t="str">
            <v>VM</v>
          </cell>
          <cell r="C204">
            <v>0</v>
          </cell>
          <cell r="D204">
            <v>102</v>
          </cell>
          <cell r="E204">
            <v>0</v>
          </cell>
          <cell r="F204">
            <v>0</v>
          </cell>
        </row>
        <row r="206">
          <cell r="A206">
            <v>44925</v>
          </cell>
          <cell r="B206" t="str">
            <v>Kleidung</v>
          </cell>
          <cell r="C206">
            <v>0</v>
          </cell>
          <cell r="D206">
            <v>5643</v>
          </cell>
          <cell r="E206">
            <v>0</v>
          </cell>
          <cell r="F206">
            <v>0</v>
          </cell>
        </row>
        <row r="207">
          <cell r="A207">
            <v>44925</v>
          </cell>
          <cell r="B207" t="str">
            <v>LM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</row>
        <row r="212">
          <cell r="A212">
            <v>44926</v>
          </cell>
          <cell r="B212" t="str">
            <v>VM</v>
          </cell>
          <cell r="C212">
            <v>0</v>
          </cell>
          <cell r="D212">
            <v>153</v>
          </cell>
          <cell r="E212">
            <v>0</v>
          </cell>
          <cell r="F212">
            <v>0</v>
          </cell>
        </row>
        <row r="213">
          <cell r="A213">
            <v>44926</v>
          </cell>
          <cell r="B213" t="str">
            <v>LM</v>
          </cell>
          <cell r="C213">
            <v>0</v>
          </cell>
          <cell r="D213">
            <v>696</v>
          </cell>
          <cell r="E213">
            <v>0</v>
          </cell>
          <cell r="F213">
            <v>0</v>
          </cell>
        </row>
        <row r="214">
          <cell r="A214">
            <v>44926</v>
          </cell>
          <cell r="B214" t="str">
            <v>Party</v>
          </cell>
          <cell r="C214">
            <v>0</v>
          </cell>
          <cell r="D214">
            <v>1600</v>
          </cell>
          <cell r="E214">
            <v>0</v>
          </cell>
        </row>
        <row r="215">
          <cell r="A215">
            <v>44926</v>
          </cell>
          <cell r="B215" t="str">
            <v>Refill</v>
          </cell>
          <cell r="C215">
            <v>1921.1699999999998</v>
          </cell>
          <cell r="D215">
            <v>0</v>
          </cell>
          <cell r="E215">
            <v>0</v>
          </cell>
          <cell r="F215">
            <v>0</v>
          </cell>
        </row>
      </sheetData>
      <sheetData sheetId="27">
        <row r="2">
          <cell r="A2">
            <v>44927</v>
          </cell>
          <cell r="B2" t="str">
            <v>VM</v>
          </cell>
          <cell r="C2">
            <v>0</v>
          </cell>
          <cell r="D2">
            <v>1368</v>
          </cell>
          <cell r="E2">
            <v>0</v>
          </cell>
          <cell r="F2">
            <v>0</v>
          </cell>
        </row>
        <row r="3">
          <cell r="A3">
            <v>44927</v>
          </cell>
          <cell r="B3" t="str">
            <v>none</v>
          </cell>
          <cell r="C3">
            <v>0</v>
          </cell>
          <cell r="D3">
            <v>1000</v>
          </cell>
          <cell r="E3">
            <v>1000</v>
          </cell>
          <cell r="F3">
            <v>0</v>
          </cell>
        </row>
        <row r="9">
          <cell r="A9">
            <v>44928</v>
          </cell>
          <cell r="B9" t="str">
            <v>Party</v>
          </cell>
          <cell r="C9">
            <v>0</v>
          </cell>
          <cell r="D9">
            <v>1800</v>
          </cell>
          <cell r="E9">
            <v>0</v>
          </cell>
          <cell r="F9">
            <v>0</v>
          </cell>
        </row>
        <row r="10">
          <cell r="A10">
            <v>44928</v>
          </cell>
          <cell r="B10" t="str">
            <v>VM</v>
          </cell>
          <cell r="C10">
            <v>0</v>
          </cell>
          <cell r="D10">
            <v>51</v>
          </cell>
          <cell r="E10">
            <v>0</v>
          </cell>
          <cell r="F10">
            <v>0</v>
          </cell>
        </row>
        <row r="11">
          <cell r="A11">
            <v>44928</v>
          </cell>
          <cell r="B11" t="str">
            <v>VM</v>
          </cell>
          <cell r="C11">
            <v>0</v>
          </cell>
          <cell r="D11">
            <v>1800</v>
          </cell>
          <cell r="E11">
            <v>0</v>
          </cell>
          <cell r="F11">
            <v>0</v>
          </cell>
        </row>
        <row r="12">
          <cell r="A12">
            <v>44928</v>
          </cell>
          <cell r="B12" t="str">
            <v>LM</v>
          </cell>
          <cell r="C12">
            <v>0</v>
          </cell>
          <cell r="D12">
            <v>1470</v>
          </cell>
          <cell r="E12">
            <v>0</v>
          </cell>
          <cell r="F12">
            <v>0</v>
          </cell>
        </row>
        <row r="16">
          <cell r="A16">
            <v>44929</v>
          </cell>
          <cell r="B16" t="str">
            <v>Andere</v>
          </cell>
          <cell r="C16">
            <v>0</v>
          </cell>
          <cell r="D16">
            <v>299</v>
          </cell>
          <cell r="E16">
            <v>0</v>
          </cell>
          <cell r="F16">
            <v>0</v>
          </cell>
        </row>
        <row r="17">
          <cell r="A17">
            <v>44929</v>
          </cell>
          <cell r="B17" t="str">
            <v>Rauchen</v>
          </cell>
          <cell r="C17">
            <v>0</v>
          </cell>
          <cell r="D17">
            <v>140</v>
          </cell>
          <cell r="E17">
            <v>0</v>
          </cell>
          <cell r="F17">
            <v>0</v>
          </cell>
        </row>
        <row r="18">
          <cell r="A18">
            <v>44929</v>
          </cell>
          <cell r="B18" t="str">
            <v>Kleidung</v>
          </cell>
          <cell r="C18">
            <v>0</v>
          </cell>
          <cell r="D18">
            <v>4198</v>
          </cell>
          <cell r="E18">
            <v>0</v>
          </cell>
          <cell r="F18">
            <v>0</v>
          </cell>
        </row>
        <row r="23">
          <cell r="A23">
            <v>44930</v>
          </cell>
          <cell r="B23" t="str">
            <v>Party</v>
          </cell>
          <cell r="C23">
            <v>0</v>
          </cell>
          <cell r="D23">
            <v>600</v>
          </cell>
          <cell r="E23">
            <v>0</v>
          </cell>
          <cell r="F23">
            <v>0</v>
          </cell>
        </row>
        <row r="24">
          <cell r="A24">
            <v>44930</v>
          </cell>
          <cell r="B24" t="str">
            <v>Andere</v>
          </cell>
          <cell r="C24">
            <v>0</v>
          </cell>
          <cell r="D24">
            <v>550</v>
          </cell>
          <cell r="E24">
            <v>0</v>
          </cell>
          <cell r="F24">
            <v>0</v>
          </cell>
        </row>
        <row r="25">
          <cell r="A25">
            <v>44930</v>
          </cell>
          <cell r="B25" t="str">
            <v>Andere</v>
          </cell>
          <cell r="C25">
            <v>0</v>
          </cell>
          <cell r="D25">
            <v>600</v>
          </cell>
          <cell r="E25">
            <v>0</v>
          </cell>
          <cell r="F25">
            <v>0</v>
          </cell>
        </row>
        <row r="26">
          <cell r="A26">
            <v>44930</v>
          </cell>
          <cell r="B26" t="str">
            <v>Andere</v>
          </cell>
          <cell r="C26">
            <v>0</v>
          </cell>
          <cell r="D26">
            <v>370.2</v>
          </cell>
          <cell r="E26">
            <v>0</v>
          </cell>
          <cell r="F26">
            <v>0</v>
          </cell>
        </row>
        <row r="27">
          <cell r="A27">
            <v>44930</v>
          </cell>
          <cell r="B27" t="str">
            <v>Andere</v>
          </cell>
          <cell r="C27">
            <v>0</v>
          </cell>
          <cell r="D27">
            <v>500</v>
          </cell>
          <cell r="E27">
            <v>0</v>
          </cell>
          <cell r="F27">
            <v>0</v>
          </cell>
        </row>
        <row r="28">
          <cell r="A28">
            <v>44930</v>
          </cell>
          <cell r="B28" t="str">
            <v>Party</v>
          </cell>
          <cell r="C28">
            <v>0</v>
          </cell>
          <cell r="D28">
            <v>3990</v>
          </cell>
          <cell r="E28">
            <v>0</v>
          </cell>
          <cell r="F28">
            <v>600</v>
          </cell>
        </row>
        <row r="29">
          <cell r="A29">
            <v>44930</v>
          </cell>
          <cell r="B29" t="str">
            <v>none</v>
          </cell>
          <cell r="C29">
            <v>0</v>
          </cell>
          <cell r="D29">
            <v>5500</v>
          </cell>
          <cell r="E29">
            <v>5500</v>
          </cell>
          <cell r="F29">
            <v>0</v>
          </cell>
        </row>
        <row r="30">
          <cell r="A30">
            <v>44931</v>
          </cell>
          <cell r="B30" t="str">
            <v>VM</v>
          </cell>
          <cell r="C30">
            <v>0</v>
          </cell>
          <cell r="D30">
            <v>918</v>
          </cell>
          <cell r="E30">
            <v>0</v>
          </cell>
          <cell r="F30">
            <v>0</v>
          </cell>
        </row>
        <row r="31">
          <cell r="A31">
            <v>44931</v>
          </cell>
          <cell r="B31" t="str">
            <v>LM</v>
          </cell>
          <cell r="C31">
            <v>0</v>
          </cell>
          <cell r="D31">
            <v>790.99</v>
          </cell>
          <cell r="E31">
            <v>0</v>
          </cell>
          <cell r="F31">
            <v>0</v>
          </cell>
        </row>
        <row r="32">
          <cell r="A32">
            <v>44931</v>
          </cell>
          <cell r="B32" t="str">
            <v>Andere</v>
          </cell>
          <cell r="C32">
            <v>0</v>
          </cell>
          <cell r="D32">
            <v>337.8</v>
          </cell>
          <cell r="E32">
            <v>0</v>
          </cell>
          <cell r="F32">
            <v>0</v>
          </cell>
        </row>
        <row r="33">
          <cell r="A33">
            <v>44931</v>
          </cell>
          <cell r="B33" t="str">
            <v>Frauen</v>
          </cell>
          <cell r="C33">
            <v>0</v>
          </cell>
          <cell r="D33">
            <v>1500</v>
          </cell>
          <cell r="E33">
            <v>0</v>
          </cell>
          <cell r="F33">
            <v>0</v>
          </cell>
        </row>
        <row r="34">
          <cell r="A34">
            <v>44931</v>
          </cell>
          <cell r="B34" t="str">
            <v>Frauen</v>
          </cell>
          <cell r="C34">
            <v>0</v>
          </cell>
          <cell r="D34">
            <v>5000</v>
          </cell>
          <cell r="E34">
            <v>0</v>
          </cell>
          <cell r="F34">
            <v>0</v>
          </cell>
        </row>
        <row r="35">
          <cell r="A35">
            <v>44931</v>
          </cell>
          <cell r="B35" t="str">
            <v>Andere</v>
          </cell>
          <cell r="C35">
            <v>0</v>
          </cell>
          <cell r="D35">
            <v>216</v>
          </cell>
          <cell r="E35">
            <v>0</v>
          </cell>
          <cell r="F35">
            <v>0</v>
          </cell>
        </row>
        <row r="37">
          <cell r="A37">
            <v>44932</v>
          </cell>
          <cell r="B37" t="str">
            <v>Rauchen</v>
          </cell>
          <cell r="C37">
            <v>0</v>
          </cell>
          <cell r="D37">
            <v>140</v>
          </cell>
          <cell r="E37">
            <v>0</v>
          </cell>
          <cell r="F37">
            <v>0</v>
          </cell>
        </row>
        <row r="38">
          <cell r="A38">
            <v>44932</v>
          </cell>
          <cell r="B38" t="str">
            <v>VM</v>
          </cell>
          <cell r="C38">
            <v>0</v>
          </cell>
          <cell r="D38">
            <v>83</v>
          </cell>
          <cell r="E38">
            <v>0</v>
          </cell>
          <cell r="F38">
            <v>0</v>
          </cell>
        </row>
        <row r="39">
          <cell r="A39">
            <v>44932</v>
          </cell>
          <cell r="B39" t="str">
            <v>Party</v>
          </cell>
          <cell r="C39">
            <v>0</v>
          </cell>
          <cell r="D39">
            <v>1800</v>
          </cell>
          <cell r="E39">
            <v>0</v>
          </cell>
          <cell r="F39">
            <v>0</v>
          </cell>
        </row>
        <row r="51">
          <cell r="A51">
            <v>44934</v>
          </cell>
          <cell r="B51" t="str">
            <v>Kleidung</v>
          </cell>
          <cell r="C51">
            <v>0</v>
          </cell>
          <cell r="D51">
            <v>3688</v>
          </cell>
          <cell r="E51">
            <v>0</v>
          </cell>
          <cell r="F51">
            <v>0</v>
          </cell>
        </row>
        <row r="52">
          <cell r="A52">
            <v>44934</v>
          </cell>
          <cell r="B52" t="str">
            <v>none</v>
          </cell>
          <cell r="C52">
            <v>0</v>
          </cell>
          <cell r="D52">
            <v>8000</v>
          </cell>
          <cell r="E52">
            <v>8000</v>
          </cell>
          <cell r="F52">
            <v>0</v>
          </cell>
        </row>
        <row r="53">
          <cell r="A53">
            <v>44934</v>
          </cell>
          <cell r="B53" t="str">
            <v>Andere</v>
          </cell>
          <cell r="C53">
            <v>0</v>
          </cell>
          <cell r="D53">
            <v>603.9</v>
          </cell>
          <cell r="E53">
            <v>0</v>
          </cell>
          <cell r="F53">
            <v>0</v>
          </cell>
        </row>
        <row r="58">
          <cell r="A58">
            <v>44935</v>
          </cell>
          <cell r="B58" t="str">
            <v>VM</v>
          </cell>
          <cell r="C58">
            <v>0</v>
          </cell>
          <cell r="D58">
            <v>210</v>
          </cell>
          <cell r="E58">
            <v>0</v>
          </cell>
          <cell r="F58">
            <v>0</v>
          </cell>
        </row>
        <row r="59">
          <cell r="A59">
            <v>44935</v>
          </cell>
          <cell r="B59" t="str">
            <v>for me</v>
          </cell>
          <cell r="C59">
            <v>0</v>
          </cell>
          <cell r="D59">
            <v>0</v>
          </cell>
          <cell r="E59">
            <v>0</v>
          </cell>
          <cell r="F59">
            <v>2500</v>
          </cell>
        </row>
        <row r="65">
          <cell r="A65">
            <v>44936</v>
          </cell>
          <cell r="B65" t="str">
            <v>VM</v>
          </cell>
          <cell r="C65">
            <v>0</v>
          </cell>
          <cell r="D65">
            <v>1495</v>
          </cell>
          <cell r="E65">
            <v>0</v>
          </cell>
          <cell r="F65">
            <v>0</v>
          </cell>
        </row>
        <row r="66">
          <cell r="A66">
            <v>44936</v>
          </cell>
          <cell r="B66" t="str">
            <v>LM</v>
          </cell>
          <cell r="C66">
            <v>0</v>
          </cell>
          <cell r="D66">
            <v>787</v>
          </cell>
          <cell r="E66">
            <v>0</v>
          </cell>
          <cell r="F66">
            <v>0</v>
          </cell>
        </row>
        <row r="67">
          <cell r="A67">
            <v>44936</v>
          </cell>
          <cell r="B67" t="str">
            <v>Rauchen</v>
          </cell>
          <cell r="C67">
            <v>0</v>
          </cell>
          <cell r="D67">
            <v>140</v>
          </cell>
          <cell r="E67">
            <v>0</v>
          </cell>
          <cell r="F67">
            <v>0</v>
          </cell>
        </row>
        <row r="68">
          <cell r="A68">
            <v>44936</v>
          </cell>
          <cell r="B68" t="str">
            <v>none</v>
          </cell>
          <cell r="C68">
            <v>0</v>
          </cell>
          <cell r="D68">
            <v>110</v>
          </cell>
          <cell r="E68">
            <v>110</v>
          </cell>
          <cell r="F68">
            <v>0</v>
          </cell>
        </row>
        <row r="72">
          <cell r="A72">
            <v>44937</v>
          </cell>
          <cell r="B72" t="str">
            <v>LM</v>
          </cell>
          <cell r="C72">
            <v>0</v>
          </cell>
          <cell r="D72">
            <v>490</v>
          </cell>
          <cell r="E72">
            <v>0</v>
          </cell>
          <cell r="F72">
            <v>0</v>
          </cell>
        </row>
        <row r="73">
          <cell r="A73">
            <v>44937</v>
          </cell>
          <cell r="B73" t="str">
            <v>Andere</v>
          </cell>
          <cell r="C73">
            <v>0</v>
          </cell>
          <cell r="D73">
            <v>0</v>
          </cell>
          <cell r="E73">
            <v>0</v>
          </cell>
          <cell r="F73">
            <v>257.55</v>
          </cell>
        </row>
        <row r="79">
          <cell r="A79">
            <v>44938</v>
          </cell>
          <cell r="B79" t="str">
            <v>VM</v>
          </cell>
          <cell r="C79">
            <v>0</v>
          </cell>
          <cell r="D79">
            <v>305</v>
          </cell>
          <cell r="E79">
            <v>0</v>
          </cell>
          <cell r="F79">
            <v>0</v>
          </cell>
        </row>
        <row r="80">
          <cell r="A80">
            <v>44938</v>
          </cell>
          <cell r="B80" t="str">
            <v>LM</v>
          </cell>
          <cell r="C80">
            <v>0</v>
          </cell>
          <cell r="D80">
            <v>829.97</v>
          </cell>
          <cell r="E80">
            <v>0</v>
          </cell>
          <cell r="F80">
            <v>280</v>
          </cell>
        </row>
        <row r="81">
          <cell r="A81">
            <v>44938</v>
          </cell>
          <cell r="B81" t="str">
            <v>Rauchen</v>
          </cell>
          <cell r="C81">
            <v>0</v>
          </cell>
          <cell r="D81">
            <v>140</v>
          </cell>
          <cell r="E81">
            <v>0</v>
          </cell>
          <cell r="F81">
            <v>0</v>
          </cell>
        </row>
        <row r="82">
          <cell r="A82">
            <v>44938</v>
          </cell>
          <cell r="B82" t="str">
            <v>VM</v>
          </cell>
          <cell r="C82">
            <v>0</v>
          </cell>
          <cell r="D82">
            <v>112</v>
          </cell>
          <cell r="E82">
            <v>0</v>
          </cell>
          <cell r="F82">
            <v>0</v>
          </cell>
        </row>
        <row r="83">
          <cell r="A83">
            <v>44938</v>
          </cell>
          <cell r="B83" t="str">
            <v>Refill</v>
          </cell>
          <cell r="C83">
            <v>15208.65</v>
          </cell>
          <cell r="D83">
            <v>0</v>
          </cell>
          <cell r="E83">
            <v>0</v>
          </cell>
          <cell r="F83">
            <v>0</v>
          </cell>
        </row>
        <row r="86">
          <cell r="A86">
            <v>44939</v>
          </cell>
          <cell r="B86" t="str">
            <v>for me</v>
          </cell>
          <cell r="C86">
            <v>0</v>
          </cell>
          <cell r="D86">
            <v>500</v>
          </cell>
          <cell r="E86">
            <v>0</v>
          </cell>
          <cell r="F86">
            <v>0</v>
          </cell>
        </row>
        <row r="87">
          <cell r="A87">
            <v>44939</v>
          </cell>
          <cell r="B87" t="str">
            <v>Party</v>
          </cell>
          <cell r="C87">
            <v>0</v>
          </cell>
          <cell r="D87">
            <v>2920</v>
          </cell>
          <cell r="E87">
            <v>0</v>
          </cell>
          <cell r="F87">
            <v>0</v>
          </cell>
        </row>
        <row r="88">
          <cell r="A88">
            <v>44939</v>
          </cell>
          <cell r="B88" t="str">
            <v>none</v>
          </cell>
          <cell r="C88">
            <v>0</v>
          </cell>
          <cell r="D88">
            <v>330</v>
          </cell>
          <cell r="E88">
            <v>330</v>
          </cell>
          <cell r="F88">
            <v>0</v>
          </cell>
        </row>
        <row r="89">
          <cell r="A89">
            <v>44939</v>
          </cell>
          <cell r="B89" t="str">
            <v>none</v>
          </cell>
          <cell r="C89">
            <v>0</v>
          </cell>
          <cell r="D89">
            <v>2550</v>
          </cell>
          <cell r="E89">
            <v>2550</v>
          </cell>
          <cell r="F89">
            <v>0</v>
          </cell>
        </row>
        <row r="93">
          <cell r="A93">
            <v>44940</v>
          </cell>
          <cell r="B93" t="str">
            <v>for me</v>
          </cell>
          <cell r="C93">
            <v>0</v>
          </cell>
          <cell r="D93">
            <v>1803</v>
          </cell>
          <cell r="E93">
            <v>0</v>
          </cell>
          <cell r="F93">
            <v>0</v>
          </cell>
        </row>
        <row r="94">
          <cell r="A94">
            <v>44940</v>
          </cell>
          <cell r="B94" t="str">
            <v>LM</v>
          </cell>
          <cell r="C94">
            <v>0</v>
          </cell>
          <cell r="D94">
            <v>1449.35</v>
          </cell>
          <cell r="E94">
            <v>0</v>
          </cell>
          <cell r="F94">
            <v>0</v>
          </cell>
        </row>
        <row r="95">
          <cell r="A95">
            <v>44940</v>
          </cell>
          <cell r="B95" t="str">
            <v>VM</v>
          </cell>
          <cell r="C95">
            <v>0</v>
          </cell>
          <cell r="D95">
            <v>56</v>
          </cell>
          <cell r="E95">
            <v>0</v>
          </cell>
          <cell r="F95">
            <v>0</v>
          </cell>
        </row>
        <row r="100">
          <cell r="A100">
            <v>44941</v>
          </cell>
          <cell r="B100" t="str">
            <v>VM</v>
          </cell>
          <cell r="C100">
            <v>0</v>
          </cell>
          <cell r="D100">
            <v>570</v>
          </cell>
          <cell r="E100">
            <v>0</v>
          </cell>
          <cell r="F100">
            <v>0</v>
          </cell>
        </row>
        <row r="101">
          <cell r="A101">
            <v>44941</v>
          </cell>
          <cell r="B101" t="str">
            <v>VM</v>
          </cell>
          <cell r="C101">
            <v>0</v>
          </cell>
          <cell r="D101">
            <v>112</v>
          </cell>
          <cell r="E101">
            <v>0</v>
          </cell>
          <cell r="F101">
            <v>0</v>
          </cell>
        </row>
        <row r="102">
          <cell r="A102">
            <v>44941</v>
          </cell>
          <cell r="B102" t="str">
            <v>Rauchen</v>
          </cell>
          <cell r="C102">
            <v>0</v>
          </cell>
          <cell r="D102">
            <v>140</v>
          </cell>
          <cell r="E102">
            <v>0</v>
          </cell>
          <cell r="F102">
            <v>0</v>
          </cell>
        </row>
        <row r="103">
          <cell r="A103">
            <v>44941</v>
          </cell>
          <cell r="B103" t="str">
            <v>LM</v>
          </cell>
          <cell r="C103">
            <v>0</v>
          </cell>
          <cell r="D103">
            <v>610</v>
          </cell>
          <cell r="E103">
            <v>0</v>
          </cell>
          <cell r="F103">
            <v>0</v>
          </cell>
        </row>
        <row r="107">
          <cell r="A107">
            <v>44942</v>
          </cell>
          <cell r="B107" t="str">
            <v>LM</v>
          </cell>
          <cell r="C107">
            <v>0</v>
          </cell>
          <cell r="D107">
            <v>972</v>
          </cell>
          <cell r="E107">
            <v>0</v>
          </cell>
          <cell r="F107">
            <v>0</v>
          </cell>
        </row>
        <row r="108">
          <cell r="A108">
            <v>44942</v>
          </cell>
          <cell r="B108" t="str">
            <v>VM</v>
          </cell>
          <cell r="C108">
            <v>0</v>
          </cell>
          <cell r="D108">
            <v>56</v>
          </cell>
          <cell r="E108">
            <v>0</v>
          </cell>
          <cell r="F108">
            <v>0</v>
          </cell>
        </row>
        <row r="114">
          <cell r="A114">
            <v>44943</v>
          </cell>
          <cell r="B114" t="str">
            <v>Party</v>
          </cell>
          <cell r="C114">
            <v>0</v>
          </cell>
          <cell r="D114">
            <v>3750</v>
          </cell>
          <cell r="E114">
            <v>0</v>
          </cell>
          <cell r="F114">
            <v>0</v>
          </cell>
        </row>
        <row r="121">
          <cell r="A121">
            <v>44944</v>
          </cell>
          <cell r="B121" t="str">
            <v>Andere</v>
          </cell>
          <cell r="C121">
            <v>0</v>
          </cell>
          <cell r="D121">
            <v>356</v>
          </cell>
          <cell r="E121">
            <v>0</v>
          </cell>
          <cell r="F121">
            <v>0</v>
          </cell>
        </row>
        <row r="122">
          <cell r="A122">
            <v>44944</v>
          </cell>
          <cell r="B122" t="str">
            <v>LM</v>
          </cell>
          <cell r="C122">
            <v>0</v>
          </cell>
          <cell r="D122">
            <v>416</v>
          </cell>
          <cell r="E122">
            <v>0</v>
          </cell>
          <cell r="F122">
            <v>0</v>
          </cell>
        </row>
        <row r="123">
          <cell r="A123">
            <v>44944</v>
          </cell>
          <cell r="B123" t="str">
            <v>Rauchen</v>
          </cell>
          <cell r="C123">
            <v>0</v>
          </cell>
          <cell r="D123">
            <v>140</v>
          </cell>
          <cell r="E123">
            <v>0</v>
          </cell>
          <cell r="F123">
            <v>0</v>
          </cell>
        </row>
        <row r="124">
          <cell r="A124">
            <v>44944</v>
          </cell>
          <cell r="B124" t="str">
            <v>VM</v>
          </cell>
          <cell r="C124">
            <v>0</v>
          </cell>
          <cell r="D124">
            <v>0</v>
          </cell>
          <cell r="E124">
            <v>0</v>
          </cell>
          <cell r="F124">
            <v>300</v>
          </cell>
        </row>
        <row r="128">
          <cell r="A128">
            <v>44945</v>
          </cell>
          <cell r="B128" t="str">
            <v>LM</v>
          </cell>
          <cell r="C128">
            <v>0</v>
          </cell>
          <cell r="D128">
            <v>380</v>
          </cell>
          <cell r="E128">
            <v>0</v>
          </cell>
          <cell r="F128">
            <v>65</v>
          </cell>
        </row>
        <row r="129">
          <cell r="A129">
            <v>44945</v>
          </cell>
          <cell r="B129" t="str">
            <v>LM</v>
          </cell>
          <cell r="C129">
            <v>0</v>
          </cell>
          <cell r="D129">
            <v>299.97000000000003</v>
          </cell>
          <cell r="E129">
            <v>0</v>
          </cell>
          <cell r="F129">
            <v>0</v>
          </cell>
        </row>
        <row r="135">
          <cell r="A135">
            <v>44946</v>
          </cell>
          <cell r="B135" t="str">
            <v>Refill</v>
          </cell>
          <cell r="C135">
            <v>18250.98</v>
          </cell>
          <cell r="D135">
            <v>0</v>
          </cell>
          <cell r="E135">
            <v>0</v>
          </cell>
          <cell r="F135">
            <v>0</v>
          </cell>
        </row>
        <row r="136">
          <cell r="A136">
            <v>44946</v>
          </cell>
          <cell r="B136" t="str">
            <v>VM</v>
          </cell>
          <cell r="C136">
            <v>0</v>
          </cell>
          <cell r="D136">
            <v>112</v>
          </cell>
          <cell r="E136">
            <v>0</v>
          </cell>
          <cell r="F136">
            <v>400</v>
          </cell>
        </row>
        <row r="137">
          <cell r="A137">
            <v>44946</v>
          </cell>
          <cell r="B137" t="str">
            <v>Party</v>
          </cell>
          <cell r="C137">
            <v>0</v>
          </cell>
          <cell r="D137">
            <v>881</v>
          </cell>
          <cell r="E137">
            <v>0</v>
          </cell>
          <cell r="F137">
            <v>0</v>
          </cell>
        </row>
        <row r="138">
          <cell r="A138">
            <v>44946</v>
          </cell>
          <cell r="B138" t="str">
            <v>Party</v>
          </cell>
          <cell r="C138">
            <v>0</v>
          </cell>
          <cell r="D138">
            <v>1600</v>
          </cell>
          <cell r="E138">
            <v>0</v>
          </cell>
          <cell r="F138">
            <v>0</v>
          </cell>
        </row>
        <row r="139">
          <cell r="A139">
            <v>44946</v>
          </cell>
          <cell r="B139" t="str">
            <v>none</v>
          </cell>
          <cell r="C139">
            <v>0</v>
          </cell>
          <cell r="D139">
            <v>5700</v>
          </cell>
          <cell r="E139">
            <v>5700</v>
          </cell>
          <cell r="F139">
            <v>0</v>
          </cell>
        </row>
        <row r="142">
          <cell r="A142">
            <v>44947</v>
          </cell>
          <cell r="B142" t="str">
            <v>LM</v>
          </cell>
          <cell r="C142">
            <v>0</v>
          </cell>
          <cell r="D142">
            <v>706</v>
          </cell>
          <cell r="E142">
            <v>0</v>
          </cell>
          <cell r="F142">
            <v>240</v>
          </cell>
        </row>
        <row r="143">
          <cell r="A143">
            <v>44947</v>
          </cell>
          <cell r="B143" t="str">
            <v>VM</v>
          </cell>
          <cell r="C143">
            <v>0</v>
          </cell>
          <cell r="D143">
            <v>56</v>
          </cell>
          <cell r="E143">
            <v>0</v>
          </cell>
          <cell r="F143">
            <v>0</v>
          </cell>
        </row>
        <row r="144">
          <cell r="A144">
            <v>44947</v>
          </cell>
          <cell r="B144" t="str">
            <v>Rauchen</v>
          </cell>
          <cell r="C144">
            <v>0</v>
          </cell>
          <cell r="D144">
            <v>145</v>
          </cell>
          <cell r="E144">
            <v>0</v>
          </cell>
          <cell r="F144">
            <v>0</v>
          </cell>
        </row>
        <row r="145">
          <cell r="A145">
            <v>44947</v>
          </cell>
          <cell r="B145" t="str">
            <v>Andere</v>
          </cell>
          <cell r="C145">
            <v>0</v>
          </cell>
          <cell r="D145">
            <v>750</v>
          </cell>
          <cell r="E145">
            <v>0</v>
          </cell>
          <cell r="F145">
            <v>0</v>
          </cell>
        </row>
        <row r="149">
          <cell r="A149">
            <v>44948</v>
          </cell>
          <cell r="B149" t="str">
            <v>VM</v>
          </cell>
          <cell r="C149">
            <v>0</v>
          </cell>
          <cell r="D149">
            <v>56</v>
          </cell>
          <cell r="E149">
            <v>0</v>
          </cell>
          <cell r="F149">
            <v>0</v>
          </cell>
        </row>
        <row r="150">
          <cell r="A150">
            <v>44948</v>
          </cell>
          <cell r="B150" t="str">
            <v>for me</v>
          </cell>
          <cell r="C150">
            <v>0</v>
          </cell>
          <cell r="D150">
            <v>4550</v>
          </cell>
          <cell r="E150">
            <v>0</v>
          </cell>
          <cell r="F150">
            <v>0</v>
          </cell>
        </row>
        <row r="151">
          <cell r="A151">
            <v>44948</v>
          </cell>
          <cell r="B151" t="str">
            <v>LM</v>
          </cell>
          <cell r="C151">
            <v>0</v>
          </cell>
          <cell r="D151">
            <v>1564</v>
          </cell>
          <cell r="E151">
            <v>0</v>
          </cell>
          <cell r="F151">
            <v>0</v>
          </cell>
        </row>
        <row r="152">
          <cell r="A152">
            <v>44948</v>
          </cell>
          <cell r="B152" t="str">
            <v>LM</v>
          </cell>
          <cell r="C152">
            <v>0</v>
          </cell>
          <cell r="D152">
            <v>552</v>
          </cell>
          <cell r="E152">
            <v>0</v>
          </cell>
          <cell r="F152">
            <v>0</v>
          </cell>
        </row>
        <row r="156">
          <cell r="A156">
            <v>44949</v>
          </cell>
          <cell r="B156" t="str">
            <v>Andere</v>
          </cell>
          <cell r="C156">
            <v>0</v>
          </cell>
          <cell r="D156">
            <v>200</v>
          </cell>
          <cell r="E156">
            <v>0</v>
          </cell>
          <cell r="F156">
            <v>0</v>
          </cell>
        </row>
        <row r="157">
          <cell r="A157">
            <v>44949</v>
          </cell>
          <cell r="B157" t="str">
            <v>LM</v>
          </cell>
          <cell r="C157">
            <v>0</v>
          </cell>
          <cell r="D157">
            <v>425</v>
          </cell>
          <cell r="E157">
            <v>0</v>
          </cell>
          <cell r="F157">
            <v>0</v>
          </cell>
        </row>
        <row r="163">
          <cell r="A163">
            <v>44950</v>
          </cell>
          <cell r="B163" t="str">
            <v>Andere</v>
          </cell>
          <cell r="C163">
            <v>0</v>
          </cell>
          <cell r="D163">
            <v>235</v>
          </cell>
          <cell r="E163">
            <v>0</v>
          </cell>
          <cell r="F163">
            <v>0</v>
          </cell>
        </row>
        <row r="164">
          <cell r="A164">
            <v>44950</v>
          </cell>
          <cell r="B164" t="str">
            <v>Refill</v>
          </cell>
          <cell r="C164">
            <v>33729.03</v>
          </cell>
          <cell r="D164">
            <v>0</v>
          </cell>
          <cell r="E164">
            <v>0</v>
          </cell>
          <cell r="F164">
            <v>0</v>
          </cell>
        </row>
        <row r="165">
          <cell r="A165">
            <v>44950</v>
          </cell>
          <cell r="B165" t="str">
            <v>Rauchen</v>
          </cell>
          <cell r="C165">
            <v>0</v>
          </cell>
          <cell r="D165">
            <v>140</v>
          </cell>
          <cell r="E165">
            <v>0</v>
          </cell>
          <cell r="F165">
            <v>0</v>
          </cell>
        </row>
        <row r="166">
          <cell r="A166">
            <v>44950</v>
          </cell>
          <cell r="B166" t="str">
            <v>LM</v>
          </cell>
          <cell r="C166">
            <v>0</v>
          </cell>
          <cell r="D166">
            <v>2049.88</v>
          </cell>
          <cell r="E166">
            <v>0</v>
          </cell>
          <cell r="F166">
            <v>0</v>
          </cell>
        </row>
        <row r="167">
          <cell r="A167">
            <v>44950</v>
          </cell>
          <cell r="B167" t="str">
            <v>LM</v>
          </cell>
          <cell r="C167">
            <v>0</v>
          </cell>
          <cell r="D167">
            <v>0</v>
          </cell>
          <cell r="E167">
            <v>0</v>
          </cell>
          <cell r="F167">
            <v>200</v>
          </cell>
        </row>
        <row r="177">
          <cell r="A177">
            <v>44952</v>
          </cell>
          <cell r="B177" t="str">
            <v>LM</v>
          </cell>
          <cell r="C177">
            <v>0</v>
          </cell>
          <cell r="D177">
            <v>199.98</v>
          </cell>
          <cell r="E177">
            <v>0</v>
          </cell>
          <cell r="F177">
            <v>0</v>
          </cell>
        </row>
        <row r="184">
          <cell r="A184">
            <v>44953</v>
          </cell>
          <cell r="B184" t="str">
            <v>Rauchen</v>
          </cell>
          <cell r="C184">
            <v>0</v>
          </cell>
          <cell r="D184">
            <v>140</v>
          </cell>
          <cell r="E184">
            <v>0</v>
          </cell>
          <cell r="F184">
            <v>0</v>
          </cell>
        </row>
        <row r="185">
          <cell r="A185">
            <v>44953</v>
          </cell>
          <cell r="B185" t="str">
            <v>VM</v>
          </cell>
          <cell r="C185">
            <v>0</v>
          </cell>
          <cell r="D185">
            <v>112</v>
          </cell>
          <cell r="E185">
            <v>0</v>
          </cell>
          <cell r="F185">
            <v>0</v>
          </cell>
        </row>
        <row r="186">
          <cell r="A186">
            <v>44953</v>
          </cell>
          <cell r="B186" t="str">
            <v>LM</v>
          </cell>
          <cell r="C186">
            <v>0</v>
          </cell>
          <cell r="D186">
            <v>1275.1400000000001</v>
          </cell>
          <cell r="E186">
            <v>0</v>
          </cell>
          <cell r="F186">
            <v>0</v>
          </cell>
        </row>
        <row r="191">
          <cell r="A191">
            <v>44954</v>
          </cell>
          <cell r="B191" t="str">
            <v>Kleidung</v>
          </cell>
          <cell r="C191">
            <v>0</v>
          </cell>
          <cell r="D191">
            <v>908</v>
          </cell>
          <cell r="E191">
            <v>0</v>
          </cell>
          <cell r="F191">
            <v>0</v>
          </cell>
        </row>
        <row r="198">
          <cell r="A198">
            <v>44955</v>
          </cell>
          <cell r="B198" t="str">
            <v>LM</v>
          </cell>
          <cell r="C198">
            <v>0</v>
          </cell>
          <cell r="D198">
            <v>478.69</v>
          </cell>
          <cell r="E198">
            <v>0</v>
          </cell>
          <cell r="F198">
            <v>0</v>
          </cell>
        </row>
        <row r="199">
          <cell r="A199">
            <v>44955</v>
          </cell>
          <cell r="B199" t="str">
            <v>VM</v>
          </cell>
          <cell r="C199">
            <v>0</v>
          </cell>
          <cell r="D199">
            <v>112</v>
          </cell>
          <cell r="E199">
            <v>0</v>
          </cell>
          <cell r="F199">
            <v>0</v>
          </cell>
        </row>
        <row r="200">
          <cell r="A200">
            <v>44955</v>
          </cell>
          <cell r="B200" t="str">
            <v>for me</v>
          </cell>
          <cell r="C200">
            <v>0</v>
          </cell>
          <cell r="D200">
            <v>1550</v>
          </cell>
          <cell r="E200">
            <v>0</v>
          </cell>
          <cell r="F200">
            <v>0</v>
          </cell>
        </row>
        <row r="201">
          <cell r="A201">
            <v>44955</v>
          </cell>
          <cell r="B201" t="str">
            <v>VM</v>
          </cell>
          <cell r="C201">
            <v>0</v>
          </cell>
          <cell r="D201">
            <v>519</v>
          </cell>
          <cell r="E201">
            <v>0</v>
          </cell>
          <cell r="F201">
            <v>0</v>
          </cell>
        </row>
        <row r="202">
          <cell r="A202">
            <v>44955</v>
          </cell>
          <cell r="B202" t="str">
            <v>Party</v>
          </cell>
          <cell r="C202">
            <v>0</v>
          </cell>
          <cell r="D202">
            <v>978.5</v>
          </cell>
          <cell r="E202">
            <v>0</v>
          </cell>
          <cell r="F202">
            <v>0</v>
          </cell>
        </row>
        <row r="203">
          <cell r="A203">
            <v>44955</v>
          </cell>
          <cell r="B203" t="str">
            <v>VM</v>
          </cell>
          <cell r="C203">
            <v>0</v>
          </cell>
          <cell r="D203">
            <v>930</v>
          </cell>
          <cell r="E203">
            <v>0</v>
          </cell>
          <cell r="F203">
            <v>0</v>
          </cell>
        </row>
        <row r="205">
          <cell r="A205">
            <v>44956</v>
          </cell>
          <cell r="B205" t="str">
            <v>VM</v>
          </cell>
          <cell r="C205">
            <v>0</v>
          </cell>
          <cell r="D205">
            <v>271</v>
          </cell>
          <cell r="E205">
            <v>0</v>
          </cell>
          <cell r="F205">
            <v>0</v>
          </cell>
        </row>
        <row r="206">
          <cell r="A206">
            <v>44956</v>
          </cell>
          <cell r="B206" t="str">
            <v>VM</v>
          </cell>
          <cell r="C206">
            <v>0</v>
          </cell>
          <cell r="D206">
            <v>112</v>
          </cell>
          <cell r="E206">
            <v>0</v>
          </cell>
          <cell r="F206">
            <v>0</v>
          </cell>
        </row>
        <row r="207">
          <cell r="A207">
            <v>44956</v>
          </cell>
          <cell r="B207" t="str">
            <v>Rauchen</v>
          </cell>
          <cell r="C207">
            <v>0</v>
          </cell>
          <cell r="D207">
            <v>140</v>
          </cell>
          <cell r="E207">
            <v>0</v>
          </cell>
          <cell r="F207">
            <v>0</v>
          </cell>
        </row>
        <row r="208">
          <cell r="A208">
            <v>44956</v>
          </cell>
          <cell r="B208" t="str">
            <v>LM</v>
          </cell>
          <cell r="C208">
            <v>0</v>
          </cell>
          <cell r="D208">
            <v>411</v>
          </cell>
          <cell r="E208">
            <v>0</v>
          </cell>
          <cell r="F208">
            <v>0</v>
          </cell>
        </row>
        <row r="209">
          <cell r="A209">
            <v>44956</v>
          </cell>
          <cell r="B209" t="str">
            <v>none</v>
          </cell>
          <cell r="C209">
            <v>0</v>
          </cell>
          <cell r="D209">
            <v>0</v>
          </cell>
          <cell r="E209">
            <v>300</v>
          </cell>
          <cell r="F209">
            <v>0</v>
          </cell>
        </row>
        <row r="212">
          <cell r="A212">
            <v>44957</v>
          </cell>
          <cell r="B212" t="str">
            <v>LM</v>
          </cell>
          <cell r="C212">
            <v>0</v>
          </cell>
          <cell r="D212">
            <v>590</v>
          </cell>
          <cell r="E212">
            <v>0</v>
          </cell>
          <cell r="F212">
            <v>0</v>
          </cell>
        </row>
        <row r="213">
          <cell r="A213">
            <v>44957</v>
          </cell>
          <cell r="B213" t="str">
            <v>Refill</v>
          </cell>
          <cell r="C213">
            <v>2961.99</v>
          </cell>
          <cell r="D213">
            <v>0</v>
          </cell>
          <cell r="E213">
            <v>0</v>
          </cell>
          <cell r="F213">
            <v>0</v>
          </cell>
        </row>
      </sheetData>
      <sheetData sheetId="28">
        <row r="2">
          <cell r="A2">
            <v>44958</v>
          </cell>
          <cell r="B2" t="str">
            <v>Education</v>
          </cell>
          <cell r="C2">
            <v>0</v>
          </cell>
          <cell r="D2">
            <v>429</v>
          </cell>
          <cell r="E2">
            <v>0</v>
          </cell>
          <cell r="F2">
            <v>0</v>
          </cell>
        </row>
        <row r="3">
          <cell r="A3">
            <v>44958</v>
          </cell>
          <cell r="B3" t="str">
            <v>VM</v>
          </cell>
          <cell r="C3">
            <v>0</v>
          </cell>
          <cell r="D3">
            <v>112</v>
          </cell>
          <cell r="E3">
            <v>0</v>
          </cell>
          <cell r="F3">
            <v>0</v>
          </cell>
        </row>
        <row r="4">
          <cell r="A4">
            <v>44958</v>
          </cell>
          <cell r="B4" t="str">
            <v>LM</v>
          </cell>
          <cell r="C4">
            <v>0</v>
          </cell>
          <cell r="D4">
            <v>423.48</v>
          </cell>
          <cell r="E4">
            <v>0</v>
          </cell>
          <cell r="F4">
            <v>200</v>
          </cell>
        </row>
        <row r="5">
          <cell r="A5">
            <v>44958</v>
          </cell>
          <cell r="B5" t="str">
            <v>LM</v>
          </cell>
          <cell r="C5">
            <v>0</v>
          </cell>
          <cell r="D5">
            <v>439</v>
          </cell>
          <cell r="E5">
            <v>0</v>
          </cell>
          <cell r="F5">
            <v>0</v>
          </cell>
        </row>
        <row r="9">
          <cell r="A9">
            <v>44959</v>
          </cell>
          <cell r="B9" t="str">
            <v>Andere</v>
          </cell>
          <cell r="C9">
            <v>0</v>
          </cell>
          <cell r="D9">
            <v>299</v>
          </cell>
          <cell r="E9">
            <v>0</v>
          </cell>
          <cell r="F9">
            <v>0</v>
          </cell>
        </row>
        <row r="10">
          <cell r="A10">
            <v>44959</v>
          </cell>
          <cell r="B10" t="str">
            <v>VM</v>
          </cell>
          <cell r="C10">
            <v>0</v>
          </cell>
          <cell r="D10">
            <v>404</v>
          </cell>
          <cell r="E10">
            <v>0</v>
          </cell>
          <cell r="F10">
            <v>0</v>
          </cell>
        </row>
        <row r="11">
          <cell r="A11">
            <v>44959</v>
          </cell>
          <cell r="B11" t="str">
            <v>LM</v>
          </cell>
          <cell r="C11">
            <v>0</v>
          </cell>
          <cell r="D11">
            <v>646</v>
          </cell>
          <cell r="E11">
            <v>0</v>
          </cell>
          <cell r="F11">
            <v>0</v>
          </cell>
        </row>
        <row r="12">
          <cell r="A12">
            <v>44959</v>
          </cell>
          <cell r="B12" t="str">
            <v>for me</v>
          </cell>
          <cell r="C12">
            <v>0</v>
          </cell>
          <cell r="D12">
            <v>0</v>
          </cell>
          <cell r="E12">
            <v>0</v>
          </cell>
          <cell r="F12">
            <v>1000</v>
          </cell>
        </row>
        <row r="16">
          <cell r="A16">
            <v>44960</v>
          </cell>
          <cell r="B16" t="str">
            <v>LM</v>
          </cell>
          <cell r="C16">
            <v>0</v>
          </cell>
          <cell r="D16">
            <v>1400</v>
          </cell>
          <cell r="E16">
            <v>0</v>
          </cell>
          <cell r="F16">
            <v>0</v>
          </cell>
        </row>
        <row r="23">
          <cell r="A23">
            <v>44961</v>
          </cell>
          <cell r="B23" t="str">
            <v>VM</v>
          </cell>
          <cell r="C23">
            <v>0</v>
          </cell>
          <cell r="D23">
            <v>56</v>
          </cell>
          <cell r="E23">
            <v>0</v>
          </cell>
          <cell r="F23">
            <v>0</v>
          </cell>
        </row>
        <row r="24">
          <cell r="A24">
            <v>44961</v>
          </cell>
          <cell r="B24" t="str">
            <v>Andere</v>
          </cell>
          <cell r="C24">
            <v>0</v>
          </cell>
          <cell r="D24">
            <v>600</v>
          </cell>
          <cell r="E24">
            <v>0</v>
          </cell>
          <cell r="F24">
            <v>0</v>
          </cell>
        </row>
        <row r="25">
          <cell r="A25">
            <v>44961</v>
          </cell>
          <cell r="B25" t="str">
            <v>Rauchen</v>
          </cell>
          <cell r="C25">
            <v>0</v>
          </cell>
          <cell r="D25">
            <v>140</v>
          </cell>
          <cell r="E25">
            <v>0</v>
          </cell>
          <cell r="F25">
            <v>0</v>
          </cell>
        </row>
        <row r="26">
          <cell r="A26">
            <v>44961</v>
          </cell>
          <cell r="B26" t="str">
            <v>LM</v>
          </cell>
          <cell r="C26">
            <v>0</v>
          </cell>
          <cell r="D26">
            <v>39.99</v>
          </cell>
          <cell r="E26">
            <v>0</v>
          </cell>
          <cell r="F26">
            <v>0</v>
          </cell>
        </row>
        <row r="27">
          <cell r="A27">
            <v>44961</v>
          </cell>
          <cell r="B27" t="str">
            <v>LM</v>
          </cell>
          <cell r="C27">
            <v>0</v>
          </cell>
          <cell r="D27">
            <v>354.6</v>
          </cell>
          <cell r="E27">
            <v>0</v>
          </cell>
          <cell r="F27">
            <v>365</v>
          </cell>
        </row>
        <row r="30">
          <cell r="A30">
            <v>44962</v>
          </cell>
          <cell r="B30" t="str">
            <v>VM</v>
          </cell>
          <cell r="C30">
            <v>0</v>
          </cell>
          <cell r="D30">
            <v>470</v>
          </cell>
          <cell r="E30">
            <v>0</v>
          </cell>
          <cell r="F30">
            <v>0</v>
          </cell>
        </row>
        <row r="31">
          <cell r="A31">
            <v>44962</v>
          </cell>
          <cell r="B31" t="str">
            <v>VM</v>
          </cell>
          <cell r="C31">
            <v>0</v>
          </cell>
          <cell r="D31">
            <v>112</v>
          </cell>
          <cell r="E31">
            <v>0</v>
          </cell>
          <cell r="F31">
            <v>0</v>
          </cell>
        </row>
        <row r="32">
          <cell r="A32">
            <v>44962</v>
          </cell>
          <cell r="B32" t="str">
            <v>LM</v>
          </cell>
          <cell r="C32">
            <v>0</v>
          </cell>
          <cell r="D32">
            <v>365.87</v>
          </cell>
          <cell r="E32">
            <v>0</v>
          </cell>
          <cell r="F32">
            <v>0</v>
          </cell>
        </row>
        <row r="37">
          <cell r="A37">
            <v>44963</v>
          </cell>
          <cell r="B37" t="str">
            <v>LM</v>
          </cell>
          <cell r="C37">
            <v>0</v>
          </cell>
          <cell r="D37">
            <v>1446.28</v>
          </cell>
          <cell r="E37">
            <v>0</v>
          </cell>
          <cell r="F37">
            <v>0</v>
          </cell>
        </row>
        <row r="38">
          <cell r="A38">
            <v>44963</v>
          </cell>
          <cell r="B38" t="str">
            <v>Rauchen</v>
          </cell>
          <cell r="C38">
            <v>0</v>
          </cell>
          <cell r="D38">
            <v>140</v>
          </cell>
          <cell r="E38">
            <v>0</v>
          </cell>
          <cell r="F38">
            <v>0</v>
          </cell>
        </row>
        <row r="39">
          <cell r="A39">
            <v>44963</v>
          </cell>
          <cell r="B39" t="str">
            <v>rent</v>
          </cell>
          <cell r="C39">
            <v>0</v>
          </cell>
          <cell r="D39">
            <v>25000</v>
          </cell>
          <cell r="E39">
            <v>0</v>
          </cell>
          <cell r="F39">
            <v>0</v>
          </cell>
        </row>
        <row r="40">
          <cell r="A40">
            <v>44963</v>
          </cell>
          <cell r="B40" t="str">
            <v>VM</v>
          </cell>
          <cell r="C40">
            <v>1</v>
          </cell>
          <cell r="D40">
            <v>0</v>
          </cell>
          <cell r="E40">
            <v>0</v>
          </cell>
          <cell r="F40">
            <v>400</v>
          </cell>
        </row>
        <row r="44">
          <cell r="A44">
            <v>44964</v>
          </cell>
          <cell r="B44" t="str">
            <v>Frauen</v>
          </cell>
          <cell r="C44">
            <v>0</v>
          </cell>
          <cell r="D44">
            <v>1266</v>
          </cell>
          <cell r="E44">
            <v>0</v>
          </cell>
          <cell r="F44">
            <v>0</v>
          </cell>
        </row>
        <row r="45">
          <cell r="A45">
            <v>44964</v>
          </cell>
          <cell r="B45" t="str">
            <v>LM</v>
          </cell>
          <cell r="C45">
            <v>0</v>
          </cell>
          <cell r="D45">
            <v>450</v>
          </cell>
          <cell r="E45">
            <v>0</v>
          </cell>
          <cell r="F45">
            <v>0</v>
          </cell>
        </row>
        <row r="46">
          <cell r="A46">
            <v>44964</v>
          </cell>
          <cell r="B46" t="str">
            <v>LM</v>
          </cell>
          <cell r="C46">
            <v>0</v>
          </cell>
          <cell r="D46">
            <v>68</v>
          </cell>
          <cell r="E46">
            <v>0</v>
          </cell>
          <cell r="F46">
            <v>0</v>
          </cell>
        </row>
        <row r="47">
          <cell r="A47">
            <v>44964</v>
          </cell>
          <cell r="B47" t="str">
            <v>Andere</v>
          </cell>
          <cell r="C47">
            <v>0</v>
          </cell>
          <cell r="D47">
            <v>600</v>
          </cell>
          <cell r="E47">
            <v>0</v>
          </cell>
          <cell r="F47">
            <v>0</v>
          </cell>
        </row>
        <row r="51">
          <cell r="A51">
            <v>44965</v>
          </cell>
          <cell r="B51" t="str">
            <v>Andere</v>
          </cell>
          <cell r="C51">
            <v>0</v>
          </cell>
          <cell r="D51">
            <v>60</v>
          </cell>
          <cell r="E51">
            <v>0</v>
          </cell>
          <cell r="F51">
            <v>0</v>
          </cell>
        </row>
        <row r="52">
          <cell r="A52">
            <v>44965</v>
          </cell>
          <cell r="B52" t="str">
            <v>VM</v>
          </cell>
          <cell r="C52">
            <v>0</v>
          </cell>
          <cell r="D52">
            <v>518</v>
          </cell>
          <cell r="E52">
            <v>0</v>
          </cell>
          <cell r="F52">
            <v>0</v>
          </cell>
        </row>
        <row r="53">
          <cell r="A53">
            <v>44965</v>
          </cell>
          <cell r="B53" t="str">
            <v>LM</v>
          </cell>
          <cell r="C53">
            <v>0</v>
          </cell>
          <cell r="D53">
            <v>1252.3900000000001</v>
          </cell>
          <cell r="E53">
            <v>0</v>
          </cell>
          <cell r="F53">
            <v>0</v>
          </cell>
        </row>
        <row r="54">
          <cell r="A54">
            <v>44965</v>
          </cell>
          <cell r="B54" t="str">
            <v>Rauchen</v>
          </cell>
          <cell r="C54">
            <v>0</v>
          </cell>
          <cell r="D54">
            <v>145</v>
          </cell>
          <cell r="E54">
            <v>0</v>
          </cell>
          <cell r="F54">
            <v>0</v>
          </cell>
        </row>
        <row r="56">
          <cell r="A56">
            <v>44965</v>
          </cell>
          <cell r="B56" t="str">
            <v>Frauen</v>
          </cell>
          <cell r="C56">
            <v>0</v>
          </cell>
          <cell r="D56">
            <v>761</v>
          </cell>
          <cell r="E56">
            <v>0</v>
          </cell>
          <cell r="F56">
            <v>0</v>
          </cell>
        </row>
        <row r="59">
          <cell r="A59">
            <v>44966</v>
          </cell>
          <cell r="B59" t="str">
            <v>Refill</v>
          </cell>
          <cell r="C59">
            <v>40357.43</v>
          </cell>
          <cell r="D59">
            <v>0</v>
          </cell>
          <cell r="E59">
            <v>0</v>
          </cell>
          <cell r="F59">
            <v>0</v>
          </cell>
        </row>
        <row r="67">
          <cell r="A67">
            <v>44967</v>
          </cell>
          <cell r="B67" t="str">
            <v>Party</v>
          </cell>
          <cell r="C67">
            <v>0</v>
          </cell>
          <cell r="D67">
            <v>0</v>
          </cell>
          <cell r="E67">
            <v>0</v>
          </cell>
          <cell r="F67">
            <v>2000</v>
          </cell>
        </row>
        <row r="72">
          <cell r="A72">
            <v>44968</v>
          </cell>
          <cell r="B72" t="str">
            <v>VM</v>
          </cell>
          <cell r="C72">
            <v>0</v>
          </cell>
          <cell r="D72">
            <v>1090</v>
          </cell>
          <cell r="E72">
            <v>0</v>
          </cell>
          <cell r="F72">
            <v>0</v>
          </cell>
        </row>
        <row r="73">
          <cell r="A73">
            <v>44968</v>
          </cell>
          <cell r="B73" t="str">
            <v>for me</v>
          </cell>
          <cell r="C73">
            <v>0</v>
          </cell>
          <cell r="D73">
            <v>0</v>
          </cell>
          <cell r="E73">
            <v>0</v>
          </cell>
          <cell r="F73">
            <v>700</v>
          </cell>
        </row>
        <row r="79">
          <cell r="A79">
            <v>44969</v>
          </cell>
          <cell r="B79" t="str">
            <v>LM</v>
          </cell>
          <cell r="C79">
            <v>0</v>
          </cell>
          <cell r="D79">
            <v>1549.13</v>
          </cell>
          <cell r="E79">
            <v>0</v>
          </cell>
          <cell r="F79">
            <v>250</v>
          </cell>
        </row>
        <row r="86">
          <cell r="A86">
            <v>44970</v>
          </cell>
          <cell r="B86" t="str">
            <v>LM</v>
          </cell>
          <cell r="C86">
            <v>0</v>
          </cell>
          <cell r="D86">
            <v>557</v>
          </cell>
          <cell r="E86">
            <v>0</v>
          </cell>
          <cell r="F86">
            <v>0</v>
          </cell>
        </row>
        <row r="93">
          <cell r="A93">
            <v>44971</v>
          </cell>
          <cell r="B93" t="str">
            <v>Frauen</v>
          </cell>
          <cell r="C93">
            <v>0</v>
          </cell>
          <cell r="D93">
            <v>2650</v>
          </cell>
          <cell r="E93">
            <v>0</v>
          </cell>
          <cell r="F93">
            <v>0</v>
          </cell>
        </row>
        <row r="94">
          <cell r="A94">
            <v>44971</v>
          </cell>
          <cell r="B94" t="str">
            <v>LM</v>
          </cell>
          <cell r="C94">
            <v>0</v>
          </cell>
          <cell r="D94">
            <v>119.99</v>
          </cell>
          <cell r="E94">
            <v>0</v>
          </cell>
          <cell r="F94">
            <v>0</v>
          </cell>
        </row>
        <row r="100">
          <cell r="A100">
            <v>44972</v>
          </cell>
          <cell r="B100" t="str">
            <v>LM</v>
          </cell>
          <cell r="C100">
            <v>0</v>
          </cell>
          <cell r="D100">
            <v>918.47</v>
          </cell>
          <cell r="E100">
            <v>0</v>
          </cell>
          <cell r="F100">
            <v>0</v>
          </cell>
        </row>
        <row r="114">
          <cell r="A114">
            <v>44974</v>
          </cell>
          <cell r="B114" t="str">
            <v>LM</v>
          </cell>
          <cell r="C114">
            <v>0</v>
          </cell>
          <cell r="D114">
            <v>665</v>
          </cell>
          <cell r="E114">
            <v>0</v>
          </cell>
          <cell r="F114">
            <v>0</v>
          </cell>
        </row>
        <row r="115">
          <cell r="A115">
            <v>44974</v>
          </cell>
          <cell r="B115" t="str">
            <v>Andere</v>
          </cell>
          <cell r="C115">
            <v>0</v>
          </cell>
          <cell r="D115">
            <v>600</v>
          </cell>
          <cell r="E115">
            <v>0</v>
          </cell>
          <cell r="F115">
            <v>429.25</v>
          </cell>
        </row>
        <row r="116">
          <cell r="A116">
            <v>44974</v>
          </cell>
          <cell r="B116" t="str">
            <v>Party</v>
          </cell>
          <cell r="C116">
            <v>0</v>
          </cell>
          <cell r="D116">
            <v>1600</v>
          </cell>
          <cell r="E116">
            <v>0</v>
          </cell>
          <cell r="F116">
            <v>0</v>
          </cell>
        </row>
        <row r="121">
          <cell r="A121">
            <v>44975</v>
          </cell>
          <cell r="B121" t="str">
            <v>LM</v>
          </cell>
          <cell r="C121">
            <v>0</v>
          </cell>
          <cell r="D121">
            <v>904</v>
          </cell>
          <cell r="E121">
            <v>0</v>
          </cell>
          <cell r="F121">
            <v>0</v>
          </cell>
        </row>
        <row r="122">
          <cell r="A122">
            <v>44975</v>
          </cell>
          <cell r="B122" t="str">
            <v>Rauchen</v>
          </cell>
          <cell r="C122">
            <v>0</v>
          </cell>
          <cell r="D122">
            <v>150</v>
          </cell>
          <cell r="E122">
            <v>0</v>
          </cell>
          <cell r="F122">
            <v>0</v>
          </cell>
        </row>
        <row r="128">
          <cell r="A128">
            <v>44976</v>
          </cell>
          <cell r="B128" t="str">
            <v>VM</v>
          </cell>
          <cell r="C128">
            <v>0</v>
          </cell>
          <cell r="D128">
            <v>56</v>
          </cell>
          <cell r="E128">
            <v>0</v>
          </cell>
          <cell r="F128">
            <v>0</v>
          </cell>
        </row>
        <row r="135">
          <cell r="A135">
            <v>44977</v>
          </cell>
          <cell r="B135" t="str">
            <v>LM</v>
          </cell>
          <cell r="C135">
            <v>0</v>
          </cell>
          <cell r="D135">
            <v>658</v>
          </cell>
          <cell r="E135">
            <v>0</v>
          </cell>
          <cell r="F135">
            <v>0</v>
          </cell>
        </row>
        <row r="136">
          <cell r="A136">
            <v>44977</v>
          </cell>
          <cell r="B136" t="str">
            <v>for me</v>
          </cell>
          <cell r="C136">
            <v>0</v>
          </cell>
          <cell r="D136">
            <v>768</v>
          </cell>
          <cell r="E136">
            <v>0</v>
          </cell>
          <cell r="F136">
            <v>0</v>
          </cell>
        </row>
        <row r="142">
          <cell r="A142">
            <v>44978</v>
          </cell>
          <cell r="B142" t="str">
            <v>LM</v>
          </cell>
          <cell r="C142">
            <v>0</v>
          </cell>
          <cell r="D142">
            <v>713</v>
          </cell>
          <cell r="E142">
            <v>0</v>
          </cell>
          <cell r="F142">
            <v>0</v>
          </cell>
        </row>
        <row r="149">
          <cell r="A149">
            <v>44979</v>
          </cell>
          <cell r="B149" t="str">
            <v>Refill</v>
          </cell>
          <cell r="C149">
            <v>54867.67</v>
          </cell>
          <cell r="D149">
            <v>0</v>
          </cell>
          <cell r="E149">
            <v>0</v>
          </cell>
          <cell r="F149">
            <v>0</v>
          </cell>
        </row>
        <row r="156">
          <cell r="A156">
            <v>44980</v>
          </cell>
          <cell r="B156" t="str">
            <v>for me</v>
          </cell>
          <cell r="C156">
            <v>0</v>
          </cell>
          <cell r="D156">
            <v>4000</v>
          </cell>
          <cell r="E156">
            <v>0</v>
          </cell>
          <cell r="F156">
            <v>0</v>
          </cell>
        </row>
        <row r="157">
          <cell r="A157">
            <v>44980</v>
          </cell>
          <cell r="B157" t="str">
            <v>Andere</v>
          </cell>
          <cell r="C157">
            <v>0</v>
          </cell>
          <cell r="D157">
            <v>6344</v>
          </cell>
          <cell r="E157">
            <v>0</v>
          </cell>
          <cell r="F157">
            <v>0</v>
          </cell>
        </row>
        <row r="158">
          <cell r="A158">
            <v>44980</v>
          </cell>
          <cell r="B158" t="str">
            <v>Andere</v>
          </cell>
          <cell r="C158">
            <v>0</v>
          </cell>
          <cell r="D158">
            <v>70</v>
          </cell>
          <cell r="E158">
            <v>0</v>
          </cell>
          <cell r="F158">
            <v>0</v>
          </cell>
        </row>
        <row r="159">
          <cell r="A159">
            <v>44980</v>
          </cell>
          <cell r="B159" t="str">
            <v>LM</v>
          </cell>
          <cell r="C159">
            <v>0</v>
          </cell>
          <cell r="D159">
            <v>1563.3400000000001</v>
          </cell>
          <cell r="E159">
            <v>0</v>
          </cell>
          <cell r="F159">
            <v>0</v>
          </cell>
        </row>
        <row r="160">
          <cell r="A160">
            <v>44980</v>
          </cell>
          <cell r="B160" t="str">
            <v>Frauen</v>
          </cell>
          <cell r="C160">
            <v>0</v>
          </cell>
          <cell r="D160">
            <v>1083.96</v>
          </cell>
          <cell r="E160">
            <v>0</v>
          </cell>
          <cell r="F160">
            <v>0</v>
          </cell>
        </row>
        <row r="163">
          <cell r="A163">
            <v>44981</v>
          </cell>
          <cell r="B163" t="str">
            <v>Andere</v>
          </cell>
          <cell r="C163">
            <v>0</v>
          </cell>
          <cell r="D163">
            <v>17</v>
          </cell>
          <cell r="E163">
            <v>0</v>
          </cell>
          <cell r="F163">
            <v>0</v>
          </cell>
        </row>
        <row r="170">
          <cell r="A170">
            <v>44982</v>
          </cell>
          <cell r="B170" t="str">
            <v>Party</v>
          </cell>
          <cell r="C170">
            <v>0</v>
          </cell>
          <cell r="D170">
            <v>1660</v>
          </cell>
          <cell r="E170">
            <v>0</v>
          </cell>
          <cell r="F170">
            <v>0</v>
          </cell>
        </row>
        <row r="171">
          <cell r="A171">
            <v>44982</v>
          </cell>
          <cell r="B171" t="str">
            <v>none</v>
          </cell>
          <cell r="C171">
            <v>0</v>
          </cell>
          <cell r="D171">
            <v>1730</v>
          </cell>
          <cell r="E171">
            <v>1730</v>
          </cell>
          <cell r="F171">
            <v>0</v>
          </cell>
        </row>
        <row r="177">
          <cell r="A177">
            <v>44983</v>
          </cell>
          <cell r="B177" t="str">
            <v>for me</v>
          </cell>
          <cell r="C177">
            <v>0</v>
          </cell>
          <cell r="D177">
            <v>6900</v>
          </cell>
          <cell r="E177">
            <v>0</v>
          </cell>
          <cell r="F177">
            <v>0</v>
          </cell>
        </row>
        <row r="178">
          <cell r="A178">
            <v>44983</v>
          </cell>
          <cell r="B178" t="str">
            <v>LM</v>
          </cell>
          <cell r="C178">
            <v>0</v>
          </cell>
          <cell r="D178">
            <v>1516.92</v>
          </cell>
          <cell r="E178">
            <v>0</v>
          </cell>
          <cell r="F178">
            <v>0</v>
          </cell>
        </row>
        <row r="191">
          <cell r="A191">
            <v>44985</v>
          </cell>
          <cell r="B191" t="str">
            <v>LM</v>
          </cell>
          <cell r="C191">
            <v>0</v>
          </cell>
          <cell r="D191">
            <v>869.78</v>
          </cell>
          <cell r="E191">
            <v>0</v>
          </cell>
          <cell r="F191">
            <v>0</v>
          </cell>
        </row>
        <row r="192">
          <cell r="A192">
            <v>44985</v>
          </cell>
          <cell r="B192" t="str">
            <v>Refill</v>
          </cell>
          <cell r="C192">
            <v>2617.8000000000002</v>
          </cell>
          <cell r="D192">
            <v>0</v>
          </cell>
          <cell r="E192">
            <v>0</v>
          </cell>
          <cell r="F192">
            <v>0</v>
          </cell>
        </row>
      </sheetData>
      <sheetData sheetId="29">
        <row r="2">
          <cell r="A2">
            <v>44986</v>
          </cell>
          <cell r="B2" t="str">
            <v>Frauen</v>
          </cell>
          <cell r="C2">
            <v>0</v>
          </cell>
          <cell r="D2">
            <v>541</v>
          </cell>
          <cell r="E2">
            <v>0</v>
          </cell>
          <cell r="F2">
            <v>0</v>
          </cell>
        </row>
        <row r="3">
          <cell r="A3">
            <v>44986</v>
          </cell>
          <cell r="B3" t="str">
            <v>LM</v>
          </cell>
          <cell r="C3">
            <v>0</v>
          </cell>
          <cell r="D3">
            <v>445</v>
          </cell>
          <cell r="E3">
            <v>0</v>
          </cell>
          <cell r="F3">
            <v>0</v>
          </cell>
        </row>
        <row r="4">
          <cell r="A4">
            <v>44986</v>
          </cell>
          <cell r="B4" t="str">
            <v>none</v>
          </cell>
          <cell r="C4">
            <v>0</v>
          </cell>
          <cell r="D4">
            <v>0</v>
          </cell>
          <cell r="E4">
            <v>0</v>
          </cell>
          <cell r="F4">
            <v>4000</v>
          </cell>
        </row>
        <row r="9">
          <cell r="A9">
            <v>44987</v>
          </cell>
          <cell r="B9" t="str">
            <v>rent</v>
          </cell>
          <cell r="C9">
            <v>0</v>
          </cell>
          <cell r="D9">
            <v>25000</v>
          </cell>
          <cell r="E9">
            <v>0</v>
          </cell>
          <cell r="F9">
            <v>0</v>
          </cell>
        </row>
        <row r="10">
          <cell r="A10">
            <v>44987</v>
          </cell>
          <cell r="B10" t="str">
            <v>LM</v>
          </cell>
          <cell r="C10">
            <v>0</v>
          </cell>
          <cell r="D10">
            <v>879.15</v>
          </cell>
          <cell r="E10">
            <v>0</v>
          </cell>
          <cell r="F10">
            <v>0</v>
          </cell>
        </row>
        <row r="16">
          <cell r="A16">
            <v>44988</v>
          </cell>
          <cell r="B16" t="str">
            <v>VM</v>
          </cell>
          <cell r="C16">
            <v>0</v>
          </cell>
          <cell r="D16">
            <v>224</v>
          </cell>
          <cell r="E16">
            <v>0</v>
          </cell>
          <cell r="F16">
            <v>0</v>
          </cell>
        </row>
        <row r="17">
          <cell r="A17">
            <v>44988</v>
          </cell>
          <cell r="B17" t="str">
            <v>LM</v>
          </cell>
          <cell r="C17">
            <v>0</v>
          </cell>
          <cell r="D17">
            <v>1185.4299999999998</v>
          </cell>
          <cell r="E17">
            <v>0</v>
          </cell>
          <cell r="F17">
            <v>0</v>
          </cell>
        </row>
        <row r="18">
          <cell r="A18">
            <v>44988</v>
          </cell>
          <cell r="B18" t="str">
            <v>none</v>
          </cell>
          <cell r="C18">
            <v>816</v>
          </cell>
          <cell r="D18">
            <v>0</v>
          </cell>
          <cell r="E18">
            <v>0</v>
          </cell>
          <cell r="F18">
            <v>0</v>
          </cell>
        </row>
        <row r="23">
          <cell r="A23">
            <v>44989</v>
          </cell>
          <cell r="B23" t="str">
            <v>Andere</v>
          </cell>
          <cell r="C23">
            <v>0</v>
          </cell>
          <cell r="D23">
            <v>299</v>
          </cell>
          <cell r="E23">
            <v>0</v>
          </cell>
          <cell r="F23">
            <v>0</v>
          </cell>
        </row>
        <row r="24">
          <cell r="A24">
            <v>44989</v>
          </cell>
          <cell r="B24" t="str">
            <v>LM</v>
          </cell>
          <cell r="C24">
            <v>0</v>
          </cell>
          <cell r="D24">
            <v>458</v>
          </cell>
          <cell r="E24">
            <v>0</v>
          </cell>
          <cell r="F24">
            <v>0</v>
          </cell>
        </row>
        <row r="25">
          <cell r="A25">
            <v>44989</v>
          </cell>
          <cell r="B25" t="str">
            <v>LM</v>
          </cell>
          <cell r="C25">
            <v>0</v>
          </cell>
          <cell r="D25">
            <v>50</v>
          </cell>
          <cell r="E25">
            <v>0</v>
          </cell>
          <cell r="F25">
            <v>0</v>
          </cell>
        </row>
        <row r="30">
          <cell r="A30">
            <v>44990</v>
          </cell>
          <cell r="B30" t="str">
            <v>LM</v>
          </cell>
          <cell r="C30">
            <v>0</v>
          </cell>
          <cell r="D30">
            <v>1713.3</v>
          </cell>
          <cell r="E30">
            <v>0</v>
          </cell>
          <cell r="F30">
            <v>0</v>
          </cell>
        </row>
        <row r="37">
          <cell r="A37">
            <v>44991</v>
          </cell>
          <cell r="B37" t="str">
            <v>Andere</v>
          </cell>
          <cell r="C37">
            <v>0</v>
          </cell>
          <cell r="D37">
            <v>367</v>
          </cell>
          <cell r="E37">
            <v>0</v>
          </cell>
          <cell r="F37">
            <v>0</v>
          </cell>
        </row>
        <row r="38">
          <cell r="A38">
            <v>44991</v>
          </cell>
          <cell r="B38" t="str">
            <v>LM</v>
          </cell>
          <cell r="C38">
            <v>0</v>
          </cell>
          <cell r="D38">
            <v>50</v>
          </cell>
          <cell r="E38">
            <v>0</v>
          </cell>
          <cell r="F38">
            <v>0</v>
          </cell>
        </row>
        <row r="39">
          <cell r="A39">
            <v>44991</v>
          </cell>
          <cell r="B39" t="str">
            <v>VM</v>
          </cell>
          <cell r="C39">
            <v>0</v>
          </cell>
          <cell r="D39">
            <v>112</v>
          </cell>
          <cell r="E39">
            <v>0</v>
          </cell>
          <cell r="F39">
            <v>0</v>
          </cell>
        </row>
        <row r="40">
          <cell r="A40">
            <v>44991</v>
          </cell>
          <cell r="B40" t="str">
            <v>LM</v>
          </cell>
          <cell r="C40">
            <v>0</v>
          </cell>
          <cell r="D40">
            <v>70</v>
          </cell>
          <cell r="E40">
            <v>0</v>
          </cell>
          <cell r="F40">
            <v>0</v>
          </cell>
        </row>
        <row r="41">
          <cell r="A41">
            <v>44991</v>
          </cell>
          <cell r="B41" t="str">
            <v>Kleidung</v>
          </cell>
          <cell r="C41">
            <v>0</v>
          </cell>
          <cell r="D41">
            <v>594</v>
          </cell>
          <cell r="E41">
            <v>0</v>
          </cell>
          <cell r="F41">
            <v>0</v>
          </cell>
        </row>
        <row r="44">
          <cell r="A44">
            <v>44992</v>
          </cell>
          <cell r="B44" t="str">
            <v>Andere</v>
          </cell>
          <cell r="C44">
            <v>0</v>
          </cell>
          <cell r="D44">
            <v>1000</v>
          </cell>
          <cell r="E44">
            <v>0</v>
          </cell>
          <cell r="F44">
            <v>0</v>
          </cell>
        </row>
        <row r="45">
          <cell r="A45">
            <v>44992</v>
          </cell>
          <cell r="B45" t="str">
            <v>VM</v>
          </cell>
          <cell r="C45">
            <v>0</v>
          </cell>
          <cell r="D45">
            <v>470</v>
          </cell>
          <cell r="E45">
            <v>0</v>
          </cell>
          <cell r="F45">
            <v>0</v>
          </cell>
        </row>
        <row r="46">
          <cell r="A46">
            <v>44992</v>
          </cell>
          <cell r="B46" t="str">
            <v>LM</v>
          </cell>
          <cell r="C46">
            <v>0</v>
          </cell>
          <cell r="D46">
            <v>458</v>
          </cell>
          <cell r="E46">
            <v>0</v>
          </cell>
          <cell r="F46">
            <v>0</v>
          </cell>
        </row>
        <row r="47">
          <cell r="A47">
            <v>44992</v>
          </cell>
          <cell r="B47" t="str">
            <v>VM</v>
          </cell>
          <cell r="C47">
            <v>0</v>
          </cell>
          <cell r="D47">
            <v>56</v>
          </cell>
          <cell r="E47">
            <v>0</v>
          </cell>
          <cell r="F47">
            <v>0</v>
          </cell>
        </row>
        <row r="48">
          <cell r="A48">
            <v>44992</v>
          </cell>
          <cell r="B48" t="str">
            <v>LM</v>
          </cell>
          <cell r="C48">
            <v>0</v>
          </cell>
          <cell r="D48">
            <v>512</v>
          </cell>
          <cell r="E48">
            <v>0</v>
          </cell>
          <cell r="F48">
            <v>0</v>
          </cell>
        </row>
        <row r="49">
          <cell r="A49">
            <v>44992</v>
          </cell>
          <cell r="B49" t="str">
            <v>Frauen</v>
          </cell>
          <cell r="C49">
            <v>0</v>
          </cell>
          <cell r="D49">
            <v>0</v>
          </cell>
          <cell r="E49">
            <v>0</v>
          </cell>
          <cell r="F49">
            <v>3600</v>
          </cell>
        </row>
        <row r="51">
          <cell r="A51">
            <v>44993</v>
          </cell>
          <cell r="B51" t="str">
            <v>Andere</v>
          </cell>
          <cell r="C51">
            <v>0</v>
          </cell>
          <cell r="D51">
            <v>4000</v>
          </cell>
          <cell r="E51">
            <v>0</v>
          </cell>
          <cell r="F51">
            <v>0</v>
          </cell>
        </row>
        <row r="52">
          <cell r="A52">
            <v>44993</v>
          </cell>
          <cell r="B52" t="str">
            <v>LM</v>
          </cell>
          <cell r="C52">
            <v>0</v>
          </cell>
          <cell r="D52">
            <v>738.42</v>
          </cell>
          <cell r="E52">
            <v>0</v>
          </cell>
          <cell r="F52">
            <v>0</v>
          </cell>
        </row>
        <row r="58">
          <cell r="A58">
            <v>44994</v>
          </cell>
          <cell r="B58" t="str">
            <v>VM</v>
          </cell>
          <cell r="C58">
            <v>0</v>
          </cell>
          <cell r="D58">
            <v>56</v>
          </cell>
          <cell r="E58">
            <v>0</v>
          </cell>
          <cell r="F58">
            <v>0</v>
          </cell>
        </row>
        <row r="59">
          <cell r="A59">
            <v>44994</v>
          </cell>
          <cell r="B59" t="str">
            <v>LM</v>
          </cell>
          <cell r="C59">
            <v>0</v>
          </cell>
          <cell r="D59">
            <v>507</v>
          </cell>
          <cell r="E59">
            <v>0</v>
          </cell>
          <cell r="F59">
            <v>0</v>
          </cell>
        </row>
        <row r="60">
          <cell r="A60">
            <v>44994</v>
          </cell>
          <cell r="B60" t="str">
            <v>Refill</v>
          </cell>
          <cell r="C60">
            <v>45356.33</v>
          </cell>
          <cell r="D60">
            <v>0</v>
          </cell>
          <cell r="E60">
            <v>0</v>
          </cell>
          <cell r="F60">
            <v>0</v>
          </cell>
        </row>
        <row r="65">
          <cell r="A65">
            <v>44995</v>
          </cell>
          <cell r="B65" t="str">
            <v>LM</v>
          </cell>
          <cell r="C65">
            <v>0</v>
          </cell>
          <cell r="D65">
            <v>420</v>
          </cell>
          <cell r="E65">
            <v>0</v>
          </cell>
          <cell r="F65">
            <v>0</v>
          </cell>
        </row>
        <row r="72">
          <cell r="A72">
            <v>44996</v>
          </cell>
          <cell r="B72" t="str">
            <v>VM</v>
          </cell>
          <cell r="C72">
            <v>0</v>
          </cell>
          <cell r="D72">
            <v>468</v>
          </cell>
          <cell r="E72">
            <v>0</v>
          </cell>
          <cell r="F72">
            <v>0</v>
          </cell>
        </row>
        <row r="73">
          <cell r="A73">
            <v>44996</v>
          </cell>
          <cell r="B73" t="str">
            <v>Party</v>
          </cell>
          <cell r="C73">
            <v>0</v>
          </cell>
          <cell r="D73">
            <v>1430</v>
          </cell>
          <cell r="E73">
            <v>0</v>
          </cell>
          <cell r="F73">
            <v>0</v>
          </cell>
        </row>
        <row r="79">
          <cell r="A79">
            <v>44997</v>
          </cell>
          <cell r="B79" t="str">
            <v>LM</v>
          </cell>
          <cell r="C79">
            <v>0</v>
          </cell>
          <cell r="D79">
            <v>668.24</v>
          </cell>
          <cell r="E79">
            <v>0</v>
          </cell>
          <cell r="F79">
            <v>0</v>
          </cell>
        </row>
        <row r="86">
          <cell r="A86">
            <v>44998</v>
          </cell>
          <cell r="B86" t="str">
            <v>VM</v>
          </cell>
          <cell r="C86">
            <v>0</v>
          </cell>
          <cell r="D86">
            <v>369</v>
          </cell>
          <cell r="E86">
            <v>0</v>
          </cell>
          <cell r="F86">
            <v>0</v>
          </cell>
        </row>
        <row r="87">
          <cell r="A87">
            <v>44998</v>
          </cell>
          <cell r="B87" t="str">
            <v>VM</v>
          </cell>
          <cell r="C87">
            <v>0</v>
          </cell>
          <cell r="E87">
            <v>0</v>
          </cell>
          <cell r="F87">
            <v>0</v>
          </cell>
        </row>
        <row r="88">
          <cell r="A88">
            <v>44998</v>
          </cell>
          <cell r="B88" t="str">
            <v>Andere</v>
          </cell>
          <cell r="C88">
            <v>0</v>
          </cell>
          <cell r="D88">
            <v>750</v>
          </cell>
          <cell r="E88">
            <v>0</v>
          </cell>
          <cell r="F88">
            <v>0</v>
          </cell>
        </row>
        <row r="89">
          <cell r="A89">
            <v>44998</v>
          </cell>
          <cell r="B89" t="str">
            <v>LM</v>
          </cell>
          <cell r="C89">
            <v>0</v>
          </cell>
          <cell r="D89">
            <v>634.99</v>
          </cell>
          <cell r="E89">
            <v>0</v>
          </cell>
          <cell r="F89">
            <v>0</v>
          </cell>
        </row>
        <row r="93">
          <cell r="A93">
            <v>44999</v>
          </cell>
          <cell r="B93" t="str">
            <v>VM</v>
          </cell>
          <cell r="C93">
            <v>0</v>
          </cell>
          <cell r="D93">
            <v>556</v>
          </cell>
          <cell r="E93">
            <v>0</v>
          </cell>
          <cell r="F93">
            <v>0</v>
          </cell>
        </row>
        <row r="94">
          <cell r="A94">
            <v>44999</v>
          </cell>
          <cell r="B94" t="str">
            <v>LM</v>
          </cell>
          <cell r="C94">
            <v>0</v>
          </cell>
          <cell r="D94">
            <v>490</v>
          </cell>
          <cell r="E94">
            <v>0</v>
          </cell>
          <cell r="F94">
            <v>0</v>
          </cell>
        </row>
        <row r="107">
          <cell r="A107">
            <v>45001</v>
          </cell>
          <cell r="B107" t="str">
            <v>Party</v>
          </cell>
          <cell r="C107">
            <v>0</v>
          </cell>
          <cell r="D107">
            <v>1400</v>
          </cell>
          <cell r="E107">
            <v>0</v>
          </cell>
          <cell r="F107">
            <v>0</v>
          </cell>
        </row>
        <row r="114">
          <cell r="A114">
            <v>45002</v>
          </cell>
          <cell r="B114" t="str">
            <v>Andere</v>
          </cell>
          <cell r="C114">
            <v>0</v>
          </cell>
          <cell r="D114">
            <v>400</v>
          </cell>
          <cell r="E114">
            <v>0</v>
          </cell>
          <cell r="F114">
            <v>0</v>
          </cell>
        </row>
        <row r="115">
          <cell r="A115">
            <v>45002</v>
          </cell>
          <cell r="B115" t="str">
            <v>Kleidung</v>
          </cell>
          <cell r="C115">
            <v>0</v>
          </cell>
          <cell r="D115">
            <v>584</v>
          </cell>
          <cell r="E115">
            <v>0</v>
          </cell>
          <cell r="F115">
            <v>0</v>
          </cell>
        </row>
        <row r="116">
          <cell r="A116">
            <v>45002</v>
          </cell>
          <cell r="B116" t="str">
            <v>LM</v>
          </cell>
          <cell r="C116">
            <v>0</v>
          </cell>
          <cell r="D116">
            <v>287.14999999999998</v>
          </cell>
          <cell r="E116">
            <v>0</v>
          </cell>
          <cell r="F116">
            <v>0</v>
          </cell>
        </row>
        <row r="121">
          <cell r="A121">
            <v>45003</v>
          </cell>
          <cell r="B121" t="str">
            <v>VM</v>
          </cell>
          <cell r="C121">
            <v>0</v>
          </cell>
          <cell r="D121">
            <v>542</v>
          </cell>
          <cell r="E121">
            <v>0</v>
          </cell>
          <cell r="F121">
            <v>0</v>
          </cell>
        </row>
        <row r="122">
          <cell r="A122">
            <v>45003</v>
          </cell>
          <cell r="B122" t="str">
            <v>Frauen</v>
          </cell>
          <cell r="C122">
            <v>0</v>
          </cell>
          <cell r="D122">
            <v>2655</v>
          </cell>
          <cell r="E122">
            <v>0</v>
          </cell>
          <cell r="F122">
            <v>0</v>
          </cell>
        </row>
        <row r="128">
          <cell r="A128">
            <v>45004</v>
          </cell>
          <cell r="B128" t="str">
            <v>LM</v>
          </cell>
          <cell r="C128">
            <v>0</v>
          </cell>
          <cell r="D128">
            <v>680.99</v>
          </cell>
          <cell r="E128">
            <v>0</v>
          </cell>
          <cell r="F128">
            <v>0</v>
          </cell>
        </row>
        <row r="129">
          <cell r="A129">
            <v>45004</v>
          </cell>
          <cell r="B129" t="str">
            <v>Party</v>
          </cell>
          <cell r="C129">
            <v>0</v>
          </cell>
          <cell r="D129">
            <v>240</v>
          </cell>
          <cell r="E129">
            <v>0</v>
          </cell>
          <cell r="F129">
            <v>0</v>
          </cell>
        </row>
        <row r="135">
          <cell r="A135">
            <v>45005</v>
          </cell>
          <cell r="B135" t="str">
            <v>LM</v>
          </cell>
          <cell r="C135">
            <v>0</v>
          </cell>
          <cell r="D135">
            <v>2164.15</v>
          </cell>
          <cell r="E135">
            <v>0</v>
          </cell>
          <cell r="F135">
            <v>0</v>
          </cell>
        </row>
        <row r="136">
          <cell r="A136">
            <v>45005</v>
          </cell>
          <cell r="B136" t="str">
            <v>Rauchen</v>
          </cell>
          <cell r="C136">
            <v>0</v>
          </cell>
          <cell r="D136">
            <v>140</v>
          </cell>
          <cell r="E136">
            <v>0</v>
          </cell>
          <cell r="F136">
            <v>0</v>
          </cell>
        </row>
        <row r="142">
          <cell r="A142">
            <v>45006</v>
          </cell>
          <cell r="B142" t="str">
            <v>LM</v>
          </cell>
          <cell r="C142">
            <v>0</v>
          </cell>
          <cell r="D142">
            <v>215</v>
          </cell>
          <cell r="E142">
            <v>0</v>
          </cell>
          <cell r="F142">
            <v>0</v>
          </cell>
        </row>
        <row r="149">
          <cell r="A149">
            <v>45007</v>
          </cell>
          <cell r="B149" t="str">
            <v>VM</v>
          </cell>
          <cell r="C149">
            <v>0</v>
          </cell>
          <cell r="D149">
            <v>112</v>
          </cell>
          <cell r="E149">
            <v>0</v>
          </cell>
          <cell r="F149">
            <v>0</v>
          </cell>
        </row>
        <row r="156">
          <cell r="A156">
            <v>45008</v>
          </cell>
          <cell r="B156" t="str">
            <v>LM</v>
          </cell>
          <cell r="C156">
            <v>0</v>
          </cell>
          <cell r="D156">
            <v>742.5</v>
          </cell>
          <cell r="E156">
            <v>0</v>
          </cell>
          <cell r="F156">
            <v>0</v>
          </cell>
        </row>
        <row r="157">
          <cell r="A157">
            <v>45008</v>
          </cell>
          <cell r="B157" t="str">
            <v>VM</v>
          </cell>
          <cell r="C157">
            <v>0</v>
          </cell>
          <cell r="D157">
            <v>56</v>
          </cell>
          <cell r="E157">
            <v>0</v>
          </cell>
          <cell r="F157">
            <v>0</v>
          </cell>
        </row>
        <row r="163">
          <cell r="A163">
            <v>45009</v>
          </cell>
          <cell r="B163" t="str">
            <v>Rauchen</v>
          </cell>
          <cell r="C163">
            <v>0</v>
          </cell>
          <cell r="D163">
            <v>150</v>
          </cell>
          <cell r="E163">
            <v>0</v>
          </cell>
          <cell r="F163">
            <v>0</v>
          </cell>
        </row>
        <row r="164">
          <cell r="A164">
            <v>45009</v>
          </cell>
          <cell r="B164" t="str">
            <v>VM</v>
          </cell>
          <cell r="C164">
            <v>0</v>
          </cell>
          <cell r="D164">
            <v>112</v>
          </cell>
          <cell r="E164">
            <v>0</v>
          </cell>
          <cell r="F164">
            <v>0</v>
          </cell>
        </row>
        <row r="165">
          <cell r="A165">
            <v>45009</v>
          </cell>
          <cell r="B165" t="str">
            <v>LM</v>
          </cell>
          <cell r="C165">
            <v>0</v>
          </cell>
          <cell r="D165">
            <v>344.97</v>
          </cell>
          <cell r="E165">
            <v>0</v>
          </cell>
          <cell r="F165">
            <v>0</v>
          </cell>
        </row>
        <row r="166">
          <cell r="A166">
            <v>45009</v>
          </cell>
          <cell r="B166" t="str">
            <v>Refill</v>
          </cell>
          <cell r="C166">
            <v>40811.089999999997</v>
          </cell>
          <cell r="D166">
            <v>0</v>
          </cell>
          <cell r="E166">
            <v>0</v>
          </cell>
          <cell r="F166">
            <v>0</v>
          </cell>
        </row>
        <row r="170">
          <cell r="A170">
            <v>45010</v>
          </cell>
          <cell r="B170" t="str">
            <v>Andere</v>
          </cell>
          <cell r="C170">
            <v>0</v>
          </cell>
          <cell r="D170">
            <v>10</v>
          </cell>
          <cell r="E170">
            <v>0</v>
          </cell>
          <cell r="F170">
            <v>0</v>
          </cell>
        </row>
        <row r="171">
          <cell r="A171">
            <v>45010</v>
          </cell>
          <cell r="B171" t="str">
            <v>VM</v>
          </cell>
          <cell r="C171">
            <v>0</v>
          </cell>
          <cell r="D171">
            <v>0</v>
          </cell>
          <cell r="E171">
            <v>0</v>
          </cell>
          <cell r="F171">
            <v>63</v>
          </cell>
        </row>
        <row r="172">
          <cell r="A172">
            <v>45010</v>
          </cell>
          <cell r="B172" t="str">
            <v>Kleidung</v>
          </cell>
          <cell r="C172">
            <v>0</v>
          </cell>
          <cell r="D172">
            <v>2427</v>
          </cell>
          <cell r="E172">
            <v>0</v>
          </cell>
          <cell r="F172">
            <v>0</v>
          </cell>
        </row>
        <row r="177">
          <cell r="A177">
            <v>45011</v>
          </cell>
          <cell r="B177" t="str">
            <v>LM</v>
          </cell>
          <cell r="C177">
            <v>0</v>
          </cell>
          <cell r="D177">
            <v>594.98</v>
          </cell>
          <cell r="E177">
            <v>0</v>
          </cell>
          <cell r="F177">
            <v>0</v>
          </cell>
        </row>
        <row r="178">
          <cell r="A178">
            <v>45011</v>
          </cell>
          <cell r="B178" t="str">
            <v>for me</v>
          </cell>
          <cell r="C178">
            <v>0</v>
          </cell>
          <cell r="D178">
            <v>416.5</v>
          </cell>
          <cell r="E178">
            <v>0</v>
          </cell>
          <cell r="F178">
            <v>0</v>
          </cell>
        </row>
        <row r="179">
          <cell r="A179">
            <v>45011</v>
          </cell>
          <cell r="B179" t="str">
            <v>VM</v>
          </cell>
          <cell r="C179">
            <v>0</v>
          </cell>
          <cell r="D179">
            <v>0</v>
          </cell>
          <cell r="E179">
            <v>0</v>
          </cell>
          <cell r="F179">
            <v>24</v>
          </cell>
        </row>
        <row r="184">
          <cell r="A184">
            <v>45012</v>
          </cell>
          <cell r="B184" t="str">
            <v>LM</v>
          </cell>
          <cell r="C184">
            <v>0</v>
          </cell>
          <cell r="D184">
            <v>450</v>
          </cell>
          <cell r="E184">
            <v>0</v>
          </cell>
          <cell r="F184">
            <v>0</v>
          </cell>
        </row>
        <row r="185">
          <cell r="A185">
            <v>45012</v>
          </cell>
          <cell r="B185" t="str">
            <v>Andere</v>
          </cell>
          <cell r="C185">
            <v>0</v>
          </cell>
          <cell r="D185">
            <v>12510</v>
          </cell>
          <cell r="E185">
            <v>0</v>
          </cell>
          <cell r="F185">
            <v>0</v>
          </cell>
        </row>
        <row r="191">
          <cell r="A191">
            <v>45013</v>
          </cell>
          <cell r="B191" t="str">
            <v>LM</v>
          </cell>
          <cell r="C191">
            <v>0</v>
          </cell>
          <cell r="D191">
            <v>910.42</v>
          </cell>
          <cell r="E191">
            <v>0</v>
          </cell>
          <cell r="F191">
            <v>0</v>
          </cell>
        </row>
        <row r="192">
          <cell r="A192">
            <v>45013</v>
          </cell>
          <cell r="B192" t="str">
            <v>VM</v>
          </cell>
          <cell r="C192">
            <v>0</v>
          </cell>
          <cell r="D192">
            <v>0</v>
          </cell>
          <cell r="E192">
            <v>0</v>
          </cell>
          <cell r="F192">
            <v>43.5</v>
          </cell>
        </row>
        <row r="198">
          <cell r="A198">
            <v>45014</v>
          </cell>
          <cell r="B198" t="str">
            <v>Party</v>
          </cell>
          <cell r="C198">
            <v>0</v>
          </cell>
          <cell r="D198">
            <v>1800</v>
          </cell>
          <cell r="E198">
            <v>0</v>
          </cell>
          <cell r="F198">
            <v>0</v>
          </cell>
        </row>
        <row r="199">
          <cell r="A199">
            <v>45014</v>
          </cell>
          <cell r="B199" t="str">
            <v>LM</v>
          </cell>
          <cell r="C199">
            <v>0</v>
          </cell>
          <cell r="D199">
            <v>249.98</v>
          </cell>
          <cell r="E199">
            <v>0</v>
          </cell>
          <cell r="F199">
            <v>0</v>
          </cell>
        </row>
        <row r="205">
          <cell r="A205">
            <v>45015</v>
          </cell>
          <cell r="B205" t="str">
            <v>Andere</v>
          </cell>
          <cell r="C205">
            <v>0</v>
          </cell>
          <cell r="D205">
            <v>2000</v>
          </cell>
          <cell r="E205">
            <v>0</v>
          </cell>
          <cell r="F205">
            <v>0</v>
          </cell>
        </row>
        <row r="206">
          <cell r="A206">
            <v>45015</v>
          </cell>
          <cell r="B206" t="str">
            <v>VM</v>
          </cell>
          <cell r="C206">
            <v>0</v>
          </cell>
          <cell r="D206">
            <v>56</v>
          </cell>
          <cell r="E206">
            <v>0</v>
          </cell>
          <cell r="F206">
            <v>487.5</v>
          </cell>
        </row>
        <row r="207">
          <cell r="A207">
            <v>45015</v>
          </cell>
          <cell r="B207" t="str">
            <v>LM</v>
          </cell>
          <cell r="C207">
            <v>0</v>
          </cell>
          <cell r="D207">
            <v>209</v>
          </cell>
          <cell r="E207">
            <v>0</v>
          </cell>
          <cell r="F207">
            <v>0</v>
          </cell>
        </row>
        <row r="212">
          <cell r="A212">
            <v>45016</v>
          </cell>
          <cell r="B212" t="str">
            <v>rent</v>
          </cell>
          <cell r="C212">
            <v>0</v>
          </cell>
          <cell r="D212">
            <v>55000</v>
          </cell>
          <cell r="E212">
            <v>0</v>
          </cell>
          <cell r="F212">
            <v>0</v>
          </cell>
        </row>
        <row r="213">
          <cell r="A213">
            <v>45016</v>
          </cell>
          <cell r="B213" t="str">
            <v>LM</v>
          </cell>
          <cell r="C213">
            <v>0</v>
          </cell>
          <cell r="D213">
            <v>2240</v>
          </cell>
          <cell r="E213">
            <v>0</v>
          </cell>
          <cell r="F213">
            <v>0</v>
          </cell>
        </row>
        <row r="214">
          <cell r="A214">
            <v>45016</v>
          </cell>
          <cell r="B214" t="str">
            <v>VM</v>
          </cell>
          <cell r="C214">
            <v>0</v>
          </cell>
          <cell r="D214">
            <v>56</v>
          </cell>
          <cell r="E214">
            <v>0</v>
          </cell>
        </row>
        <row r="215">
          <cell r="A215">
            <v>45016</v>
          </cell>
          <cell r="B215" t="str">
            <v>Refill</v>
          </cell>
          <cell r="C215">
            <v>3057.5299999999997</v>
          </cell>
          <cell r="D215">
            <v>0</v>
          </cell>
          <cell r="E215">
            <v>0</v>
          </cell>
          <cell r="F215">
            <v>0</v>
          </cell>
        </row>
        <row r="216">
          <cell r="A216">
            <v>45016</v>
          </cell>
          <cell r="B216" t="str">
            <v>LM</v>
          </cell>
          <cell r="C216">
            <v>0</v>
          </cell>
          <cell r="D216">
            <v>209.36</v>
          </cell>
          <cell r="E216">
            <v>0</v>
          </cell>
          <cell r="F216">
            <v>0</v>
          </cell>
        </row>
      </sheetData>
      <sheetData sheetId="30">
        <row r="2">
          <cell r="A2">
            <v>45017</v>
          </cell>
          <cell r="B2" t="str">
            <v>LM</v>
          </cell>
          <cell r="C2">
            <v>0</v>
          </cell>
          <cell r="D2">
            <v>1296.5899999999999</v>
          </cell>
          <cell r="E2">
            <v>0</v>
          </cell>
          <cell r="F2">
            <v>0</v>
          </cell>
        </row>
        <row r="9">
          <cell r="A9">
            <v>45018</v>
          </cell>
          <cell r="B9" t="str">
            <v>VM</v>
          </cell>
          <cell r="C9">
            <v>0</v>
          </cell>
          <cell r="D9">
            <v>56</v>
          </cell>
          <cell r="E9">
            <v>0</v>
          </cell>
          <cell r="F9">
            <v>0</v>
          </cell>
        </row>
        <row r="16">
          <cell r="A16">
            <v>45019</v>
          </cell>
          <cell r="B16" t="str">
            <v>Rauchen</v>
          </cell>
          <cell r="C16">
            <v>0</v>
          </cell>
          <cell r="D16">
            <v>145</v>
          </cell>
          <cell r="E16">
            <v>0</v>
          </cell>
          <cell r="F16">
            <v>0</v>
          </cell>
        </row>
        <row r="23">
          <cell r="A23">
            <v>45020</v>
          </cell>
          <cell r="B23" t="str">
            <v>LM</v>
          </cell>
          <cell r="C23">
            <v>0</v>
          </cell>
          <cell r="D23">
            <v>443</v>
          </cell>
          <cell r="E23">
            <v>0</v>
          </cell>
          <cell r="F23">
            <v>0</v>
          </cell>
        </row>
        <row r="24">
          <cell r="A24">
            <v>45020</v>
          </cell>
          <cell r="B24" t="str">
            <v>VM</v>
          </cell>
          <cell r="C24">
            <v>0</v>
          </cell>
          <cell r="D24">
            <v>750</v>
          </cell>
          <cell r="E24">
            <v>0</v>
          </cell>
          <cell r="F24">
            <v>0</v>
          </cell>
        </row>
        <row r="30">
          <cell r="A30">
            <v>45021</v>
          </cell>
          <cell r="B30" t="str">
            <v>LM</v>
          </cell>
          <cell r="C30">
            <v>0</v>
          </cell>
          <cell r="D30">
            <v>644.89</v>
          </cell>
          <cell r="E30">
            <v>0</v>
          </cell>
          <cell r="F30">
            <v>0</v>
          </cell>
        </row>
        <row r="31">
          <cell r="A31">
            <v>45021</v>
          </cell>
          <cell r="B31" t="str">
            <v>Rauchen</v>
          </cell>
          <cell r="C31">
            <v>0</v>
          </cell>
          <cell r="D31">
            <v>140</v>
          </cell>
          <cell r="E31">
            <v>0</v>
          </cell>
          <cell r="F31">
            <v>0</v>
          </cell>
        </row>
        <row r="37">
          <cell r="A37">
            <v>45022</v>
          </cell>
          <cell r="B37" t="str">
            <v>Andere</v>
          </cell>
          <cell r="C37">
            <v>0</v>
          </cell>
          <cell r="D37">
            <v>600</v>
          </cell>
          <cell r="E37">
            <v>0</v>
          </cell>
          <cell r="F37">
            <v>0</v>
          </cell>
        </row>
        <row r="38">
          <cell r="A38">
            <v>45022</v>
          </cell>
          <cell r="B38" t="str">
            <v>VM</v>
          </cell>
          <cell r="C38">
            <v>0</v>
          </cell>
          <cell r="D38">
            <v>470</v>
          </cell>
          <cell r="E38">
            <v>0</v>
          </cell>
          <cell r="F38">
            <v>22.5</v>
          </cell>
        </row>
        <row r="39">
          <cell r="A39">
            <v>45022</v>
          </cell>
          <cell r="B39" t="str">
            <v>LM</v>
          </cell>
          <cell r="C39">
            <v>0</v>
          </cell>
          <cell r="D39">
            <v>250.79</v>
          </cell>
          <cell r="E39">
            <v>0</v>
          </cell>
          <cell r="F39">
            <v>0</v>
          </cell>
        </row>
        <row r="44">
          <cell r="A44">
            <v>45023</v>
          </cell>
          <cell r="B44" t="str">
            <v>Andere</v>
          </cell>
          <cell r="C44">
            <v>0</v>
          </cell>
          <cell r="D44">
            <v>700</v>
          </cell>
          <cell r="E44">
            <v>0</v>
          </cell>
          <cell r="F44">
            <v>0</v>
          </cell>
        </row>
        <row r="45">
          <cell r="A45">
            <v>45023</v>
          </cell>
          <cell r="B45" t="str">
            <v>LM</v>
          </cell>
          <cell r="C45">
            <v>0</v>
          </cell>
          <cell r="D45">
            <v>60</v>
          </cell>
          <cell r="E45">
            <v>0</v>
          </cell>
          <cell r="F45">
            <v>0</v>
          </cell>
        </row>
        <row r="46">
          <cell r="A46">
            <v>45023</v>
          </cell>
          <cell r="B46" t="str">
            <v>Refill</v>
          </cell>
          <cell r="C46">
            <v>59412.91</v>
          </cell>
          <cell r="D46">
            <v>0</v>
          </cell>
          <cell r="E46">
            <v>0</v>
          </cell>
          <cell r="F46">
            <v>0</v>
          </cell>
        </row>
        <row r="47">
          <cell r="A47">
            <v>45023</v>
          </cell>
          <cell r="B47" t="str">
            <v>VM</v>
          </cell>
          <cell r="C47">
            <v>0</v>
          </cell>
          <cell r="D47">
            <v>0</v>
          </cell>
          <cell r="E47">
            <v>0</v>
          </cell>
          <cell r="F47">
            <v>171.5</v>
          </cell>
        </row>
        <row r="51">
          <cell r="A51">
            <v>45024</v>
          </cell>
          <cell r="B51" t="str">
            <v>LM</v>
          </cell>
          <cell r="C51">
            <v>0</v>
          </cell>
          <cell r="D51">
            <v>817.86</v>
          </cell>
          <cell r="E51">
            <v>0</v>
          </cell>
          <cell r="F51">
            <v>0</v>
          </cell>
        </row>
        <row r="58">
          <cell r="A58">
            <v>45025</v>
          </cell>
          <cell r="B58" t="str">
            <v>Andere</v>
          </cell>
          <cell r="C58">
            <v>0</v>
          </cell>
          <cell r="D58">
            <v>579</v>
          </cell>
          <cell r="E58">
            <v>0</v>
          </cell>
          <cell r="F58">
            <v>0</v>
          </cell>
        </row>
        <row r="59">
          <cell r="A59">
            <v>45025</v>
          </cell>
          <cell r="B59" t="str">
            <v>LM</v>
          </cell>
          <cell r="C59">
            <v>0</v>
          </cell>
          <cell r="D59">
            <v>1746.38</v>
          </cell>
          <cell r="E59">
            <v>0</v>
          </cell>
          <cell r="F59">
            <v>0</v>
          </cell>
        </row>
        <row r="60">
          <cell r="A60">
            <v>45025</v>
          </cell>
          <cell r="B60" t="str">
            <v>VM</v>
          </cell>
          <cell r="C60">
            <v>0</v>
          </cell>
          <cell r="D60">
            <v>0</v>
          </cell>
          <cell r="E60">
            <v>0</v>
          </cell>
          <cell r="F60">
            <v>14</v>
          </cell>
        </row>
        <row r="65">
          <cell r="A65">
            <v>45026</v>
          </cell>
          <cell r="B65" t="str">
            <v>Rauchen</v>
          </cell>
          <cell r="C65">
            <v>0</v>
          </cell>
          <cell r="D65">
            <v>140</v>
          </cell>
          <cell r="E65">
            <v>0</v>
          </cell>
          <cell r="F65">
            <v>0</v>
          </cell>
        </row>
        <row r="72">
          <cell r="A72">
            <v>45027</v>
          </cell>
          <cell r="B72" t="str">
            <v>LM</v>
          </cell>
          <cell r="C72">
            <v>0</v>
          </cell>
          <cell r="D72">
            <v>560</v>
          </cell>
          <cell r="E72">
            <v>0</v>
          </cell>
          <cell r="F72">
            <v>0</v>
          </cell>
        </row>
        <row r="73">
          <cell r="A73">
            <v>45027</v>
          </cell>
          <cell r="B73" t="str">
            <v>VM</v>
          </cell>
          <cell r="C73">
            <v>0</v>
          </cell>
          <cell r="D73">
            <v>0</v>
          </cell>
          <cell r="E73">
            <v>0</v>
          </cell>
          <cell r="F73">
            <v>37.5</v>
          </cell>
        </row>
        <row r="74">
          <cell r="A74">
            <v>45027</v>
          </cell>
          <cell r="B74" t="str">
            <v>none</v>
          </cell>
          <cell r="C74">
            <v>0</v>
          </cell>
          <cell r="D74">
            <v>800</v>
          </cell>
          <cell r="E74">
            <v>800</v>
          </cell>
          <cell r="F74">
            <v>0</v>
          </cell>
        </row>
        <row r="79">
          <cell r="A79">
            <v>45028</v>
          </cell>
          <cell r="B79" t="str">
            <v>Frauen</v>
          </cell>
          <cell r="C79">
            <v>0</v>
          </cell>
          <cell r="D79">
            <v>1526</v>
          </cell>
          <cell r="E79">
            <v>0</v>
          </cell>
          <cell r="F79">
            <v>0</v>
          </cell>
        </row>
        <row r="80">
          <cell r="A80">
            <v>45028</v>
          </cell>
          <cell r="B80" t="str">
            <v>LM</v>
          </cell>
          <cell r="C80">
            <v>0</v>
          </cell>
          <cell r="D80">
            <v>590</v>
          </cell>
          <cell r="E80">
            <v>0</v>
          </cell>
          <cell r="F80">
            <v>0</v>
          </cell>
        </row>
        <row r="81">
          <cell r="A81">
            <v>45028</v>
          </cell>
          <cell r="B81" t="str">
            <v>Rauchen</v>
          </cell>
          <cell r="C81">
            <v>0</v>
          </cell>
          <cell r="D81">
            <v>140</v>
          </cell>
          <cell r="E81">
            <v>0</v>
          </cell>
          <cell r="F81">
            <v>0</v>
          </cell>
        </row>
        <row r="82">
          <cell r="A82">
            <v>45028</v>
          </cell>
          <cell r="B82" t="str">
            <v>VM</v>
          </cell>
          <cell r="C82">
            <v>0</v>
          </cell>
          <cell r="D82">
            <v>0</v>
          </cell>
          <cell r="E82">
            <v>0</v>
          </cell>
          <cell r="F82">
            <v>30.96</v>
          </cell>
        </row>
        <row r="86">
          <cell r="A86">
            <v>45029</v>
          </cell>
          <cell r="B86" t="str">
            <v>LM</v>
          </cell>
          <cell r="C86">
            <v>0</v>
          </cell>
          <cell r="D86">
            <v>416</v>
          </cell>
          <cell r="E86">
            <v>0</v>
          </cell>
          <cell r="F86">
            <v>0</v>
          </cell>
        </row>
        <row r="87">
          <cell r="A87">
            <v>45029</v>
          </cell>
          <cell r="B87" t="str">
            <v>VM</v>
          </cell>
          <cell r="C87">
            <v>0</v>
          </cell>
          <cell r="D87">
            <v>0</v>
          </cell>
          <cell r="E87">
            <v>0</v>
          </cell>
          <cell r="F87">
            <v>30</v>
          </cell>
        </row>
        <row r="88">
          <cell r="A88">
            <v>45029</v>
          </cell>
          <cell r="B88" t="str">
            <v>none</v>
          </cell>
          <cell r="C88">
            <v>100</v>
          </cell>
          <cell r="D88">
            <v>0</v>
          </cell>
          <cell r="E88">
            <v>0</v>
          </cell>
          <cell r="F88">
            <v>0</v>
          </cell>
        </row>
        <row r="93">
          <cell r="A93">
            <v>45030</v>
          </cell>
          <cell r="B93" t="str">
            <v>LM</v>
          </cell>
          <cell r="C93">
            <v>0</v>
          </cell>
          <cell r="D93">
            <v>1140</v>
          </cell>
          <cell r="E93">
            <v>0</v>
          </cell>
          <cell r="F93">
            <v>0</v>
          </cell>
        </row>
        <row r="94">
          <cell r="A94">
            <v>45030</v>
          </cell>
          <cell r="B94" t="str">
            <v>VM</v>
          </cell>
          <cell r="C94">
            <v>0</v>
          </cell>
          <cell r="D94">
            <v>0</v>
          </cell>
          <cell r="E94">
            <v>0</v>
          </cell>
          <cell r="F94">
            <v>7.5</v>
          </cell>
        </row>
        <row r="100">
          <cell r="A100">
            <v>45031</v>
          </cell>
          <cell r="B100" t="str">
            <v>Rauchen</v>
          </cell>
          <cell r="C100">
            <v>0</v>
          </cell>
          <cell r="D100">
            <v>155</v>
          </cell>
          <cell r="E100">
            <v>0</v>
          </cell>
          <cell r="F100">
            <v>0</v>
          </cell>
        </row>
        <row r="101">
          <cell r="A101">
            <v>45031</v>
          </cell>
          <cell r="B101" t="str">
            <v>Andere</v>
          </cell>
          <cell r="C101">
            <v>0</v>
          </cell>
          <cell r="D101">
            <v>311</v>
          </cell>
          <cell r="E101">
            <v>0</v>
          </cell>
          <cell r="F101">
            <v>0</v>
          </cell>
        </row>
        <row r="102">
          <cell r="A102">
            <v>45031</v>
          </cell>
          <cell r="B102" t="str">
            <v>VM</v>
          </cell>
          <cell r="C102">
            <v>0</v>
          </cell>
          <cell r="D102">
            <v>0</v>
          </cell>
          <cell r="E102">
            <v>0</v>
          </cell>
          <cell r="F102">
            <v>528.5</v>
          </cell>
        </row>
        <row r="107">
          <cell r="A107">
            <v>45032</v>
          </cell>
          <cell r="B107" t="str">
            <v>Party</v>
          </cell>
          <cell r="C107">
            <v>0</v>
          </cell>
          <cell r="D107">
            <v>3200</v>
          </cell>
          <cell r="E107">
            <v>0</v>
          </cell>
          <cell r="F107">
            <v>0</v>
          </cell>
        </row>
        <row r="108">
          <cell r="A108">
            <v>45032</v>
          </cell>
          <cell r="B108" t="str">
            <v>LM</v>
          </cell>
          <cell r="C108">
            <v>0</v>
          </cell>
          <cell r="D108">
            <v>432.68</v>
          </cell>
          <cell r="E108">
            <v>0</v>
          </cell>
          <cell r="F108">
            <v>0</v>
          </cell>
        </row>
        <row r="114">
          <cell r="A114">
            <v>45033</v>
          </cell>
          <cell r="B114" t="str">
            <v>LM</v>
          </cell>
          <cell r="C114">
            <v>0</v>
          </cell>
          <cell r="D114">
            <v>622.97</v>
          </cell>
          <cell r="E114">
            <v>0</v>
          </cell>
          <cell r="F114">
            <v>0</v>
          </cell>
        </row>
        <row r="121">
          <cell r="A121">
            <v>45034</v>
          </cell>
          <cell r="B121" t="str">
            <v>LM</v>
          </cell>
          <cell r="C121">
            <v>0</v>
          </cell>
          <cell r="D121">
            <v>215</v>
          </cell>
          <cell r="E121">
            <v>0</v>
          </cell>
          <cell r="F121">
            <v>0</v>
          </cell>
        </row>
        <row r="122">
          <cell r="A122">
            <v>45034</v>
          </cell>
          <cell r="B122" t="str">
            <v>VM</v>
          </cell>
          <cell r="C122">
            <v>0</v>
          </cell>
          <cell r="D122">
            <v>0</v>
          </cell>
          <cell r="E122">
            <v>0</v>
          </cell>
          <cell r="F122">
            <v>29</v>
          </cell>
        </row>
        <row r="128">
          <cell r="A128">
            <v>45035</v>
          </cell>
          <cell r="B128" t="str">
            <v>LM</v>
          </cell>
          <cell r="C128">
            <v>0</v>
          </cell>
          <cell r="D128">
            <v>1170</v>
          </cell>
          <cell r="E128">
            <v>0</v>
          </cell>
          <cell r="F128">
            <v>0</v>
          </cell>
        </row>
        <row r="129">
          <cell r="A129">
            <v>45035</v>
          </cell>
          <cell r="B129" t="str">
            <v>VM</v>
          </cell>
          <cell r="C129">
            <v>0</v>
          </cell>
          <cell r="D129">
            <v>0</v>
          </cell>
          <cell r="E129">
            <v>0</v>
          </cell>
          <cell r="F129">
            <v>29.5</v>
          </cell>
        </row>
        <row r="135">
          <cell r="A135">
            <v>45036</v>
          </cell>
          <cell r="B135" t="str">
            <v>LM</v>
          </cell>
          <cell r="C135">
            <v>0</v>
          </cell>
          <cell r="D135">
            <v>1121</v>
          </cell>
          <cell r="E135">
            <v>0</v>
          </cell>
          <cell r="F135">
            <v>0</v>
          </cell>
        </row>
        <row r="136">
          <cell r="A136">
            <v>45036</v>
          </cell>
          <cell r="B136" t="str">
            <v>VM</v>
          </cell>
          <cell r="C136">
            <v>0</v>
          </cell>
          <cell r="D136">
            <v>0</v>
          </cell>
          <cell r="E136">
            <v>0</v>
          </cell>
          <cell r="F136">
            <v>32.96</v>
          </cell>
        </row>
        <row r="149">
          <cell r="A149">
            <v>45038</v>
          </cell>
          <cell r="B149" t="str">
            <v>LM</v>
          </cell>
          <cell r="C149">
            <v>0</v>
          </cell>
          <cell r="D149">
            <v>1199.71</v>
          </cell>
          <cell r="E149">
            <v>0</v>
          </cell>
          <cell r="F149">
            <v>0</v>
          </cell>
        </row>
        <row r="150">
          <cell r="A150">
            <v>45038</v>
          </cell>
          <cell r="B150" t="str">
            <v>Andere</v>
          </cell>
          <cell r="C150">
            <v>0</v>
          </cell>
          <cell r="D150">
            <v>382</v>
          </cell>
          <cell r="E150">
            <v>0</v>
          </cell>
          <cell r="F150">
            <v>0</v>
          </cell>
        </row>
        <row r="151">
          <cell r="A151">
            <v>45038</v>
          </cell>
          <cell r="B151" t="str">
            <v>VM</v>
          </cell>
          <cell r="C151">
            <v>0</v>
          </cell>
          <cell r="D151">
            <v>16338</v>
          </cell>
          <cell r="E151">
            <v>0</v>
          </cell>
          <cell r="F151">
            <v>0</v>
          </cell>
        </row>
        <row r="163">
          <cell r="A163">
            <v>45040</v>
          </cell>
          <cell r="B163" t="str">
            <v>Refill</v>
          </cell>
          <cell r="C163">
            <v>44892</v>
          </cell>
          <cell r="D163">
            <v>0</v>
          </cell>
          <cell r="E163">
            <v>0</v>
          </cell>
          <cell r="F163">
            <v>0</v>
          </cell>
        </row>
        <row r="164">
          <cell r="A164">
            <v>45040</v>
          </cell>
          <cell r="B164" t="str">
            <v>LM</v>
          </cell>
          <cell r="C164">
            <v>0</v>
          </cell>
          <cell r="D164">
            <v>638.25</v>
          </cell>
          <cell r="E164">
            <v>0</v>
          </cell>
          <cell r="F164">
            <v>0</v>
          </cell>
        </row>
        <row r="165">
          <cell r="A165">
            <v>45040</v>
          </cell>
          <cell r="B165" t="str">
            <v>Andere</v>
          </cell>
          <cell r="C165">
            <v>0</v>
          </cell>
          <cell r="D165">
            <v>1000</v>
          </cell>
          <cell r="E165">
            <v>0</v>
          </cell>
          <cell r="F165">
            <v>0</v>
          </cell>
        </row>
        <row r="166">
          <cell r="A166">
            <v>45040</v>
          </cell>
          <cell r="B166" t="str">
            <v>none</v>
          </cell>
          <cell r="C166">
            <v>0</v>
          </cell>
          <cell r="D166">
            <v>6000</v>
          </cell>
          <cell r="E166">
            <v>6000</v>
          </cell>
          <cell r="F166">
            <v>0</v>
          </cell>
        </row>
        <row r="170">
          <cell r="A170">
            <v>45041</v>
          </cell>
          <cell r="B170" t="str">
            <v>VM</v>
          </cell>
          <cell r="C170">
            <v>2564</v>
          </cell>
          <cell r="D170">
            <v>0</v>
          </cell>
          <cell r="E170">
            <v>0</v>
          </cell>
          <cell r="F170">
            <v>7780</v>
          </cell>
        </row>
        <row r="171">
          <cell r="A171">
            <v>45041</v>
          </cell>
          <cell r="B171" t="str">
            <v>LM</v>
          </cell>
          <cell r="C171">
            <v>0</v>
          </cell>
          <cell r="D171">
            <v>1122</v>
          </cell>
          <cell r="E171">
            <v>0</v>
          </cell>
          <cell r="F171">
            <v>0</v>
          </cell>
        </row>
        <row r="177">
          <cell r="A177">
            <v>45042</v>
          </cell>
          <cell r="B177" t="str">
            <v>LM</v>
          </cell>
          <cell r="C177">
            <v>0</v>
          </cell>
          <cell r="D177">
            <v>141.16999999999999</v>
          </cell>
          <cell r="E177">
            <v>0</v>
          </cell>
          <cell r="F177">
            <v>0</v>
          </cell>
        </row>
        <row r="178">
          <cell r="A178">
            <v>45042</v>
          </cell>
          <cell r="B178" t="str">
            <v>LM</v>
          </cell>
          <cell r="C178">
            <v>0</v>
          </cell>
          <cell r="D178">
            <v>501</v>
          </cell>
          <cell r="E178">
            <v>0</v>
          </cell>
          <cell r="F178">
            <v>0</v>
          </cell>
        </row>
        <row r="184">
          <cell r="A184">
            <v>45043</v>
          </cell>
          <cell r="B184" t="str">
            <v>LM</v>
          </cell>
          <cell r="C184">
            <v>0</v>
          </cell>
          <cell r="D184">
            <v>706</v>
          </cell>
          <cell r="E184">
            <v>0</v>
          </cell>
          <cell r="F184">
            <v>0</v>
          </cell>
        </row>
        <row r="185">
          <cell r="A185">
            <v>45043</v>
          </cell>
          <cell r="B185" t="str">
            <v>Rauchen</v>
          </cell>
          <cell r="C185">
            <v>0</v>
          </cell>
          <cell r="D185">
            <v>150</v>
          </cell>
          <cell r="E185">
            <v>0</v>
          </cell>
          <cell r="F185">
            <v>0</v>
          </cell>
        </row>
        <row r="191">
          <cell r="A191">
            <v>45044</v>
          </cell>
          <cell r="B191" t="str">
            <v>LM</v>
          </cell>
          <cell r="C191">
            <v>0</v>
          </cell>
          <cell r="D191">
            <v>990</v>
          </cell>
          <cell r="E191">
            <v>0</v>
          </cell>
          <cell r="F191">
            <v>0</v>
          </cell>
        </row>
        <row r="198">
          <cell r="A198">
            <v>45045</v>
          </cell>
          <cell r="B198" t="str">
            <v>Andere</v>
          </cell>
          <cell r="C198">
            <v>0</v>
          </cell>
          <cell r="D198">
            <v>106</v>
          </cell>
          <cell r="E198">
            <v>0</v>
          </cell>
          <cell r="F198">
            <v>0</v>
          </cell>
        </row>
        <row r="199">
          <cell r="A199">
            <v>45045</v>
          </cell>
          <cell r="B199" t="str">
            <v>Party</v>
          </cell>
          <cell r="C199">
            <v>0</v>
          </cell>
          <cell r="D199">
            <v>900</v>
          </cell>
          <cell r="E199">
            <v>0</v>
          </cell>
          <cell r="F199">
            <v>0</v>
          </cell>
        </row>
        <row r="200">
          <cell r="A200">
            <v>45045</v>
          </cell>
          <cell r="B200" t="str">
            <v>LM</v>
          </cell>
          <cell r="C200">
            <v>0</v>
          </cell>
          <cell r="D200">
            <v>527</v>
          </cell>
          <cell r="E200">
            <v>0</v>
          </cell>
          <cell r="F200">
            <v>0</v>
          </cell>
        </row>
        <row r="201">
          <cell r="A201">
            <v>45045</v>
          </cell>
          <cell r="B201" t="str">
            <v>Rauchen</v>
          </cell>
          <cell r="C201">
            <v>0</v>
          </cell>
          <cell r="D201">
            <v>140</v>
          </cell>
          <cell r="E201">
            <v>0</v>
          </cell>
          <cell r="F201">
            <v>0</v>
          </cell>
        </row>
        <row r="202">
          <cell r="A202">
            <v>45045</v>
          </cell>
          <cell r="B202" t="str">
            <v>none</v>
          </cell>
          <cell r="C202">
            <v>0</v>
          </cell>
          <cell r="D202">
            <v>1800</v>
          </cell>
          <cell r="E202">
            <v>1800</v>
          </cell>
          <cell r="F202">
            <v>0</v>
          </cell>
        </row>
        <row r="205">
          <cell r="A205">
            <v>45046</v>
          </cell>
          <cell r="B205" t="str">
            <v>Andere</v>
          </cell>
          <cell r="C205">
            <v>0</v>
          </cell>
          <cell r="D205">
            <v>1000</v>
          </cell>
          <cell r="E205">
            <v>0</v>
          </cell>
          <cell r="F205">
            <v>0</v>
          </cell>
        </row>
        <row r="206">
          <cell r="A206">
            <v>45046</v>
          </cell>
          <cell r="B206" t="str">
            <v>VM</v>
          </cell>
          <cell r="C206">
            <v>0</v>
          </cell>
          <cell r="D206">
            <v>500</v>
          </cell>
          <cell r="E206">
            <v>0</v>
          </cell>
          <cell r="F206">
            <v>0</v>
          </cell>
        </row>
        <row r="207">
          <cell r="A207">
            <v>45046</v>
          </cell>
          <cell r="B207" t="str">
            <v>Refill</v>
          </cell>
          <cell r="C207">
            <v>2866.44</v>
          </cell>
          <cell r="D207">
            <v>0</v>
          </cell>
          <cell r="E207">
            <v>0</v>
          </cell>
          <cell r="F207">
            <v>0</v>
          </cell>
        </row>
      </sheetData>
      <sheetData sheetId="31">
        <row r="2">
          <cell r="A2">
            <v>45047</v>
          </cell>
          <cell r="B2" t="str">
            <v>rent</v>
          </cell>
          <cell r="C2">
            <v>0</v>
          </cell>
          <cell r="D2">
            <v>55000</v>
          </cell>
          <cell r="E2">
            <v>0</v>
          </cell>
          <cell r="F2">
            <v>0</v>
          </cell>
        </row>
        <row r="9">
          <cell r="A9">
            <v>45048</v>
          </cell>
          <cell r="B9" t="str">
            <v>Rauchen</v>
          </cell>
          <cell r="C9">
            <v>0</v>
          </cell>
          <cell r="D9">
            <v>519.96</v>
          </cell>
          <cell r="E9">
            <v>0</v>
          </cell>
          <cell r="F9">
            <v>0</v>
          </cell>
        </row>
        <row r="30">
          <cell r="A30">
            <v>45051</v>
          </cell>
          <cell r="B30" t="str">
            <v>LM</v>
          </cell>
          <cell r="C30">
            <v>0</v>
          </cell>
          <cell r="D30">
            <v>300</v>
          </cell>
          <cell r="E30">
            <v>0</v>
          </cell>
          <cell r="F30">
            <v>0</v>
          </cell>
        </row>
        <row r="31">
          <cell r="A31">
            <v>45051</v>
          </cell>
          <cell r="B31" t="str">
            <v>Refill</v>
          </cell>
          <cell r="C31">
            <v>52764.24</v>
          </cell>
          <cell r="D31">
            <v>0</v>
          </cell>
          <cell r="E31">
            <v>0</v>
          </cell>
          <cell r="F31">
            <v>0</v>
          </cell>
        </row>
        <row r="37">
          <cell r="A37">
            <v>45052</v>
          </cell>
          <cell r="B37" t="str">
            <v>LM</v>
          </cell>
          <cell r="C37">
            <v>0</v>
          </cell>
          <cell r="D37">
            <v>264.98</v>
          </cell>
          <cell r="E37">
            <v>0</v>
          </cell>
          <cell r="F37">
            <v>0</v>
          </cell>
        </row>
        <row r="38">
          <cell r="A38">
            <v>45052</v>
          </cell>
          <cell r="B38" t="str">
            <v>Andere</v>
          </cell>
          <cell r="C38">
            <v>0</v>
          </cell>
          <cell r="D38">
            <v>1000</v>
          </cell>
          <cell r="E38">
            <v>0</v>
          </cell>
          <cell r="F38">
            <v>0</v>
          </cell>
        </row>
        <row r="44">
          <cell r="A44">
            <v>45053</v>
          </cell>
          <cell r="B44" t="str">
            <v>LM</v>
          </cell>
          <cell r="C44">
            <v>0</v>
          </cell>
          <cell r="D44">
            <v>300</v>
          </cell>
          <cell r="E44">
            <v>0</v>
          </cell>
          <cell r="F44">
            <v>0</v>
          </cell>
        </row>
        <row r="51">
          <cell r="A51">
            <v>45054</v>
          </cell>
          <cell r="B51" t="str">
            <v>LM</v>
          </cell>
          <cell r="C51">
            <v>0</v>
          </cell>
          <cell r="D51">
            <v>350</v>
          </cell>
          <cell r="E51">
            <v>0</v>
          </cell>
          <cell r="F51">
            <v>0</v>
          </cell>
        </row>
        <row r="52">
          <cell r="A52">
            <v>45054</v>
          </cell>
          <cell r="B52" t="str">
            <v>VM</v>
          </cell>
          <cell r="C52">
            <v>0</v>
          </cell>
          <cell r="D52">
            <v>500</v>
          </cell>
          <cell r="E52">
            <v>0</v>
          </cell>
          <cell r="F52">
            <v>0</v>
          </cell>
        </row>
        <row r="53">
          <cell r="A53">
            <v>45054</v>
          </cell>
          <cell r="B53" t="str">
            <v>VM</v>
          </cell>
          <cell r="C53">
            <v>0</v>
          </cell>
          <cell r="D53">
            <v>470</v>
          </cell>
          <cell r="E53">
            <v>0</v>
          </cell>
          <cell r="F53">
            <v>0</v>
          </cell>
        </row>
        <row r="58">
          <cell r="A58">
            <v>45055</v>
          </cell>
          <cell r="B58" t="str">
            <v>LM</v>
          </cell>
          <cell r="C58">
            <v>0</v>
          </cell>
          <cell r="D58">
            <v>439</v>
          </cell>
          <cell r="E58">
            <v>0</v>
          </cell>
          <cell r="F58">
            <v>0</v>
          </cell>
        </row>
        <row r="59">
          <cell r="A59">
            <v>45055</v>
          </cell>
          <cell r="B59" t="str">
            <v>Andere</v>
          </cell>
          <cell r="C59">
            <v>0</v>
          </cell>
          <cell r="D59">
            <v>2200</v>
          </cell>
          <cell r="E59">
            <v>0</v>
          </cell>
          <cell r="F59">
            <v>0</v>
          </cell>
        </row>
        <row r="60">
          <cell r="A60">
            <v>45055</v>
          </cell>
          <cell r="B60" t="str">
            <v>LM</v>
          </cell>
          <cell r="C60">
            <v>0</v>
          </cell>
          <cell r="D60">
            <v>837.36</v>
          </cell>
          <cell r="E60">
            <v>0</v>
          </cell>
          <cell r="F60">
            <v>0</v>
          </cell>
        </row>
        <row r="65">
          <cell r="A65">
            <v>45056</v>
          </cell>
          <cell r="B65" t="str">
            <v>Andere</v>
          </cell>
          <cell r="C65">
            <v>0</v>
          </cell>
          <cell r="D65">
            <v>200</v>
          </cell>
          <cell r="E65">
            <v>0</v>
          </cell>
          <cell r="F65">
            <v>0</v>
          </cell>
        </row>
        <row r="66">
          <cell r="A66">
            <v>45056</v>
          </cell>
          <cell r="B66" t="str">
            <v>Andere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</row>
        <row r="72">
          <cell r="A72">
            <v>45057</v>
          </cell>
          <cell r="B72" t="str">
            <v>LM</v>
          </cell>
          <cell r="C72">
            <v>0</v>
          </cell>
          <cell r="D72">
            <v>274</v>
          </cell>
          <cell r="E72">
            <v>0</v>
          </cell>
          <cell r="F72">
            <v>0</v>
          </cell>
        </row>
        <row r="73">
          <cell r="A73">
            <v>45057</v>
          </cell>
          <cell r="B73" t="str">
            <v>Party</v>
          </cell>
          <cell r="C73">
            <v>0</v>
          </cell>
          <cell r="D73">
            <v>1390.5</v>
          </cell>
          <cell r="E73">
            <v>0</v>
          </cell>
          <cell r="F73">
            <v>0</v>
          </cell>
        </row>
        <row r="74">
          <cell r="A74">
            <v>45057</v>
          </cell>
          <cell r="B74" t="str">
            <v>VM</v>
          </cell>
          <cell r="C74">
            <v>0</v>
          </cell>
          <cell r="D74">
            <v>0</v>
          </cell>
          <cell r="E74">
            <v>0</v>
          </cell>
          <cell r="F74">
            <v>397.93</v>
          </cell>
        </row>
        <row r="79">
          <cell r="A79">
            <v>45058</v>
          </cell>
          <cell r="B79" t="str">
            <v>LM</v>
          </cell>
          <cell r="C79">
            <v>0</v>
          </cell>
          <cell r="D79">
            <v>2263.83</v>
          </cell>
          <cell r="E79">
            <v>0</v>
          </cell>
          <cell r="F79">
            <v>0</v>
          </cell>
        </row>
        <row r="80">
          <cell r="A80">
            <v>45058</v>
          </cell>
          <cell r="B80" t="str">
            <v>VM</v>
          </cell>
          <cell r="C80">
            <v>0</v>
          </cell>
          <cell r="D80">
            <v>56</v>
          </cell>
          <cell r="E80">
            <v>0</v>
          </cell>
          <cell r="F80">
            <v>0</v>
          </cell>
        </row>
        <row r="86">
          <cell r="A86">
            <v>45059</v>
          </cell>
          <cell r="B86" t="str">
            <v>VM</v>
          </cell>
          <cell r="C86">
            <v>0</v>
          </cell>
          <cell r="D86">
            <v>558</v>
          </cell>
          <cell r="E86">
            <v>0</v>
          </cell>
          <cell r="F86">
            <v>229.16</v>
          </cell>
        </row>
        <row r="87">
          <cell r="A87">
            <v>45059</v>
          </cell>
          <cell r="B87" t="str">
            <v>LM</v>
          </cell>
          <cell r="C87">
            <v>0</v>
          </cell>
          <cell r="D87">
            <v>833</v>
          </cell>
          <cell r="E87">
            <v>0</v>
          </cell>
          <cell r="F87">
            <v>0</v>
          </cell>
        </row>
        <row r="88">
          <cell r="A88">
            <v>45059</v>
          </cell>
          <cell r="B88" t="str">
            <v>Party</v>
          </cell>
          <cell r="C88">
            <v>0</v>
          </cell>
          <cell r="D88">
            <v>800</v>
          </cell>
          <cell r="E88">
            <v>0</v>
          </cell>
          <cell r="F88">
            <v>0</v>
          </cell>
        </row>
        <row r="89">
          <cell r="A89">
            <v>45059</v>
          </cell>
          <cell r="B89" t="str">
            <v>Andere</v>
          </cell>
          <cell r="C89">
            <v>0</v>
          </cell>
          <cell r="D89">
            <v>2000</v>
          </cell>
          <cell r="E89">
            <v>0</v>
          </cell>
          <cell r="F89">
            <v>0</v>
          </cell>
        </row>
        <row r="91">
          <cell r="A91">
            <v>45059</v>
          </cell>
          <cell r="B91" t="str">
            <v>none</v>
          </cell>
          <cell r="C91">
            <v>0</v>
          </cell>
          <cell r="D91">
            <v>0</v>
          </cell>
          <cell r="E91">
            <v>450.08</v>
          </cell>
          <cell r="F91">
            <v>0</v>
          </cell>
        </row>
        <row r="93">
          <cell r="A93">
            <v>45060</v>
          </cell>
          <cell r="B93" t="str">
            <v>VM</v>
          </cell>
          <cell r="C93">
            <v>0</v>
          </cell>
          <cell r="D93">
            <v>56</v>
          </cell>
          <cell r="E93">
            <v>0</v>
          </cell>
          <cell r="F93">
            <v>0</v>
          </cell>
        </row>
        <row r="94">
          <cell r="A94">
            <v>45060</v>
          </cell>
          <cell r="B94" t="str">
            <v>LM</v>
          </cell>
          <cell r="C94">
            <v>0</v>
          </cell>
          <cell r="D94">
            <v>979.36</v>
          </cell>
          <cell r="E94">
            <v>0</v>
          </cell>
          <cell r="F94">
            <v>0</v>
          </cell>
        </row>
        <row r="100">
          <cell r="A100">
            <v>45061</v>
          </cell>
          <cell r="B100" t="str">
            <v>Andere</v>
          </cell>
          <cell r="C100">
            <v>0</v>
          </cell>
          <cell r="D100">
            <v>252.48</v>
          </cell>
          <cell r="E100">
            <v>0</v>
          </cell>
          <cell r="F100">
            <v>0</v>
          </cell>
        </row>
        <row r="101">
          <cell r="A101">
            <v>45061</v>
          </cell>
          <cell r="B101" t="str">
            <v>VM</v>
          </cell>
          <cell r="C101">
            <v>0</v>
          </cell>
          <cell r="D101">
            <v>0</v>
          </cell>
          <cell r="E101">
            <v>0</v>
          </cell>
          <cell r="F101">
            <v>97.86</v>
          </cell>
        </row>
        <row r="107">
          <cell r="A107">
            <v>45062</v>
          </cell>
          <cell r="B107" t="str">
            <v>LM</v>
          </cell>
          <cell r="C107">
            <v>0</v>
          </cell>
          <cell r="D107">
            <v>544.99</v>
          </cell>
          <cell r="E107">
            <v>0</v>
          </cell>
          <cell r="F107">
            <v>0</v>
          </cell>
        </row>
        <row r="108">
          <cell r="A108">
            <v>45062</v>
          </cell>
          <cell r="B108" t="str">
            <v>VM</v>
          </cell>
          <cell r="C108">
            <v>0</v>
          </cell>
          <cell r="D108">
            <v>0</v>
          </cell>
          <cell r="E108">
            <v>0</v>
          </cell>
          <cell r="F108">
            <v>27.96</v>
          </cell>
        </row>
        <row r="114">
          <cell r="A114">
            <v>45063</v>
          </cell>
          <cell r="B114" t="str">
            <v>LM</v>
          </cell>
          <cell r="C114">
            <v>0</v>
          </cell>
          <cell r="D114">
            <v>1084.58</v>
          </cell>
          <cell r="E114">
            <v>0</v>
          </cell>
          <cell r="F114">
            <v>0</v>
          </cell>
        </row>
        <row r="128">
          <cell r="A128">
            <v>45065</v>
          </cell>
          <cell r="B128" t="str">
            <v>LM</v>
          </cell>
          <cell r="C128">
            <v>0</v>
          </cell>
          <cell r="D128">
            <v>505.96</v>
          </cell>
          <cell r="E128">
            <v>0</v>
          </cell>
          <cell r="F128">
            <v>0</v>
          </cell>
        </row>
        <row r="135">
          <cell r="A135">
            <v>45066</v>
          </cell>
          <cell r="B135" t="str">
            <v>Kleidung</v>
          </cell>
          <cell r="C135">
            <v>0</v>
          </cell>
          <cell r="D135">
            <v>5695</v>
          </cell>
          <cell r="E135">
            <v>0</v>
          </cell>
          <cell r="F135">
            <v>0</v>
          </cell>
        </row>
        <row r="136">
          <cell r="A136">
            <v>45066</v>
          </cell>
          <cell r="B136" t="str">
            <v>LM</v>
          </cell>
          <cell r="C136">
            <v>0</v>
          </cell>
          <cell r="D136">
            <v>565</v>
          </cell>
          <cell r="E136">
            <v>0</v>
          </cell>
          <cell r="F136">
            <v>0</v>
          </cell>
        </row>
        <row r="137">
          <cell r="A137">
            <v>45066</v>
          </cell>
          <cell r="B137" t="str">
            <v>Andere</v>
          </cell>
          <cell r="C137">
            <v>0</v>
          </cell>
          <cell r="D137">
            <v>500</v>
          </cell>
          <cell r="E137">
            <v>0</v>
          </cell>
          <cell r="F137">
            <v>0</v>
          </cell>
        </row>
        <row r="138">
          <cell r="A138">
            <v>45066</v>
          </cell>
          <cell r="B138" t="str">
            <v>VM</v>
          </cell>
          <cell r="C138">
            <v>0</v>
          </cell>
          <cell r="D138">
            <v>0</v>
          </cell>
          <cell r="E138">
            <v>0</v>
          </cell>
          <cell r="F138">
            <v>106.55</v>
          </cell>
        </row>
        <row r="142">
          <cell r="A142">
            <v>45067</v>
          </cell>
          <cell r="B142" t="str">
            <v>Party</v>
          </cell>
          <cell r="C142">
            <v>0</v>
          </cell>
          <cell r="D142">
            <v>2800</v>
          </cell>
          <cell r="E142">
            <v>0</v>
          </cell>
          <cell r="F142">
            <v>0</v>
          </cell>
        </row>
        <row r="143">
          <cell r="A143">
            <v>45067</v>
          </cell>
          <cell r="B143" t="str">
            <v>VM</v>
          </cell>
          <cell r="C143">
            <v>0</v>
          </cell>
          <cell r="D143">
            <v>56</v>
          </cell>
          <cell r="E143">
            <v>0</v>
          </cell>
          <cell r="F143">
            <v>102.06</v>
          </cell>
        </row>
        <row r="144">
          <cell r="A144">
            <v>45067</v>
          </cell>
          <cell r="B144" t="str">
            <v>LM</v>
          </cell>
          <cell r="C144">
            <v>0</v>
          </cell>
          <cell r="D144">
            <v>1376.96</v>
          </cell>
          <cell r="E144">
            <v>0</v>
          </cell>
          <cell r="F144">
            <v>0</v>
          </cell>
        </row>
        <row r="149">
          <cell r="A149">
            <v>45068</v>
          </cell>
          <cell r="B149" t="str">
            <v>VM</v>
          </cell>
          <cell r="C149">
            <v>0</v>
          </cell>
          <cell r="D149">
            <v>56</v>
          </cell>
          <cell r="E149">
            <v>0</v>
          </cell>
          <cell r="F149">
            <v>0</v>
          </cell>
        </row>
        <row r="150">
          <cell r="A150">
            <v>45068</v>
          </cell>
          <cell r="B150" t="str">
            <v>LM</v>
          </cell>
          <cell r="C150">
            <v>0</v>
          </cell>
          <cell r="D150">
            <v>247.96</v>
          </cell>
          <cell r="E150">
            <v>0</v>
          </cell>
          <cell r="F150">
            <v>0</v>
          </cell>
        </row>
        <row r="156">
          <cell r="A156">
            <v>45069</v>
          </cell>
          <cell r="B156" t="str">
            <v>LM</v>
          </cell>
          <cell r="C156">
            <v>0</v>
          </cell>
          <cell r="D156">
            <v>390</v>
          </cell>
          <cell r="E156">
            <v>0</v>
          </cell>
          <cell r="F156">
            <v>0</v>
          </cell>
        </row>
        <row r="157">
          <cell r="A157">
            <v>45069</v>
          </cell>
          <cell r="B157" t="str">
            <v>VM</v>
          </cell>
          <cell r="C157">
            <v>0</v>
          </cell>
          <cell r="D157">
            <v>0</v>
          </cell>
          <cell r="E157">
            <v>0</v>
          </cell>
          <cell r="F157">
            <v>20.97</v>
          </cell>
        </row>
        <row r="163">
          <cell r="A163">
            <v>45070</v>
          </cell>
          <cell r="B163" t="str">
            <v>LM</v>
          </cell>
          <cell r="C163">
            <v>0</v>
          </cell>
          <cell r="D163">
            <v>1506.8000000000002</v>
          </cell>
          <cell r="E163">
            <v>0</v>
          </cell>
          <cell r="F163">
            <v>0</v>
          </cell>
        </row>
        <row r="164">
          <cell r="A164">
            <v>45070</v>
          </cell>
          <cell r="B164" t="str">
            <v>Refill</v>
          </cell>
          <cell r="C164">
            <v>35913</v>
          </cell>
          <cell r="D164">
            <v>0</v>
          </cell>
          <cell r="E164">
            <v>0</v>
          </cell>
          <cell r="F164">
            <v>0</v>
          </cell>
        </row>
        <row r="165">
          <cell r="A165">
            <v>45070</v>
          </cell>
          <cell r="B165" t="str">
            <v>VM</v>
          </cell>
          <cell r="C165">
            <v>0</v>
          </cell>
          <cell r="D165">
            <v>0</v>
          </cell>
          <cell r="E165">
            <v>0</v>
          </cell>
          <cell r="F165">
            <v>41.94</v>
          </cell>
        </row>
        <row r="170">
          <cell r="A170">
            <v>45071</v>
          </cell>
          <cell r="B170" t="str">
            <v>LM</v>
          </cell>
          <cell r="C170">
            <v>0</v>
          </cell>
          <cell r="D170">
            <v>250</v>
          </cell>
          <cell r="E170">
            <v>0</v>
          </cell>
          <cell r="F170">
            <v>0</v>
          </cell>
        </row>
        <row r="171">
          <cell r="A171">
            <v>45071</v>
          </cell>
          <cell r="B171" t="str">
            <v>LM</v>
          </cell>
          <cell r="C171">
            <v>0</v>
          </cell>
          <cell r="D171">
            <v>169</v>
          </cell>
          <cell r="E171">
            <v>0</v>
          </cell>
          <cell r="F171">
            <v>0</v>
          </cell>
        </row>
        <row r="172">
          <cell r="A172">
            <v>45071</v>
          </cell>
          <cell r="B172" t="str">
            <v>VM</v>
          </cell>
          <cell r="C172">
            <v>0</v>
          </cell>
          <cell r="D172">
            <v>0</v>
          </cell>
          <cell r="E172">
            <v>0</v>
          </cell>
          <cell r="F172">
            <v>128.34</v>
          </cell>
        </row>
        <row r="177">
          <cell r="A177">
            <v>45072</v>
          </cell>
          <cell r="B177" t="str">
            <v>Andere</v>
          </cell>
          <cell r="C177">
            <v>0</v>
          </cell>
          <cell r="D177">
            <v>352</v>
          </cell>
          <cell r="E177">
            <v>0</v>
          </cell>
          <cell r="F177">
            <v>0</v>
          </cell>
        </row>
        <row r="178">
          <cell r="A178">
            <v>45072</v>
          </cell>
          <cell r="B178" t="str">
            <v>Kleidung</v>
          </cell>
          <cell r="C178">
            <v>0</v>
          </cell>
          <cell r="D178">
            <v>607</v>
          </cell>
          <cell r="E178">
            <v>0</v>
          </cell>
          <cell r="F178">
            <v>0</v>
          </cell>
        </row>
        <row r="179">
          <cell r="A179">
            <v>45072</v>
          </cell>
          <cell r="B179" t="str">
            <v>LM</v>
          </cell>
          <cell r="C179">
            <v>0</v>
          </cell>
          <cell r="D179">
            <v>774.99</v>
          </cell>
          <cell r="E179">
            <v>0</v>
          </cell>
          <cell r="F179">
            <v>0</v>
          </cell>
        </row>
        <row r="180">
          <cell r="A180">
            <v>45072</v>
          </cell>
          <cell r="B180" t="str">
            <v>VM</v>
          </cell>
          <cell r="C180">
            <v>0</v>
          </cell>
          <cell r="D180">
            <v>0</v>
          </cell>
          <cell r="E180">
            <v>0</v>
          </cell>
          <cell r="F180">
            <v>118.83</v>
          </cell>
        </row>
        <row r="191">
          <cell r="A191">
            <v>45074</v>
          </cell>
          <cell r="B191" t="str">
            <v>Andere</v>
          </cell>
          <cell r="C191">
            <v>0</v>
          </cell>
          <cell r="D191">
            <v>2010</v>
          </cell>
          <cell r="E191">
            <v>0</v>
          </cell>
          <cell r="F191">
            <v>0</v>
          </cell>
        </row>
        <row r="192">
          <cell r="A192">
            <v>45074</v>
          </cell>
          <cell r="B192" t="str">
            <v>LM</v>
          </cell>
          <cell r="C192">
            <v>0</v>
          </cell>
          <cell r="D192">
            <v>533</v>
          </cell>
          <cell r="E192">
            <v>0</v>
          </cell>
          <cell r="F192">
            <v>0</v>
          </cell>
        </row>
        <row r="198">
          <cell r="A198">
            <v>45075</v>
          </cell>
          <cell r="B198" t="str">
            <v>LM</v>
          </cell>
          <cell r="C198">
            <v>0</v>
          </cell>
          <cell r="D198">
            <v>304.47000000000003</v>
          </cell>
          <cell r="E198">
            <v>0</v>
          </cell>
          <cell r="F198">
            <v>0</v>
          </cell>
        </row>
        <row r="199">
          <cell r="A199">
            <v>45075</v>
          </cell>
          <cell r="B199" t="str">
            <v>VM</v>
          </cell>
          <cell r="C199">
            <v>0</v>
          </cell>
          <cell r="D199">
            <v>0</v>
          </cell>
          <cell r="E199">
            <v>0</v>
          </cell>
          <cell r="F199">
            <v>130.29</v>
          </cell>
        </row>
        <row r="201">
          <cell r="A201">
            <v>45075</v>
          </cell>
          <cell r="B201" t="str">
            <v>for me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</row>
        <row r="205">
          <cell r="A205">
            <v>45076</v>
          </cell>
          <cell r="B205" t="str">
            <v>Andere</v>
          </cell>
          <cell r="C205">
            <v>0</v>
          </cell>
          <cell r="D205">
            <v>307</v>
          </cell>
          <cell r="E205">
            <v>0</v>
          </cell>
          <cell r="F205">
            <v>0</v>
          </cell>
        </row>
        <row r="206">
          <cell r="A206">
            <v>45076</v>
          </cell>
          <cell r="B206" t="str">
            <v>LM</v>
          </cell>
          <cell r="C206">
            <v>0</v>
          </cell>
          <cell r="D206">
            <v>1318</v>
          </cell>
          <cell r="E206">
            <v>0</v>
          </cell>
          <cell r="F206">
            <v>0</v>
          </cell>
        </row>
        <row r="207">
          <cell r="A207">
            <v>45076</v>
          </cell>
          <cell r="B207" t="str">
            <v>VM</v>
          </cell>
          <cell r="C207">
            <v>0</v>
          </cell>
          <cell r="D207">
            <v>0</v>
          </cell>
          <cell r="E207">
            <v>0</v>
          </cell>
          <cell r="F207">
            <v>169.56</v>
          </cell>
        </row>
        <row r="212">
          <cell r="A212">
            <v>45077</v>
          </cell>
          <cell r="B212" t="str">
            <v>LM</v>
          </cell>
          <cell r="C212">
            <v>0</v>
          </cell>
          <cell r="D212">
            <v>446.99</v>
          </cell>
          <cell r="E212">
            <v>0</v>
          </cell>
          <cell r="F212">
            <v>0</v>
          </cell>
        </row>
        <row r="213">
          <cell r="A213">
            <v>45077</v>
          </cell>
          <cell r="B213" t="str">
            <v>Refill</v>
          </cell>
          <cell r="C213">
            <v>2930.1400000000003</v>
          </cell>
          <cell r="D213">
            <v>0</v>
          </cell>
          <cell r="E213">
            <v>0</v>
          </cell>
          <cell r="F213">
            <v>0</v>
          </cell>
        </row>
        <row r="214">
          <cell r="A214">
            <v>45077</v>
          </cell>
          <cell r="B214" t="str">
            <v>VM</v>
          </cell>
          <cell r="C214">
            <v>0</v>
          </cell>
          <cell r="D214">
            <v>0</v>
          </cell>
          <cell r="E214">
            <v>0</v>
          </cell>
          <cell r="F214">
            <v>71.900000000000006</v>
          </cell>
        </row>
      </sheetData>
      <sheetData sheetId="32">
        <row r="2">
          <cell r="A2">
            <v>45078</v>
          </cell>
          <cell r="B2" t="str">
            <v>Andere</v>
          </cell>
          <cell r="C2">
            <v>0</v>
          </cell>
          <cell r="D2">
            <v>600</v>
          </cell>
          <cell r="E2">
            <v>0</v>
          </cell>
          <cell r="F2">
            <v>0</v>
          </cell>
        </row>
        <row r="3">
          <cell r="A3">
            <v>45078</v>
          </cell>
          <cell r="B3" t="str">
            <v>LM</v>
          </cell>
          <cell r="C3">
            <v>0</v>
          </cell>
          <cell r="D3">
            <v>490</v>
          </cell>
          <cell r="E3">
            <v>0</v>
          </cell>
          <cell r="F3">
            <v>0</v>
          </cell>
        </row>
        <row r="4">
          <cell r="A4">
            <v>45078</v>
          </cell>
          <cell r="B4" t="str">
            <v>VM</v>
          </cell>
          <cell r="C4">
            <v>0</v>
          </cell>
          <cell r="D4">
            <v>0</v>
          </cell>
          <cell r="E4">
            <v>0</v>
          </cell>
          <cell r="F4">
            <v>111.35</v>
          </cell>
        </row>
        <row r="6">
          <cell r="A6">
            <v>45078</v>
          </cell>
          <cell r="B6" t="str">
            <v>Party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</row>
        <row r="7">
          <cell r="A7">
            <v>45078</v>
          </cell>
          <cell r="B7" t="str">
            <v>Kleidung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</row>
        <row r="8">
          <cell r="A8">
            <v>45078</v>
          </cell>
          <cell r="B8" t="str">
            <v>for me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</row>
        <row r="9">
          <cell r="A9">
            <v>45079</v>
          </cell>
          <cell r="B9" t="str">
            <v>rent</v>
          </cell>
          <cell r="C9">
            <v>0</v>
          </cell>
          <cell r="D9">
            <v>55000</v>
          </cell>
          <cell r="E9">
            <v>0</v>
          </cell>
          <cell r="F9">
            <v>0</v>
          </cell>
        </row>
        <row r="10">
          <cell r="A10">
            <v>45079</v>
          </cell>
          <cell r="B10" t="str">
            <v>LM</v>
          </cell>
          <cell r="C10">
            <v>0</v>
          </cell>
          <cell r="D10">
            <v>834.65</v>
          </cell>
          <cell r="E10">
            <v>0</v>
          </cell>
          <cell r="F10">
            <v>0</v>
          </cell>
        </row>
        <row r="11">
          <cell r="A11">
            <v>45079</v>
          </cell>
          <cell r="B11" t="str">
            <v>Andere</v>
          </cell>
          <cell r="C11">
            <v>0</v>
          </cell>
          <cell r="D11">
            <v>204</v>
          </cell>
          <cell r="E11">
            <v>0</v>
          </cell>
          <cell r="F11">
            <v>0</v>
          </cell>
        </row>
        <row r="12">
          <cell r="A12">
            <v>45079</v>
          </cell>
          <cell r="B12" t="str">
            <v>Rauchen</v>
          </cell>
          <cell r="C12">
            <v>0</v>
          </cell>
          <cell r="D12">
            <v>140</v>
          </cell>
          <cell r="E12">
            <v>0</v>
          </cell>
          <cell r="F12">
            <v>0</v>
          </cell>
        </row>
        <row r="16">
          <cell r="A16">
            <v>45080</v>
          </cell>
          <cell r="B16" t="str">
            <v>Andere</v>
          </cell>
          <cell r="C16">
            <v>0</v>
          </cell>
          <cell r="D16">
            <v>26438</v>
          </cell>
          <cell r="E16">
            <v>0</v>
          </cell>
          <cell r="F16">
            <v>0</v>
          </cell>
        </row>
        <row r="17">
          <cell r="A17">
            <v>45080</v>
          </cell>
          <cell r="B17" t="str">
            <v>VM</v>
          </cell>
          <cell r="C17">
            <v>0</v>
          </cell>
          <cell r="D17">
            <v>0</v>
          </cell>
          <cell r="E17">
            <v>0</v>
          </cell>
          <cell r="F17">
            <v>65.36</v>
          </cell>
        </row>
        <row r="23">
          <cell r="A23">
            <v>45081</v>
          </cell>
          <cell r="B23" t="str">
            <v>LM</v>
          </cell>
          <cell r="C23">
            <v>0</v>
          </cell>
          <cell r="D23">
            <v>2921.4</v>
          </cell>
          <cell r="E23">
            <v>0</v>
          </cell>
          <cell r="F23">
            <v>0</v>
          </cell>
        </row>
        <row r="24">
          <cell r="A24">
            <v>45081</v>
          </cell>
          <cell r="B24" t="str">
            <v>Andere</v>
          </cell>
          <cell r="C24">
            <v>0</v>
          </cell>
          <cell r="D24">
            <v>1290</v>
          </cell>
          <cell r="E24">
            <v>0</v>
          </cell>
          <cell r="F24">
            <v>0</v>
          </cell>
        </row>
        <row r="25">
          <cell r="A25">
            <v>45081</v>
          </cell>
          <cell r="B25" t="str">
            <v>Party</v>
          </cell>
          <cell r="C25">
            <v>0</v>
          </cell>
          <cell r="D25">
            <v>270</v>
          </cell>
          <cell r="E25">
            <v>0</v>
          </cell>
          <cell r="F25">
            <v>0</v>
          </cell>
        </row>
        <row r="26">
          <cell r="A26">
            <v>45081</v>
          </cell>
          <cell r="B26" t="str">
            <v>VM</v>
          </cell>
          <cell r="C26">
            <v>0</v>
          </cell>
          <cell r="D26">
            <v>0</v>
          </cell>
          <cell r="E26">
            <v>0</v>
          </cell>
          <cell r="F26">
            <v>15.18</v>
          </cell>
        </row>
        <row r="30">
          <cell r="A30">
            <v>45082</v>
          </cell>
          <cell r="B30" t="str">
            <v>Rauchen</v>
          </cell>
          <cell r="C30">
            <v>0</v>
          </cell>
          <cell r="D30">
            <v>140</v>
          </cell>
          <cell r="E30">
            <v>0</v>
          </cell>
          <cell r="F30">
            <v>0</v>
          </cell>
        </row>
        <row r="31">
          <cell r="A31">
            <v>45082</v>
          </cell>
          <cell r="B31" t="str">
            <v>VM</v>
          </cell>
          <cell r="C31">
            <v>0</v>
          </cell>
          <cell r="D31">
            <v>0</v>
          </cell>
          <cell r="E31">
            <v>0</v>
          </cell>
          <cell r="F31">
            <v>14.38</v>
          </cell>
        </row>
        <row r="37">
          <cell r="A37">
            <v>45083</v>
          </cell>
          <cell r="B37" t="str">
            <v>Party</v>
          </cell>
          <cell r="C37">
            <v>0</v>
          </cell>
          <cell r="D37">
            <v>900</v>
          </cell>
          <cell r="E37">
            <v>0</v>
          </cell>
          <cell r="F37">
            <v>0</v>
          </cell>
        </row>
        <row r="38">
          <cell r="A38">
            <v>45083</v>
          </cell>
          <cell r="B38" t="str">
            <v>Andere</v>
          </cell>
          <cell r="C38">
            <v>0</v>
          </cell>
          <cell r="D38">
            <v>1000</v>
          </cell>
          <cell r="E38">
            <v>0</v>
          </cell>
          <cell r="F38">
            <v>0</v>
          </cell>
        </row>
        <row r="39">
          <cell r="A39">
            <v>45083</v>
          </cell>
          <cell r="B39" t="str">
            <v>Andere</v>
          </cell>
          <cell r="C39">
            <v>0</v>
          </cell>
          <cell r="D39">
            <v>13000</v>
          </cell>
          <cell r="E39">
            <v>0</v>
          </cell>
          <cell r="F39">
            <v>0</v>
          </cell>
        </row>
        <row r="40">
          <cell r="A40">
            <v>45083</v>
          </cell>
          <cell r="B40" t="str">
            <v>LM</v>
          </cell>
          <cell r="C40">
            <v>0</v>
          </cell>
          <cell r="D40">
            <v>359.21</v>
          </cell>
          <cell r="E40">
            <v>0</v>
          </cell>
          <cell r="F40">
            <v>0</v>
          </cell>
        </row>
        <row r="44">
          <cell r="A44">
            <v>45084</v>
          </cell>
          <cell r="B44" t="str">
            <v>VM</v>
          </cell>
          <cell r="C44">
            <v>0</v>
          </cell>
          <cell r="D44">
            <v>470</v>
          </cell>
          <cell r="E44">
            <v>0</v>
          </cell>
          <cell r="F44">
            <v>112.77</v>
          </cell>
        </row>
        <row r="45">
          <cell r="A45">
            <v>45084</v>
          </cell>
          <cell r="B45" t="str">
            <v>Rauchen</v>
          </cell>
          <cell r="C45">
            <v>0</v>
          </cell>
          <cell r="D45">
            <v>140</v>
          </cell>
          <cell r="E45">
            <v>0</v>
          </cell>
          <cell r="F45">
            <v>0</v>
          </cell>
        </row>
        <row r="46">
          <cell r="A46">
            <v>45084</v>
          </cell>
          <cell r="B46" t="str">
            <v>LM</v>
          </cell>
          <cell r="C46">
            <v>0</v>
          </cell>
          <cell r="D46">
            <v>616.98</v>
          </cell>
          <cell r="E46">
            <v>0</v>
          </cell>
          <cell r="F46">
            <v>0</v>
          </cell>
        </row>
        <row r="51">
          <cell r="A51">
            <v>45085</v>
          </cell>
          <cell r="B51" t="str">
            <v>LM</v>
          </cell>
          <cell r="C51">
            <v>0</v>
          </cell>
          <cell r="D51">
            <v>522.96</v>
          </cell>
          <cell r="E51">
            <v>0</v>
          </cell>
          <cell r="F51">
            <v>0</v>
          </cell>
        </row>
        <row r="58">
          <cell r="A58">
            <v>45086</v>
          </cell>
          <cell r="B58" t="str">
            <v>Refill</v>
          </cell>
          <cell r="C58">
            <v>68095.899999999994</v>
          </cell>
          <cell r="D58">
            <v>0</v>
          </cell>
          <cell r="E58">
            <v>0</v>
          </cell>
          <cell r="F58">
            <v>0</v>
          </cell>
        </row>
        <row r="59">
          <cell r="A59">
            <v>45086</v>
          </cell>
          <cell r="B59" t="str">
            <v>LM</v>
          </cell>
          <cell r="C59">
            <v>0</v>
          </cell>
          <cell r="D59">
            <v>484.9</v>
          </cell>
          <cell r="E59">
            <v>0</v>
          </cell>
          <cell r="F59">
            <v>0</v>
          </cell>
        </row>
        <row r="60">
          <cell r="A60">
            <v>45086</v>
          </cell>
          <cell r="B60" t="str">
            <v>VM</v>
          </cell>
          <cell r="C60">
            <v>0</v>
          </cell>
          <cell r="D60">
            <v>0</v>
          </cell>
          <cell r="E60">
            <v>0</v>
          </cell>
          <cell r="F60">
            <v>64.709999999999994</v>
          </cell>
        </row>
        <row r="65">
          <cell r="A65">
            <v>45087</v>
          </cell>
          <cell r="B65" t="str">
            <v>LM</v>
          </cell>
          <cell r="C65">
            <v>0</v>
          </cell>
          <cell r="D65">
            <v>720.73</v>
          </cell>
          <cell r="E65">
            <v>0</v>
          </cell>
          <cell r="F65">
            <v>0</v>
          </cell>
        </row>
        <row r="66">
          <cell r="A66">
            <v>45087</v>
          </cell>
          <cell r="B66" t="str">
            <v>VM</v>
          </cell>
          <cell r="C66">
            <v>0</v>
          </cell>
          <cell r="D66">
            <v>0</v>
          </cell>
          <cell r="E66">
            <v>0</v>
          </cell>
          <cell r="F66">
            <v>22.77</v>
          </cell>
        </row>
        <row r="72">
          <cell r="A72">
            <v>45088</v>
          </cell>
          <cell r="B72" t="str">
            <v>Andere</v>
          </cell>
          <cell r="C72">
            <v>0</v>
          </cell>
          <cell r="D72">
            <v>770</v>
          </cell>
          <cell r="E72">
            <v>0</v>
          </cell>
          <cell r="F72">
            <v>0</v>
          </cell>
        </row>
        <row r="73">
          <cell r="A73">
            <v>45088</v>
          </cell>
          <cell r="B73" t="str">
            <v>LM</v>
          </cell>
          <cell r="C73">
            <v>0</v>
          </cell>
          <cell r="D73">
            <v>575</v>
          </cell>
          <cell r="E73">
            <v>0</v>
          </cell>
          <cell r="F73">
            <v>0</v>
          </cell>
        </row>
        <row r="79">
          <cell r="A79">
            <v>45089</v>
          </cell>
          <cell r="B79" t="str">
            <v>Rauchen</v>
          </cell>
          <cell r="C79">
            <v>0</v>
          </cell>
          <cell r="D79">
            <v>150</v>
          </cell>
          <cell r="E79">
            <v>0</v>
          </cell>
          <cell r="F79">
            <v>0</v>
          </cell>
        </row>
        <row r="80">
          <cell r="A80">
            <v>45089</v>
          </cell>
          <cell r="B80" t="str">
            <v>LM</v>
          </cell>
          <cell r="C80">
            <v>0</v>
          </cell>
          <cell r="D80">
            <v>1149.99</v>
          </cell>
          <cell r="E80">
            <v>0</v>
          </cell>
          <cell r="F80">
            <v>0</v>
          </cell>
        </row>
        <row r="81">
          <cell r="A81">
            <v>45089</v>
          </cell>
          <cell r="B81" t="str">
            <v>VM</v>
          </cell>
          <cell r="C81">
            <v>0</v>
          </cell>
          <cell r="D81">
            <v>0</v>
          </cell>
          <cell r="E81">
            <v>0</v>
          </cell>
          <cell r="F81">
            <v>22.77</v>
          </cell>
        </row>
        <row r="86">
          <cell r="A86">
            <v>45090</v>
          </cell>
          <cell r="B86" t="str">
            <v>VM</v>
          </cell>
          <cell r="C86">
            <v>0</v>
          </cell>
          <cell r="D86">
            <v>0</v>
          </cell>
          <cell r="E86">
            <v>0</v>
          </cell>
          <cell r="F86">
            <v>79.09</v>
          </cell>
        </row>
        <row r="100">
          <cell r="A100">
            <v>45092</v>
          </cell>
          <cell r="B100" t="str">
            <v>LM</v>
          </cell>
          <cell r="C100">
            <v>0</v>
          </cell>
          <cell r="D100">
            <v>350</v>
          </cell>
          <cell r="E100">
            <v>0</v>
          </cell>
          <cell r="F100">
            <v>0</v>
          </cell>
        </row>
        <row r="101">
          <cell r="A101">
            <v>45092</v>
          </cell>
          <cell r="B101" t="str">
            <v>Rauchen</v>
          </cell>
          <cell r="C101">
            <v>0</v>
          </cell>
          <cell r="D101">
            <v>145</v>
          </cell>
          <cell r="E101">
            <v>0</v>
          </cell>
          <cell r="F101">
            <v>0</v>
          </cell>
        </row>
        <row r="102">
          <cell r="A102">
            <v>45092</v>
          </cell>
          <cell r="B102" t="str">
            <v>VM</v>
          </cell>
          <cell r="C102">
            <v>0</v>
          </cell>
          <cell r="D102">
            <v>0</v>
          </cell>
          <cell r="E102">
            <v>0</v>
          </cell>
          <cell r="F102">
            <v>136.38</v>
          </cell>
        </row>
        <row r="107">
          <cell r="A107">
            <v>45093</v>
          </cell>
          <cell r="B107" t="str">
            <v>LM</v>
          </cell>
          <cell r="C107">
            <v>0</v>
          </cell>
          <cell r="D107">
            <v>869.6</v>
          </cell>
          <cell r="E107">
            <v>0</v>
          </cell>
          <cell r="F107">
            <v>0</v>
          </cell>
        </row>
        <row r="108">
          <cell r="A108">
            <v>45093</v>
          </cell>
          <cell r="B108" t="str">
            <v>VM</v>
          </cell>
          <cell r="C108">
            <v>0</v>
          </cell>
          <cell r="D108">
            <v>0</v>
          </cell>
          <cell r="E108">
            <v>0</v>
          </cell>
          <cell r="F108">
            <v>71.900000000000006</v>
          </cell>
        </row>
        <row r="114">
          <cell r="A114">
            <v>45094</v>
          </cell>
          <cell r="B114" t="str">
            <v>LM</v>
          </cell>
          <cell r="C114">
            <v>0</v>
          </cell>
          <cell r="D114">
            <v>337.16999999999996</v>
          </cell>
          <cell r="E114">
            <v>0</v>
          </cell>
          <cell r="F114">
            <v>0</v>
          </cell>
        </row>
        <row r="115">
          <cell r="A115">
            <v>45094</v>
          </cell>
          <cell r="B115" t="str">
            <v>LM</v>
          </cell>
          <cell r="C115">
            <v>0</v>
          </cell>
          <cell r="D115">
            <v>899</v>
          </cell>
          <cell r="E115">
            <v>0</v>
          </cell>
          <cell r="F115">
            <v>0</v>
          </cell>
        </row>
        <row r="116">
          <cell r="A116">
            <v>45094</v>
          </cell>
          <cell r="B116" t="str">
            <v>VM</v>
          </cell>
          <cell r="C116">
            <v>0</v>
          </cell>
          <cell r="D116">
            <v>0</v>
          </cell>
          <cell r="E116">
            <v>0</v>
          </cell>
          <cell r="F116">
            <v>136.62</v>
          </cell>
        </row>
        <row r="117">
          <cell r="A117">
            <v>45094</v>
          </cell>
          <cell r="B117" t="str">
            <v>for me</v>
          </cell>
          <cell r="C117">
            <v>0</v>
          </cell>
          <cell r="D117">
            <v>0</v>
          </cell>
          <cell r="E117">
            <v>0</v>
          </cell>
          <cell r="F117">
            <v>100</v>
          </cell>
        </row>
        <row r="121">
          <cell r="A121">
            <v>45095</v>
          </cell>
          <cell r="B121" t="str">
            <v>LM</v>
          </cell>
          <cell r="C121">
            <v>0</v>
          </cell>
          <cell r="D121">
            <v>530</v>
          </cell>
          <cell r="E121">
            <v>0</v>
          </cell>
          <cell r="F121">
            <v>0</v>
          </cell>
        </row>
        <row r="122">
          <cell r="A122">
            <v>45095</v>
          </cell>
          <cell r="B122" t="str">
            <v>LM</v>
          </cell>
          <cell r="C122">
            <v>0</v>
          </cell>
          <cell r="D122">
            <v>574</v>
          </cell>
          <cell r="E122">
            <v>0</v>
          </cell>
          <cell r="F122">
            <v>0</v>
          </cell>
        </row>
        <row r="123">
          <cell r="A123">
            <v>45095</v>
          </cell>
          <cell r="B123" t="str">
            <v>for me</v>
          </cell>
          <cell r="C123">
            <v>0</v>
          </cell>
          <cell r="D123">
            <v>539</v>
          </cell>
          <cell r="E123">
            <v>0</v>
          </cell>
          <cell r="F123">
            <v>0</v>
          </cell>
        </row>
        <row r="124">
          <cell r="A124">
            <v>45095</v>
          </cell>
          <cell r="B124" t="str">
            <v>VM</v>
          </cell>
          <cell r="C124">
            <v>0</v>
          </cell>
          <cell r="D124">
            <v>0</v>
          </cell>
          <cell r="E124">
            <v>0</v>
          </cell>
          <cell r="F124">
            <v>43.74</v>
          </cell>
        </row>
        <row r="125">
          <cell r="A125">
            <v>45095</v>
          </cell>
          <cell r="B125" t="str">
            <v>LM</v>
          </cell>
          <cell r="C125">
            <v>0</v>
          </cell>
          <cell r="D125">
            <v>989.2</v>
          </cell>
          <cell r="E125">
            <v>700</v>
          </cell>
          <cell r="F125">
            <v>0</v>
          </cell>
        </row>
        <row r="128">
          <cell r="A128">
            <v>45096</v>
          </cell>
          <cell r="B128" t="str">
            <v>LM</v>
          </cell>
          <cell r="C128">
            <v>0</v>
          </cell>
          <cell r="D128">
            <v>793.98</v>
          </cell>
          <cell r="E128">
            <v>0</v>
          </cell>
          <cell r="F128">
            <v>0</v>
          </cell>
        </row>
        <row r="129">
          <cell r="A129">
            <v>45096</v>
          </cell>
          <cell r="B129" t="str">
            <v>VM</v>
          </cell>
          <cell r="C129">
            <v>0</v>
          </cell>
          <cell r="D129">
            <v>112</v>
          </cell>
          <cell r="E129">
            <v>0</v>
          </cell>
          <cell r="F129">
            <v>37.950000000000003</v>
          </cell>
        </row>
        <row r="135">
          <cell r="A135">
            <v>45097</v>
          </cell>
          <cell r="B135" t="str">
            <v>VM</v>
          </cell>
          <cell r="C135">
            <v>0</v>
          </cell>
          <cell r="D135">
            <v>112</v>
          </cell>
          <cell r="E135">
            <v>0</v>
          </cell>
          <cell r="F135">
            <v>57.52</v>
          </cell>
        </row>
        <row r="136">
          <cell r="A136">
            <v>45097</v>
          </cell>
          <cell r="B136" t="str">
            <v>LM</v>
          </cell>
          <cell r="C136">
            <v>0</v>
          </cell>
          <cell r="D136">
            <v>410</v>
          </cell>
          <cell r="E136">
            <v>0</v>
          </cell>
          <cell r="F136">
            <v>0</v>
          </cell>
        </row>
        <row r="137">
          <cell r="A137">
            <v>45097</v>
          </cell>
          <cell r="B137" t="str">
            <v>Rauchen</v>
          </cell>
          <cell r="C137">
            <v>0</v>
          </cell>
          <cell r="D137">
            <v>145</v>
          </cell>
          <cell r="E137">
            <v>0</v>
          </cell>
          <cell r="F137">
            <v>0</v>
          </cell>
        </row>
        <row r="142">
          <cell r="A142">
            <v>45098</v>
          </cell>
          <cell r="B142" t="str">
            <v>LM</v>
          </cell>
          <cell r="C142">
            <v>0</v>
          </cell>
          <cell r="D142">
            <v>794.99</v>
          </cell>
          <cell r="E142">
            <v>0</v>
          </cell>
          <cell r="F142">
            <v>0</v>
          </cell>
        </row>
        <row r="149">
          <cell r="A149">
            <v>45099</v>
          </cell>
          <cell r="B149" t="str">
            <v>LM</v>
          </cell>
          <cell r="C149">
            <v>0</v>
          </cell>
          <cell r="D149">
            <v>1451</v>
          </cell>
          <cell r="E149">
            <v>0</v>
          </cell>
          <cell r="F149">
            <v>0</v>
          </cell>
        </row>
        <row r="150">
          <cell r="A150">
            <v>45099</v>
          </cell>
          <cell r="B150" t="str">
            <v>Rauchen</v>
          </cell>
          <cell r="C150">
            <v>0</v>
          </cell>
          <cell r="D150">
            <v>150</v>
          </cell>
          <cell r="E150">
            <v>0</v>
          </cell>
          <cell r="F150">
            <v>0</v>
          </cell>
        </row>
        <row r="156">
          <cell r="A156">
            <v>45100</v>
          </cell>
          <cell r="B156" t="str">
            <v>Refill</v>
          </cell>
          <cell r="C156">
            <v>42753.86</v>
          </cell>
          <cell r="D156">
            <v>0</v>
          </cell>
          <cell r="E156">
            <v>0</v>
          </cell>
          <cell r="F156">
            <v>0</v>
          </cell>
        </row>
        <row r="157">
          <cell r="A157">
            <v>45100</v>
          </cell>
          <cell r="B157" t="str">
            <v>LM</v>
          </cell>
          <cell r="C157">
            <v>0</v>
          </cell>
          <cell r="D157">
            <v>830</v>
          </cell>
          <cell r="E157">
            <v>0</v>
          </cell>
          <cell r="F157">
            <v>0</v>
          </cell>
        </row>
        <row r="158">
          <cell r="A158">
            <v>45100</v>
          </cell>
          <cell r="B158" t="str">
            <v>VM</v>
          </cell>
          <cell r="C158">
            <v>0</v>
          </cell>
          <cell r="D158">
            <v>0</v>
          </cell>
          <cell r="E158">
            <v>0</v>
          </cell>
          <cell r="F158">
            <v>45.54</v>
          </cell>
        </row>
        <row r="163">
          <cell r="A163">
            <v>45101</v>
          </cell>
          <cell r="B163" t="str">
            <v>LM</v>
          </cell>
          <cell r="C163">
            <v>0</v>
          </cell>
          <cell r="D163">
            <v>100</v>
          </cell>
          <cell r="E163">
            <v>0</v>
          </cell>
          <cell r="F163">
            <v>0</v>
          </cell>
        </row>
        <row r="164">
          <cell r="A164">
            <v>45101</v>
          </cell>
          <cell r="B164" t="str">
            <v>VM</v>
          </cell>
          <cell r="C164">
            <v>0</v>
          </cell>
          <cell r="D164">
            <v>0</v>
          </cell>
          <cell r="E164">
            <v>0</v>
          </cell>
          <cell r="F164">
            <v>23.37</v>
          </cell>
        </row>
        <row r="170">
          <cell r="A170">
            <v>45102</v>
          </cell>
          <cell r="B170" t="str">
            <v>Party</v>
          </cell>
          <cell r="C170">
            <v>0</v>
          </cell>
          <cell r="D170">
            <v>3040</v>
          </cell>
          <cell r="E170">
            <v>0</v>
          </cell>
          <cell r="F170">
            <v>0</v>
          </cell>
        </row>
        <row r="171">
          <cell r="A171">
            <v>45102</v>
          </cell>
          <cell r="B171" t="str">
            <v>LM</v>
          </cell>
          <cell r="C171">
            <v>0</v>
          </cell>
          <cell r="D171">
            <v>900</v>
          </cell>
          <cell r="E171">
            <v>0</v>
          </cell>
          <cell r="F171">
            <v>0</v>
          </cell>
        </row>
        <row r="172">
          <cell r="A172">
            <v>45102</v>
          </cell>
          <cell r="B172" t="str">
            <v>Andere</v>
          </cell>
          <cell r="C172">
            <v>0</v>
          </cell>
          <cell r="D172">
            <v>200</v>
          </cell>
          <cell r="E172">
            <v>0</v>
          </cell>
          <cell r="F172">
            <v>0</v>
          </cell>
        </row>
        <row r="173">
          <cell r="A173">
            <v>45102</v>
          </cell>
          <cell r="B173" t="str">
            <v>VM</v>
          </cell>
          <cell r="C173">
            <v>0</v>
          </cell>
          <cell r="D173">
            <v>0</v>
          </cell>
          <cell r="E173">
            <v>0</v>
          </cell>
          <cell r="F173">
            <v>166.98</v>
          </cell>
        </row>
        <row r="177">
          <cell r="A177">
            <v>45103</v>
          </cell>
          <cell r="B177" t="str">
            <v>for me</v>
          </cell>
          <cell r="C177">
            <v>0</v>
          </cell>
          <cell r="D177">
            <v>388</v>
          </cell>
          <cell r="E177">
            <v>0</v>
          </cell>
          <cell r="F177">
            <v>0</v>
          </cell>
        </row>
        <row r="178">
          <cell r="A178">
            <v>45103</v>
          </cell>
          <cell r="B178" t="str">
            <v>LM</v>
          </cell>
          <cell r="C178">
            <v>0</v>
          </cell>
          <cell r="D178">
            <v>562.85</v>
          </cell>
          <cell r="E178">
            <v>0</v>
          </cell>
          <cell r="F178">
            <v>0</v>
          </cell>
        </row>
        <row r="184">
          <cell r="A184">
            <v>45104</v>
          </cell>
          <cell r="B184" t="str">
            <v>Rauchen</v>
          </cell>
          <cell r="C184">
            <v>0</v>
          </cell>
          <cell r="D184">
            <v>150</v>
          </cell>
          <cell r="E184">
            <v>0</v>
          </cell>
          <cell r="F184">
            <v>0</v>
          </cell>
        </row>
        <row r="185">
          <cell r="A185">
            <v>45104</v>
          </cell>
          <cell r="B185" t="str">
            <v>LM</v>
          </cell>
          <cell r="C185">
            <v>0</v>
          </cell>
          <cell r="D185">
            <v>364.98</v>
          </cell>
          <cell r="E185">
            <v>0</v>
          </cell>
          <cell r="F185">
            <v>0</v>
          </cell>
        </row>
        <row r="186">
          <cell r="A186">
            <v>45104</v>
          </cell>
          <cell r="B186" t="str">
            <v>VM</v>
          </cell>
          <cell r="C186">
            <v>0</v>
          </cell>
          <cell r="D186">
            <v>0</v>
          </cell>
          <cell r="E186">
            <v>0</v>
          </cell>
          <cell r="F186">
            <v>86.28</v>
          </cell>
        </row>
        <row r="191">
          <cell r="A191">
            <v>45105</v>
          </cell>
          <cell r="B191" t="str">
            <v>Andere</v>
          </cell>
          <cell r="C191">
            <v>0</v>
          </cell>
          <cell r="D191">
            <v>593</v>
          </cell>
          <cell r="E191">
            <v>0</v>
          </cell>
          <cell r="F191">
            <v>0</v>
          </cell>
        </row>
        <row r="192">
          <cell r="A192">
            <v>45105</v>
          </cell>
          <cell r="B192" t="str">
            <v>LM</v>
          </cell>
          <cell r="C192">
            <v>0</v>
          </cell>
          <cell r="D192">
            <v>456.97</v>
          </cell>
          <cell r="E192">
            <v>0</v>
          </cell>
          <cell r="F192">
            <v>0</v>
          </cell>
        </row>
        <row r="198">
          <cell r="A198">
            <v>45106</v>
          </cell>
          <cell r="B198" t="str">
            <v>VM</v>
          </cell>
          <cell r="C198">
            <v>0</v>
          </cell>
          <cell r="D198">
            <v>11073</v>
          </cell>
          <cell r="E198">
            <v>0</v>
          </cell>
          <cell r="F198">
            <v>21.57</v>
          </cell>
        </row>
        <row r="199">
          <cell r="A199">
            <v>45106</v>
          </cell>
          <cell r="B199" t="str">
            <v>Party</v>
          </cell>
          <cell r="C199">
            <v>0</v>
          </cell>
          <cell r="D199">
            <v>4396</v>
          </cell>
          <cell r="E199">
            <v>0</v>
          </cell>
          <cell r="F199">
            <v>0</v>
          </cell>
        </row>
        <row r="200">
          <cell r="A200">
            <v>45106</v>
          </cell>
          <cell r="B200" t="str">
            <v>none</v>
          </cell>
          <cell r="C200">
            <v>0</v>
          </cell>
          <cell r="D200">
            <v>19340</v>
          </cell>
          <cell r="E200">
            <v>19390</v>
          </cell>
          <cell r="F200">
            <v>0</v>
          </cell>
        </row>
        <row r="201">
          <cell r="A201">
            <v>45106</v>
          </cell>
          <cell r="B201" t="str">
            <v>none</v>
          </cell>
          <cell r="C201">
            <v>20000</v>
          </cell>
          <cell r="D201">
            <v>0</v>
          </cell>
          <cell r="E201">
            <v>0</v>
          </cell>
          <cell r="F201">
            <v>20000</v>
          </cell>
        </row>
        <row r="205">
          <cell r="A205">
            <v>45107</v>
          </cell>
          <cell r="B205" t="str">
            <v>Refill</v>
          </cell>
          <cell r="C205">
            <v>2570.5500000000002</v>
          </cell>
          <cell r="D205">
            <v>0</v>
          </cell>
          <cell r="E205">
            <v>0</v>
          </cell>
          <cell r="F205">
            <v>0</v>
          </cell>
        </row>
        <row r="206">
          <cell r="A206">
            <v>45107</v>
          </cell>
          <cell r="B206" t="str">
            <v>Party</v>
          </cell>
          <cell r="C206">
            <v>0</v>
          </cell>
          <cell r="D206">
            <v>4576.5</v>
          </cell>
          <cell r="E206">
            <v>0</v>
          </cell>
          <cell r="F206">
            <v>0</v>
          </cell>
        </row>
        <row r="207">
          <cell r="A207">
            <v>45107</v>
          </cell>
          <cell r="B207" t="str">
            <v>VM</v>
          </cell>
          <cell r="C207">
            <v>0</v>
          </cell>
          <cell r="D207">
            <v>647</v>
          </cell>
          <cell r="E207">
            <v>0</v>
          </cell>
          <cell r="F207">
            <v>0</v>
          </cell>
        </row>
        <row r="208">
          <cell r="A208">
            <v>45107</v>
          </cell>
          <cell r="B208" t="str">
            <v>none</v>
          </cell>
          <cell r="C208">
            <v>0</v>
          </cell>
          <cell r="D208">
            <v>14080</v>
          </cell>
          <cell r="E208">
            <v>14080</v>
          </cell>
          <cell r="F208">
            <v>0</v>
          </cell>
        </row>
      </sheetData>
      <sheetData sheetId="33">
        <row r="2">
          <cell r="A2">
            <v>45108</v>
          </cell>
          <cell r="B2" t="str">
            <v>LM</v>
          </cell>
          <cell r="C2">
            <v>0</v>
          </cell>
          <cell r="D2">
            <v>907</v>
          </cell>
          <cell r="E2">
            <v>0</v>
          </cell>
          <cell r="F2">
            <v>0</v>
          </cell>
        </row>
        <row r="3">
          <cell r="A3">
            <v>45108</v>
          </cell>
          <cell r="B3" t="str">
            <v>VM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A4">
            <v>45108</v>
          </cell>
          <cell r="B4" t="str">
            <v>Party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</row>
        <row r="5">
          <cell r="A5">
            <v>45108</v>
          </cell>
          <cell r="B5" t="str">
            <v>Andere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A6">
            <v>45108</v>
          </cell>
          <cell r="B6" t="str">
            <v>Kleidung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</row>
        <row r="7">
          <cell r="A7">
            <v>45108</v>
          </cell>
          <cell r="B7" t="str">
            <v>for me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</row>
        <row r="9">
          <cell r="A9">
            <v>45109</v>
          </cell>
          <cell r="B9" t="str">
            <v>rent</v>
          </cell>
          <cell r="C9">
            <v>0</v>
          </cell>
          <cell r="D9">
            <v>55000</v>
          </cell>
          <cell r="E9">
            <v>0</v>
          </cell>
          <cell r="F9">
            <v>0</v>
          </cell>
        </row>
        <row r="10">
          <cell r="A10">
            <v>45109</v>
          </cell>
          <cell r="B10" t="str">
            <v>LM</v>
          </cell>
          <cell r="C10">
            <v>0</v>
          </cell>
          <cell r="D10">
            <v>1733.91</v>
          </cell>
          <cell r="E10">
            <v>0</v>
          </cell>
          <cell r="F10">
            <v>0</v>
          </cell>
        </row>
        <row r="11">
          <cell r="A11">
            <v>45109</v>
          </cell>
          <cell r="B11" t="str">
            <v>Rauchen</v>
          </cell>
          <cell r="C11">
            <v>0</v>
          </cell>
          <cell r="D11">
            <v>150</v>
          </cell>
          <cell r="E11">
            <v>0</v>
          </cell>
          <cell r="F11">
            <v>0</v>
          </cell>
        </row>
        <row r="12">
          <cell r="A12">
            <v>45109</v>
          </cell>
          <cell r="B12" t="str">
            <v>VM</v>
          </cell>
          <cell r="C12">
            <v>0</v>
          </cell>
          <cell r="D12">
            <v>0</v>
          </cell>
          <cell r="E12">
            <v>0</v>
          </cell>
          <cell r="F12">
            <v>68.31</v>
          </cell>
        </row>
        <row r="16">
          <cell r="A16">
            <v>45110</v>
          </cell>
          <cell r="B16" t="str">
            <v>LM</v>
          </cell>
          <cell r="C16">
            <v>0</v>
          </cell>
          <cell r="D16">
            <v>549.96</v>
          </cell>
          <cell r="E16">
            <v>0</v>
          </cell>
          <cell r="F16">
            <v>0</v>
          </cell>
        </row>
        <row r="17">
          <cell r="A17">
            <v>45110</v>
          </cell>
          <cell r="B17" t="str">
            <v>none</v>
          </cell>
          <cell r="C17">
            <v>15000</v>
          </cell>
          <cell r="D17">
            <v>0</v>
          </cell>
          <cell r="E17">
            <v>0</v>
          </cell>
          <cell r="F17">
            <v>15000</v>
          </cell>
        </row>
        <row r="18">
          <cell r="A18">
            <v>45110</v>
          </cell>
          <cell r="B18" t="str">
            <v>VM</v>
          </cell>
          <cell r="C18">
            <v>0</v>
          </cell>
          <cell r="D18">
            <v>0</v>
          </cell>
          <cell r="E18">
            <v>0</v>
          </cell>
          <cell r="F18">
            <v>84.48</v>
          </cell>
        </row>
        <row r="23">
          <cell r="A23">
            <v>45111</v>
          </cell>
          <cell r="B23" t="str">
            <v>Rauchen</v>
          </cell>
          <cell r="C23">
            <v>0</v>
          </cell>
          <cell r="D23">
            <v>150</v>
          </cell>
          <cell r="E23">
            <v>0</v>
          </cell>
          <cell r="F23">
            <v>0</v>
          </cell>
        </row>
        <row r="24">
          <cell r="A24">
            <v>45111</v>
          </cell>
          <cell r="B24" t="str">
            <v>LM</v>
          </cell>
          <cell r="C24">
            <v>0</v>
          </cell>
          <cell r="D24">
            <v>300</v>
          </cell>
          <cell r="E24">
            <v>0</v>
          </cell>
          <cell r="F24">
            <v>0</v>
          </cell>
        </row>
        <row r="25">
          <cell r="A25">
            <v>45111</v>
          </cell>
          <cell r="B25" t="str">
            <v>VM</v>
          </cell>
          <cell r="C25">
            <v>0</v>
          </cell>
          <cell r="D25">
            <v>0</v>
          </cell>
          <cell r="E25">
            <v>0</v>
          </cell>
          <cell r="F25">
            <v>64.710000000000008</v>
          </cell>
        </row>
        <row r="30">
          <cell r="A30">
            <v>45112</v>
          </cell>
          <cell r="B30" t="str">
            <v>LM</v>
          </cell>
          <cell r="C30">
            <v>0</v>
          </cell>
          <cell r="D30">
            <v>740</v>
          </cell>
          <cell r="E30">
            <v>0</v>
          </cell>
          <cell r="F30">
            <v>0</v>
          </cell>
        </row>
        <row r="31">
          <cell r="A31">
            <v>45112</v>
          </cell>
          <cell r="B31" t="str">
            <v>for me</v>
          </cell>
          <cell r="C31">
            <v>0</v>
          </cell>
          <cell r="D31">
            <v>0</v>
          </cell>
          <cell r="E31">
            <v>0</v>
          </cell>
          <cell r="F31">
            <v>1100</v>
          </cell>
        </row>
        <row r="32">
          <cell r="A32">
            <v>45112</v>
          </cell>
          <cell r="B32" t="str">
            <v>VM</v>
          </cell>
          <cell r="C32">
            <v>0</v>
          </cell>
          <cell r="D32">
            <v>0</v>
          </cell>
          <cell r="E32">
            <v>0</v>
          </cell>
          <cell r="F32">
            <v>117.12</v>
          </cell>
        </row>
        <row r="37">
          <cell r="A37">
            <v>45113</v>
          </cell>
          <cell r="B37" t="str">
            <v>LM</v>
          </cell>
          <cell r="C37">
            <v>0</v>
          </cell>
          <cell r="D37">
            <v>200</v>
          </cell>
          <cell r="E37">
            <v>0</v>
          </cell>
          <cell r="F37">
            <v>0</v>
          </cell>
        </row>
        <row r="38">
          <cell r="A38">
            <v>45113</v>
          </cell>
          <cell r="B38" t="str">
            <v>Party</v>
          </cell>
          <cell r="C38">
            <v>0</v>
          </cell>
          <cell r="D38">
            <v>450</v>
          </cell>
          <cell r="E38">
            <v>0</v>
          </cell>
          <cell r="F38">
            <v>0</v>
          </cell>
        </row>
        <row r="39">
          <cell r="A39">
            <v>45113</v>
          </cell>
          <cell r="B39" t="str">
            <v>VM</v>
          </cell>
          <cell r="C39">
            <v>0</v>
          </cell>
          <cell r="D39">
            <v>0</v>
          </cell>
          <cell r="E39">
            <v>0</v>
          </cell>
          <cell r="F39">
            <v>90.79</v>
          </cell>
        </row>
        <row r="44">
          <cell r="A44">
            <v>45114</v>
          </cell>
          <cell r="B44" t="str">
            <v>VM</v>
          </cell>
          <cell r="C44">
            <v>0</v>
          </cell>
          <cell r="D44">
            <v>1901</v>
          </cell>
          <cell r="E44">
            <v>0</v>
          </cell>
          <cell r="F44">
            <v>0</v>
          </cell>
        </row>
        <row r="45">
          <cell r="A45">
            <v>45114</v>
          </cell>
          <cell r="B45" t="str">
            <v>Andere</v>
          </cell>
          <cell r="C45">
            <v>0</v>
          </cell>
          <cell r="D45">
            <v>1000</v>
          </cell>
          <cell r="E45">
            <v>0</v>
          </cell>
          <cell r="F45">
            <v>0</v>
          </cell>
        </row>
        <row r="46">
          <cell r="A46">
            <v>45114</v>
          </cell>
          <cell r="B46" t="str">
            <v>Rauchen</v>
          </cell>
          <cell r="C46">
            <v>0</v>
          </cell>
          <cell r="D46">
            <v>145</v>
          </cell>
          <cell r="E46">
            <v>0</v>
          </cell>
          <cell r="F46">
            <v>0</v>
          </cell>
        </row>
        <row r="47">
          <cell r="A47">
            <v>45114</v>
          </cell>
          <cell r="B47" t="str">
            <v>LM</v>
          </cell>
          <cell r="C47">
            <v>0</v>
          </cell>
          <cell r="D47">
            <v>5331</v>
          </cell>
          <cell r="E47">
            <v>0</v>
          </cell>
          <cell r="F47">
            <v>0</v>
          </cell>
        </row>
        <row r="48">
          <cell r="A48">
            <v>45114</v>
          </cell>
          <cell r="B48" t="str">
            <v>Refill</v>
          </cell>
          <cell r="C48">
            <v>57470.14</v>
          </cell>
          <cell r="D48">
            <v>0</v>
          </cell>
          <cell r="E48">
            <v>0</v>
          </cell>
          <cell r="F48">
            <v>0</v>
          </cell>
        </row>
        <row r="65">
          <cell r="A65">
            <v>45117</v>
          </cell>
          <cell r="B65" t="str">
            <v>for me</v>
          </cell>
          <cell r="C65">
            <v>0</v>
          </cell>
          <cell r="D65">
            <v>2600</v>
          </cell>
          <cell r="E65">
            <v>0</v>
          </cell>
          <cell r="F65">
            <v>0</v>
          </cell>
        </row>
        <row r="72">
          <cell r="A72">
            <v>45118</v>
          </cell>
          <cell r="B72" t="str">
            <v>Rauchen</v>
          </cell>
          <cell r="C72">
            <v>0</v>
          </cell>
          <cell r="D72">
            <v>134.99</v>
          </cell>
          <cell r="E72">
            <v>0</v>
          </cell>
          <cell r="F72">
            <v>0</v>
          </cell>
        </row>
        <row r="73">
          <cell r="A73">
            <v>45118</v>
          </cell>
          <cell r="B73" t="str">
            <v>LM</v>
          </cell>
          <cell r="C73">
            <v>0</v>
          </cell>
          <cell r="D73">
            <v>799</v>
          </cell>
          <cell r="E73">
            <v>0</v>
          </cell>
          <cell r="F73">
            <v>0</v>
          </cell>
        </row>
        <row r="74">
          <cell r="A74">
            <v>45118</v>
          </cell>
          <cell r="B74" t="str">
            <v>none</v>
          </cell>
          <cell r="C74">
            <v>0</v>
          </cell>
          <cell r="D74">
            <v>0.22</v>
          </cell>
          <cell r="E74">
            <v>0</v>
          </cell>
          <cell r="F74">
            <v>0</v>
          </cell>
        </row>
        <row r="79">
          <cell r="A79">
            <v>45119</v>
          </cell>
          <cell r="B79" t="str">
            <v>Andere</v>
          </cell>
          <cell r="C79">
            <v>0</v>
          </cell>
          <cell r="D79">
            <v>3711</v>
          </cell>
          <cell r="E79">
            <v>0</v>
          </cell>
          <cell r="F79">
            <v>0</v>
          </cell>
        </row>
        <row r="86">
          <cell r="A86">
            <v>45120</v>
          </cell>
          <cell r="B86" t="str">
            <v>Andere</v>
          </cell>
          <cell r="C86">
            <v>0</v>
          </cell>
          <cell r="D86">
            <v>969.8</v>
          </cell>
          <cell r="E86">
            <v>0</v>
          </cell>
          <cell r="F86">
            <v>0</v>
          </cell>
        </row>
        <row r="87">
          <cell r="A87">
            <v>45120</v>
          </cell>
          <cell r="B87" t="str">
            <v>LM</v>
          </cell>
          <cell r="C87">
            <v>0</v>
          </cell>
          <cell r="D87">
            <v>8542.4399999999987</v>
          </cell>
          <cell r="E87">
            <v>0</v>
          </cell>
          <cell r="F87">
            <v>0</v>
          </cell>
        </row>
        <row r="93">
          <cell r="A93">
            <v>45121</v>
          </cell>
          <cell r="B93" t="str">
            <v>Rauchen</v>
          </cell>
          <cell r="C93">
            <v>0</v>
          </cell>
          <cell r="D93">
            <v>700</v>
          </cell>
          <cell r="E93">
            <v>0</v>
          </cell>
          <cell r="F93">
            <v>0</v>
          </cell>
        </row>
        <row r="94">
          <cell r="A94">
            <v>45121</v>
          </cell>
          <cell r="B94" t="str">
            <v>Party</v>
          </cell>
          <cell r="C94">
            <v>0</v>
          </cell>
          <cell r="D94">
            <v>4721.5</v>
          </cell>
          <cell r="E94">
            <v>0</v>
          </cell>
          <cell r="F94">
            <v>0</v>
          </cell>
        </row>
        <row r="95">
          <cell r="A95">
            <v>45121</v>
          </cell>
          <cell r="B95" t="str">
            <v>none</v>
          </cell>
          <cell r="C95">
            <v>0</v>
          </cell>
          <cell r="D95">
            <v>615</v>
          </cell>
          <cell r="E95">
            <v>615</v>
          </cell>
          <cell r="F95">
            <v>0</v>
          </cell>
        </row>
        <row r="107">
          <cell r="A107">
            <v>45123</v>
          </cell>
          <cell r="B107" t="str">
            <v>LM</v>
          </cell>
          <cell r="C107">
            <v>0</v>
          </cell>
          <cell r="D107">
            <v>159.78</v>
          </cell>
          <cell r="E107">
            <v>0</v>
          </cell>
          <cell r="F107">
            <v>0</v>
          </cell>
        </row>
        <row r="114">
          <cell r="A114">
            <v>45124</v>
          </cell>
          <cell r="B114" t="str">
            <v>Rauchen</v>
          </cell>
          <cell r="C114">
            <v>0</v>
          </cell>
          <cell r="D114">
            <v>139</v>
          </cell>
          <cell r="E114">
            <v>0</v>
          </cell>
          <cell r="F114">
            <v>0</v>
          </cell>
        </row>
        <row r="115">
          <cell r="A115">
            <v>45124</v>
          </cell>
          <cell r="B115" t="str">
            <v>Andere</v>
          </cell>
          <cell r="C115">
            <v>0</v>
          </cell>
          <cell r="D115">
            <v>600</v>
          </cell>
          <cell r="E115">
            <v>0</v>
          </cell>
          <cell r="F115">
            <v>0</v>
          </cell>
        </row>
        <row r="128">
          <cell r="A128">
            <v>45126</v>
          </cell>
          <cell r="B128" t="str">
            <v>LM</v>
          </cell>
          <cell r="C128">
            <v>0</v>
          </cell>
          <cell r="D128">
            <v>0</v>
          </cell>
          <cell r="E128">
            <v>0</v>
          </cell>
          <cell r="F128">
            <v>390</v>
          </cell>
        </row>
        <row r="135">
          <cell r="A135">
            <v>45127</v>
          </cell>
          <cell r="B135" t="str">
            <v>Andere</v>
          </cell>
          <cell r="C135">
            <v>0</v>
          </cell>
          <cell r="D135">
            <v>1200</v>
          </cell>
          <cell r="E135">
            <v>0</v>
          </cell>
          <cell r="F135">
            <v>0</v>
          </cell>
        </row>
        <row r="136">
          <cell r="A136">
            <v>45127</v>
          </cell>
          <cell r="B136" t="str">
            <v>none</v>
          </cell>
          <cell r="C136">
            <v>0</v>
          </cell>
          <cell r="D136">
            <v>1200</v>
          </cell>
          <cell r="E136">
            <v>1200</v>
          </cell>
          <cell r="F136">
            <v>0</v>
          </cell>
        </row>
        <row r="137">
          <cell r="A137">
            <v>45127</v>
          </cell>
          <cell r="B137" t="str">
            <v>LM</v>
          </cell>
          <cell r="C137">
            <v>0</v>
          </cell>
          <cell r="D137">
            <v>198.99</v>
          </cell>
          <cell r="E137">
            <v>0</v>
          </cell>
          <cell r="F137">
            <v>0</v>
          </cell>
        </row>
        <row r="142">
          <cell r="A142">
            <v>45128</v>
          </cell>
          <cell r="B142" t="str">
            <v>LM</v>
          </cell>
          <cell r="C142">
            <v>0</v>
          </cell>
          <cell r="D142">
            <v>581.02</v>
          </cell>
          <cell r="E142">
            <v>0</v>
          </cell>
          <cell r="F142">
            <v>0</v>
          </cell>
        </row>
        <row r="149">
          <cell r="A149">
            <v>45129</v>
          </cell>
          <cell r="B149" t="str">
            <v>Andere</v>
          </cell>
          <cell r="C149">
            <v>0</v>
          </cell>
          <cell r="D149">
            <v>6430</v>
          </cell>
          <cell r="E149">
            <v>0</v>
          </cell>
          <cell r="F149">
            <v>0</v>
          </cell>
        </row>
        <row r="150">
          <cell r="A150">
            <v>45129</v>
          </cell>
          <cell r="B150" t="str">
            <v>LM</v>
          </cell>
          <cell r="C150">
            <v>0</v>
          </cell>
          <cell r="D150">
            <v>149</v>
          </cell>
          <cell r="E150">
            <v>0</v>
          </cell>
          <cell r="F150">
            <v>0</v>
          </cell>
        </row>
        <row r="156">
          <cell r="A156">
            <v>45130</v>
          </cell>
          <cell r="B156" t="str">
            <v>LM</v>
          </cell>
          <cell r="C156">
            <v>0</v>
          </cell>
          <cell r="D156">
            <v>299.45</v>
          </cell>
          <cell r="E156">
            <v>0</v>
          </cell>
          <cell r="F156">
            <v>0</v>
          </cell>
        </row>
        <row r="163">
          <cell r="A163">
            <v>45131</v>
          </cell>
          <cell r="B163" t="str">
            <v>LM</v>
          </cell>
          <cell r="C163">
            <v>0</v>
          </cell>
          <cell r="D163">
            <v>180</v>
          </cell>
          <cell r="E163">
            <v>0</v>
          </cell>
          <cell r="F163">
            <v>0</v>
          </cell>
        </row>
        <row r="164">
          <cell r="A164">
            <v>45131</v>
          </cell>
          <cell r="B164" t="str">
            <v>Refill</v>
          </cell>
          <cell r="C164">
            <v>42753.86</v>
          </cell>
          <cell r="D164">
            <v>0</v>
          </cell>
          <cell r="E164">
            <v>0</v>
          </cell>
          <cell r="F164">
            <v>0</v>
          </cell>
        </row>
        <row r="165">
          <cell r="A165">
            <v>45131</v>
          </cell>
          <cell r="B165" t="str">
            <v>VM</v>
          </cell>
          <cell r="C165">
            <v>0</v>
          </cell>
          <cell r="D165">
            <v>8003</v>
          </cell>
          <cell r="E165">
            <v>0</v>
          </cell>
          <cell r="F165">
            <v>0</v>
          </cell>
        </row>
        <row r="170">
          <cell r="A170">
            <v>45132</v>
          </cell>
          <cell r="B170" t="str">
            <v>LM</v>
          </cell>
          <cell r="C170">
            <v>0</v>
          </cell>
          <cell r="D170">
            <v>376</v>
          </cell>
          <cell r="E170">
            <v>0</v>
          </cell>
          <cell r="F170">
            <v>0</v>
          </cell>
        </row>
        <row r="171">
          <cell r="A171">
            <v>45132</v>
          </cell>
          <cell r="B171" t="str">
            <v>VM</v>
          </cell>
          <cell r="C171">
            <v>0</v>
          </cell>
          <cell r="D171">
            <v>1624</v>
          </cell>
          <cell r="E171">
            <v>0</v>
          </cell>
          <cell r="F171">
            <v>0</v>
          </cell>
        </row>
        <row r="177">
          <cell r="A177">
            <v>45133</v>
          </cell>
          <cell r="B177" t="str">
            <v>Andere</v>
          </cell>
          <cell r="C177">
            <v>0</v>
          </cell>
          <cell r="D177">
            <v>1500</v>
          </cell>
          <cell r="E177">
            <v>0</v>
          </cell>
          <cell r="F177">
            <v>0</v>
          </cell>
        </row>
        <row r="178">
          <cell r="A178">
            <v>45133</v>
          </cell>
          <cell r="B178" t="str">
            <v>Party</v>
          </cell>
          <cell r="C178">
            <v>0</v>
          </cell>
          <cell r="D178">
            <v>400</v>
          </cell>
          <cell r="E178">
            <v>0</v>
          </cell>
          <cell r="F178">
            <v>0</v>
          </cell>
        </row>
        <row r="179">
          <cell r="A179">
            <v>45133</v>
          </cell>
          <cell r="B179" t="str">
            <v>LM</v>
          </cell>
          <cell r="C179">
            <v>0</v>
          </cell>
          <cell r="D179">
            <v>1242</v>
          </cell>
          <cell r="E179">
            <v>0</v>
          </cell>
          <cell r="F179">
            <v>0</v>
          </cell>
        </row>
        <row r="184">
          <cell r="A184">
            <v>45134</v>
          </cell>
          <cell r="B184" t="str">
            <v>Rauchen</v>
          </cell>
          <cell r="C184">
            <v>0</v>
          </cell>
          <cell r="D184">
            <v>150</v>
          </cell>
          <cell r="E184">
            <v>0</v>
          </cell>
          <cell r="F184">
            <v>0</v>
          </cell>
        </row>
        <row r="191">
          <cell r="A191">
            <v>45135</v>
          </cell>
          <cell r="B191" t="str">
            <v>LM</v>
          </cell>
          <cell r="C191">
            <v>0</v>
          </cell>
          <cell r="D191">
            <v>3152.99</v>
          </cell>
          <cell r="E191">
            <v>0</v>
          </cell>
          <cell r="F191">
            <v>0</v>
          </cell>
        </row>
        <row r="192">
          <cell r="A192">
            <v>45135</v>
          </cell>
          <cell r="B192" t="str">
            <v>Andere</v>
          </cell>
          <cell r="C192">
            <v>0</v>
          </cell>
          <cell r="D192">
            <v>1000</v>
          </cell>
          <cell r="E192">
            <v>0</v>
          </cell>
          <cell r="F192">
            <v>0</v>
          </cell>
        </row>
        <row r="198">
          <cell r="A198">
            <v>45136</v>
          </cell>
          <cell r="B198" t="str">
            <v>LM</v>
          </cell>
          <cell r="C198">
            <v>0</v>
          </cell>
          <cell r="D198">
            <v>3068.99</v>
          </cell>
          <cell r="E198">
            <v>0</v>
          </cell>
          <cell r="F198">
            <v>0</v>
          </cell>
        </row>
        <row r="199">
          <cell r="A199">
            <v>45136</v>
          </cell>
          <cell r="B199" t="str">
            <v>Andere</v>
          </cell>
          <cell r="C199">
            <v>0</v>
          </cell>
          <cell r="D199">
            <v>50</v>
          </cell>
          <cell r="E199">
            <v>0</v>
          </cell>
          <cell r="F199">
            <v>0</v>
          </cell>
        </row>
        <row r="205">
          <cell r="A205">
            <v>45137</v>
          </cell>
          <cell r="B205" t="str">
            <v>LM</v>
          </cell>
          <cell r="C205">
            <v>0</v>
          </cell>
          <cell r="D205">
            <v>1149.99</v>
          </cell>
          <cell r="E205">
            <v>0</v>
          </cell>
          <cell r="F205">
            <v>0</v>
          </cell>
        </row>
        <row r="206">
          <cell r="A206">
            <v>45137</v>
          </cell>
          <cell r="B206" t="str">
            <v>Rauchen</v>
          </cell>
          <cell r="C206">
            <v>0</v>
          </cell>
          <cell r="D206">
            <v>150</v>
          </cell>
          <cell r="E206">
            <v>0</v>
          </cell>
          <cell r="F206">
            <v>0</v>
          </cell>
        </row>
        <row r="207">
          <cell r="A207">
            <v>45137</v>
          </cell>
          <cell r="B207" t="str">
            <v>VM</v>
          </cell>
          <cell r="C207">
            <v>0</v>
          </cell>
          <cell r="D207">
            <v>112</v>
          </cell>
          <cell r="E207">
            <v>0</v>
          </cell>
          <cell r="F207">
            <v>23.37</v>
          </cell>
        </row>
        <row r="212">
          <cell r="A212">
            <v>45138</v>
          </cell>
          <cell r="B212" t="str">
            <v>Andere</v>
          </cell>
          <cell r="C212">
            <v>0</v>
          </cell>
          <cell r="D212">
            <v>2000</v>
          </cell>
          <cell r="E212">
            <v>0</v>
          </cell>
          <cell r="F212">
            <v>0</v>
          </cell>
        </row>
        <row r="213">
          <cell r="A213">
            <v>45138</v>
          </cell>
          <cell r="B213" t="str">
            <v>VM</v>
          </cell>
          <cell r="C213">
            <v>0</v>
          </cell>
          <cell r="D213">
            <v>168</v>
          </cell>
          <cell r="E213">
            <v>0</v>
          </cell>
          <cell r="F213">
            <v>0</v>
          </cell>
        </row>
        <row r="214">
          <cell r="A214">
            <v>45138</v>
          </cell>
          <cell r="B214" t="str">
            <v>LM</v>
          </cell>
          <cell r="C214">
            <v>0</v>
          </cell>
          <cell r="D214">
            <v>320.97000000000003</v>
          </cell>
          <cell r="E214">
            <v>0</v>
          </cell>
        </row>
        <row r="215">
          <cell r="A215">
            <v>45138</v>
          </cell>
          <cell r="B215" t="str">
            <v>Refill</v>
          </cell>
          <cell r="C215">
            <v>2643.49</v>
          </cell>
          <cell r="D215">
            <v>0</v>
          </cell>
          <cell r="E215">
            <v>0</v>
          </cell>
          <cell r="F215">
            <v>0</v>
          </cell>
        </row>
      </sheetData>
      <sheetData sheetId="34">
        <row r="2">
          <cell r="A2">
            <v>45139</v>
          </cell>
          <cell r="B2" t="str">
            <v>LM</v>
          </cell>
          <cell r="C2">
            <v>0</v>
          </cell>
          <cell r="D2">
            <v>450</v>
          </cell>
          <cell r="E2">
            <v>0</v>
          </cell>
          <cell r="F2">
            <v>0</v>
          </cell>
        </row>
        <row r="3">
          <cell r="A3">
            <v>45139</v>
          </cell>
          <cell r="B3" t="str">
            <v>VM</v>
          </cell>
          <cell r="C3">
            <v>0</v>
          </cell>
          <cell r="D3">
            <v>0</v>
          </cell>
          <cell r="E3">
            <v>0</v>
          </cell>
          <cell r="F3">
            <v>44.34</v>
          </cell>
        </row>
        <row r="4">
          <cell r="A4">
            <v>45139</v>
          </cell>
          <cell r="B4" t="str">
            <v>Andere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</row>
        <row r="5">
          <cell r="A5">
            <v>45139</v>
          </cell>
          <cell r="B5" t="str">
            <v>Party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A6">
            <v>45139</v>
          </cell>
          <cell r="B6" t="str">
            <v>for me</v>
          </cell>
          <cell r="C6">
            <v>0</v>
          </cell>
          <cell r="D6">
            <v>13612</v>
          </cell>
          <cell r="E6">
            <v>0</v>
          </cell>
          <cell r="F6">
            <v>0</v>
          </cell>
        </row>
        <row r="7">
          <cell r="A7">
            <v>45139</v>
          </cell>
          <cell r="B7" t="str">
            <v>Kleidung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</row>
        <row r="9">
          <cell r="A9">
            <v>45140</v>
          </cell>
          <cell r="B9" t="str">
            <v>LM</v>
          </cell>
          <cell r="C9">
            <v>0</v>
          </cell>
          <cell r="D9">
            <v>388.84</v>
          </cell>
          <cell r="E9">
            <v>0</v>
          </cell>
          <cell r="F9">
            <v>0</v>
          </cell>
        </row>
        <row r="10">
          <cell r="A10">
            <v>45140</v>
          </cell>
          <cell r="B10" t="str">
            <v>VM</v>
          </cell>
          <cell r="C10">
            <v>0</v>
          </cell>
          <cell r="D10">
            <v>112</v>
          </cell>
          <cell r="E10">
            <v>0</v>
          </cell>
          <cell r="F10">
            <v>22.47</v>
          </cell>
        </row>
        <row r="11">
          <cell r="A11">
            <v>45140</v>
          </cell>
          <cell r="B11" t="str">
            <v>rent</v>
          </cell>
          <cell r="C11">
            <v>0</v>
          </cell>
          <cell r="D11">
            <v>55000</v>
          </cell>
          <cell r="E11">
            <v>0</v>
          </cell>
          <cell r="F11">
            <v>0</v>
          </cell>
        </row>
        <row r="12">
          <cell r="A12">
            <v>45140</v>
          </cell>
          <cell r="B12" t="str">
            <v>Rauchen</v>
          </cell>
          <cell r="C12">
            <v>0</v>
          </cell>
          <cell r="D12">
            <v>145</v>
          </cell>
          <cell r="E12">
            <v>0</v>
          </cell>
          <cell r="F12">
            <v>0</v>
          </cell>
        </row>
        <row r="16">
          <cell r="A16">
            <v>45141</v>
          </cell>
          <cell r="B16" t="str">
            <v>LM</v>
          </cell>
          <cell r="C16">
            <v>0</v>
          </cell>
          <cell r="D16">
            <v>625</v>
          </cell>
          <cell r="E16">
            <v>0</v>
          </cell>
          <cell r="F16">
            <v>0</v>
          </cell>
        </row>
        <row r="17">
          <cell r="A17">
            <v>45141</v>
          </cell>
          <cell r="B17" t="str">
            <v>VM</v>
          </cell>
          <cell r="C17">
            <v>0</v>
          </cell>
          <cell r="D17">
            <v>56</v>
          </cell>
          <cell r="E17">
            <v>0</v>
          </cell>
          <cell r="F17">
            <v>67.41</v>
          </cell>
        </row>
        <row r="23">
          <cell r="A23">
            <v>45142</v>
          </cell>
          <cell r="B23" t="str">
            <v>LM</v>
          </cell>
          <cell r="C23">
            <v>0</v>
          </cell>
          <cell r="D23">
            <v>351</v>
          </cell>
          <cell r="E23">
            <v>0</v>
          </cell>
          <cell r="F23">
            <v>0</v>
          </cell>
        </row>
        <row r="24">
          <cell r="A24">
            <v>45142</v>
          </cell>
          <cell r="B24" t="str">
            <v>Rauchen</v>
          </cell>
          <cell r="C24">
            <v>0</v>
          </cell>
          <cell r="D24">
            <v>150</v>
          </cell>
          <cell r="E24">
            <v>0</v>
          </cell>
          <cell r="F24">
            <v>0</v>
          </cell>
        </row>
        <row r="25">
          <cell r="A25">
            <v>45142</v>
          </cell>
          <cell r="B25" t="str">
            <v>VM</v>
          </cell>
          <cell r="C25">
            <v>0</v>
          </cell>
          <cell r="D25">
            <v>112</v>
          </cell>
          <cell r="E25">
            <v>0</v>
          </cell>
          <cell r="F25">
            <v>47.34</v>
          </cell>
        </row>
        <row r="26">
          <cell r="A26">
            <v>45142</v>
          </cell>
          <cell r="B26" t="str">
            <v>LM</v>
          </cell>
          <cell r="C26">
            <v>0</v>
          </cell>
          <cell r="D26">
            <v>440</v>
          </cell>
          <cell r="E26">
            <v>0</v>
          </cell>
          <cell r="F26">
            <v>0</v>
          </cell>
        </row>
        <row r="30">
          <cell r="A30">
            <v>45143</v>
          </cell>
          <cell r="B30" t="str">
            <v>LM</v>
          </cell>
          <cell r="C30">
            <v>0</v>
          </cell>
          <cell r="D30">
            <v>100</v>
          </cell>
          <cell r="E30">
            <v>0</v>
          </cell>
          <cell r="F30">
            <v>0</v>
          </cell>
        </row>
        <row r="31">
          <cell r="A31">
            <v>45143</v>
          </cell>
          <cell r="B31" t="str">
            <v>LM</v>
          </cell>
          <cell r="C31">
            <v>0</v>
          </cell>
          <cell r="D31">
            <v>149.97999999999999</v>
          </cell>
          <cell r="E31">
            <v>0</v>
          </cell>
          <cell r="F31">
            <v>0</v>
          </cell>
        </row>
        <row r="32">
          <cell r="A32">
            <v>45143</v>
          </cell>
          <cell r="B32" t="str">
            <v>VM</v>
          </cell>
          <cell r="C32">
            <v>0</v>
          </cell>
          <cell r="D32">
            <v>0</v>
          </cell>
          <cell r="E32">
            <v>0</v>
          </cell>
          <cell r="F32">
            <v>149.91</v>
          </cell>
        </row>
        <row r="37">
          <cell r="A37">
            <v>45144</v>
          </cell>
          <cell r="B37" t="str">
            <v>Andere</v>
          </cell>
          <cell r="C37">
            <v>0</v>
          </cell>
          <cell r="D37">
            <v>1000</v>
          </cell>
          <cell r="E37">
            <v>0</v>
          </cell>
          <cell r="F37">
            <v>0</v>
          </cell>
        </row>
        <row r="38">
          <cell r="A38">
            <v>45144</v>
          </cell>
          <cell r="B38" t="str">
            <v>LM</v>
          </cell>
          <cell r="C38">
            <v>0</v>
          </cell>
          <cell r="D38">
            <v>1962.38</v>
          </cell>
          <cell r="E38">
            <v>0</v>
          </cell>
          <cell r="F38">
            <v>0</v>
          </cell>
        </row>
        <row r="39">
          <cell r="A39">
            <v>45144</v>
          </cell>
          <cell r="B39" t="str">
            <v>LM</v>
          </cell>
          <cell r="C39">
            <v>0</v>
          </cell>
          <cell r="D39">
            <v>17.39</v>
          </cell>
          <cell r="E39">
            <v>0</v>
          </cell>
          <cell r="F39">
            <v>0</v>
          </cell>
        </row>
        <row r="40">
          <cell r="A40">
            <v>45144</v>
          </cell>
          <cell r="B40" t="str">
            <v>Rauchen</v>
          </cell>
          <cell r="C40">
            <v>0</v>
          </cell>
          <cell r="D40">
            <v>150</v>
          </cell>
          <cell r="E40">
            <v>0</v>
          </cell>
          <cell r="F40">
            <v>0</v>
          </cell>
        </row>
        <row r="41">
          <cell r="A41">
            <v>45144</v>
          </cell>
          <cell r="B41" t="str">
            <v>LM</v>
          </cell>
          <cell r="C41">
            <v>0</v>
          </cell>
          <cell r="D41">
            <v>550</v>
          </cell>
          <cell r="E41">
            <v>0</v>
          </cell>
          <cell r="F41">
            <v>0</v>
          </cell>
        </row>
        <row r="42">
          <cell r="A42">
            <v>45144</v>
          </cell>
          <cell r="B42" t="str">
            <v>VM</v>
          </cell>
          <cell r="C42">
            <v>0</v>
          </cell>
          <cell r="D42">
            <v>0</v>
          </cell>
          <cell r="E42">
            <v>0</v>
          </cell>
          <cell r="F42">
            <v>55.230000000000004</v>
          </cell>
        </row>
        <row r="44">
          <cell r="A44">
            <v>45145</v>
          </cell>
          <cell r="B44" t="str">
            <v>VM</v>
          </cell>
          <cell r="C44">
            <v>0</v>
          </cell>
          <cell r="D44">
            <v>56</v>
          </cell>
          <cell r="E44">
            <v>0</v>
          </cell>
          <cell r="F44">
            <v>172.27</v>
          </cell>
        </row>
        <row r="45">
          <cell r="A45">
            <v>45145</v>
          </cell>
          <cell r="B45" t="str">
            <v>LM</v>
          </cell>
          <cell r="C45">
            <v>0</v>
          </cell>
          <cell r="D45">
            <v>330</v>
          </cell>
          <cell r="E45">
            <v>0</v>
          </cell>
          <cell r="F45">
            <v>0</v>
          </cell>
        </row>
        <row r="51">
          <cell r="A51">
            <v>45146</v>
          </cell>
          <cell r="B51" t="str">
            <v>Rauchen</v>
          </cell>
          <cell r="C51">
            <v>0</v>
          </cell>
          <cell r="D51">
            <v>145</v>
          </cell>
          <cell r="E51">
            <v>0</v>
          </cell>
          <cell r="F51">
            <v>0</v>
          </cell>
        </row>
        <row r="52">
          <cell r="A52">
            <v>45146</v>
          </cell>
          <cell r="B52" t="str">
            <v>VM</v>
          </cell>
          <cell r="C52">
            <v>0</v>
          </cell>
          <cell r="D52">
            <v>122</v>
          </cell>
          <cell r="E52">
            <v>0</v>
          </cell>
          <cell r="F52">
            <v>112.35</v>
          </cell>
        </row>
        <row r="58">
          <cell r="A58">
            <v>45147</v>
          </cell>
          <cell r="B58" t="str">
            <v>Refill</v>
          </cell>
          <cell r="C58">
            <v>57470.14</v>
          </cell>
          <cell r="D58">
            <v>0</v>
          </cell>
          <cell r="E58">
            <v>0</v>
          </cell>
          <cell r="F58">
            <v>0</v>
          </cell>
        </row>
        <row r="59">
          <cell r="A59">
            <v>45147</v>
          </cell>
          <cell r="B59" t="str">
            <v>LM</v>
          </cell>
          <cell r="C59">
            <v>0</v>
          </cell>
          <cell r="D59">
            <v>260</v>
          </cell>
          <cell r="E59">
            <v>0</v>
          </cell>
          <cell r="F59">
            <v>0</v>
          </cell>
        </row>
        <row r="60">
          <cell r="A60">
            <v>45147</v>
          </cell>
          <cell r="B60" t="str">
            <v>VM</v>
          </cell>
          <cell r="C60">
            <v>0</v>
          </cell>
          <cell r="D60">
            <v>0</v>
          </cell>
          <cell r="E60">
            <v>0</v>
          </cell>
          <cell r="F60">
            <v>63.92</v>
          </cell>
        </row>
        <row r="65">
          <cell r="A65">
            <v>45148</v>
          </cell>
          <cell r="B65" t="str">
            <v>Rauchen</v>
          </cell>
          <cell r="C65">
            <v>0</v>
          </cell>
          <cell r="D65">
            <v>145</v>
          </cell>
          <cell r="E65">
            <v>0</v>
          </cell>
          <cell r="F65">
            <v>0</v>
          </cell>
        </row>
        <row r="66">
          <cell r="A66">
            <v>45148</v>
          </cell>
          <cell r="B66" t="str">
            <v>LM</v>
          </cell>
          <cell r="C66">
            <v>0</v>
          </cell>
          <cell r="D66">
            <v>1277.47</v>
          </cell>
          <cell r="E66">
            <v>0</v>
          </cell>
          <cell r="F66">
            <v>0</v>
          </cell>
        </row>
        <row r="72">
          <cell r="A72">
            <v>45149</v>
          </cell>
          <cell r="B72" t="str">
            <v>LM</v>
          </cell>
          <cell r="C72">
            <v>0</v>
          </cell>
          <cell r="D72">
            <v>500</v>
          </cell>
          <cell r="E72">
            <v>0</v>
          </cell>
          <cell r="F72">
            <v>0</v>
          </cell>
        </row>
        <row r="73">
          <cell r="A73">
            <v>45149</v>
          </cell>
          <cell r="B73" t="str">
            <v>Andere</v>
          </cell>
          <cell r="C73">
            <v>0</v>
          </cell>
          <cell r="D73">
            <v>690</v>
          </cell>
          <cell r="E73">
            <v>0</v>
          </cell>
          <cell r="F73">
            <v>0</v>
          </cell>
        </row>
        <row r="74">
          <cell r="A74">
            <v>45149</v>
          </cell>
          <cell r="B74" t="str">
            <v>Andere</v>
          </cell>
          <cell r="C74">
            <v>0</v>
          </cell>
          <cell r="D74">
            <v>130</v>
          </cell>
          <cell r="E74">
            <v>0</v>
          </cell>
          <cell r="F74">
            <v>0</v>
          </cell>
        </row>
        <row r="75">
          <cell r="A75">
            <v>45149</v>
          </cell>
          <cell r="B75" t="str">
            <v>none</v>
          </cell>
          <cell r="C75">
            <v>0</v>
          </cell>
          <cell r="D75">
            <v>700</v>
          </cell>
          <cell r="E75">
            <v>700</v>
          </cell>
          <cell r="F75">
            <v>0</v>
          </cell>
        </row>
        <row r="79">
          <cell r="A79">
            <v>45150</v>
          </cell>
          <cell r="B79" t="str">
            <v>LM</v>
          </cell>
          <cell r="C79">
            <v>0</v>
          </cell>
          <cell r="D79">
            <v>1450.25</v>
          </cell>
          <cell r="E79">
            <v>0</v>
          </cell>
          <cell r="F79">
            <v>0</v>
          </cell>
        </row>
        <row r="80">
          <cell r="A80">
            <v>45150</v>
          </cell>
          <cell r="B80" t="str">
            <v>VM</v>
          </cell>
          <cell r="C80">
            <v>0</v>
          </cell>
          <cell r="D80">
            <v>112</v>
          </cell>
          <cell r="E80">
            <v>0</v>
          </cell>
          <cell r="F80">
            <v>248.5</v>
          </cell>
        </row>
        <row r="86">
          <cell r="A86">
            <v>45151</v>
          </cell>
          <cell r="B86" t="str">
            <v>VM</v>
          </cell>
          <cell r="C86">
            <v>0</v>
          </cell>
          <cell r="D86">
            <v>112</v>
          </cell>
          <cell r="E86">
            <v>0</v>
          </cell>
          <cell r="F86">
            <v>48</v>
          </cell>
        </row>
        <row r="87">
          <cell r="A87">
            <v>45151</v>
          </cell>
          <cell r="B87" t="str">
            <v>LM</v>
          </cell>
          <cell r="C87">
            <v>0</v>
          </cell>
          <cell r="D87">
            <v>656.17</v>
          </cell>
          <cell r="E87">
            <v>0</v>
          </cell>
          <cell r="F87">
            <v>0</v>
          </cell>
        </row>
        <row r="88">
          <cell r="A88">
            <v>45151</v>
          </cell>
          <cell r="B88" t="str">
            <v>Party</v>
          </cell>
          <cell r="C88">
            <v>0</v>
          </cell>
          <cell r="D88">
            <v>1470</v>
          </cell>
          <cell r="E88">
            <v>0</v>
          </cell>
          <cell r="F88">
            <v>0</v>
          </cell>
        </row>
        <row r="93">
          <cell r="A93">
            <v>45152</v>
          </cell>
          <cell r="B93" t="str">
            <v>LM</v>
          </cell>
          <cell r="C93">
            <v>0</v>
          </cell>
          <cell r="D93">
            <v>230</v>
          </cell>
          <cell r="E93">
            <v>0</v>
          </cell>
          <cell r="F93">
            <v>0</v>
          </cell>
        </row>
        <row r="94">
          <cell r="A94">
            <v>45152</v>
          </cell>
          <cell r="B94" t="str">
            <v>VM</v>
          </cell>
          <cell r="C94">
            <v>0</v>
          </cell>
          <cell r="D94">
            <v>0</v>
          </cell>
          <cell r="E94">
            <v>0</v>
          </cell>
          <cell r="F94">
            <v>22.5</v>
          </cell>
        </row>
        <row r="100">
          <cell r="A100">
            <v>45153</v>
          </cell>
          <cell r="B100" t="str">
            <v>VM</v>
          </cell>
          <cell r="C100">
            <v>0</v>
          </cell>
          <cell r="D100">
            <v>112</v>
          </cell>
          <cell r="E100">
            <v>0</v>
          </cell>
          <cell r="F100">
            <v>33</v>
          </cell>
        </row>
        <row r="101">
          <cell r="A101">
            <v>45153</v>
          </cell>
          <cell r="B101" t="str">
            <v>LM</v>
          </cell>
          <cell r="C101">
            <v>0</v>
          </cell>
          <cell r="D101">
            <v>455</v>
          </cell>
          <cell r="E101">
            <v>0</v>
          </cell>
          <cell r="F101">
            <v>0</v>
          </cell>
        </row>
        <row r="102">
          <cell r="A102">
            <v>45153</v>
          </cell>
          <cell r="B102" t="str">
            <v>LM</v>
          </cell>
          <cell r="C102">
            <v>0</v>
          </cell>
          <cell r="D102">
            <v>189.98</v>
          </cell>
          <cell r="E102">
            <v>0</v>
          </cell>
          <cell r="F102">
            <v>0</v>
          </cell>
        </row>
        <row r="103">
          <cell r="A103">
            <v>45153</v>
          </cell>
          <cell r="B103" t="str">
            <v>Rauchen</v>
          </cell>
          <cell r="C103">
            <v>0</v>
          </cell>
          <cell r="D103">
            <v>150</v>
          </cell>
          <cell r="E103">
            <v>0</v>
          </cell>
          <cell r="F103">
            <v>0</v>
          </cell>
        </row>
        <row r="104">
          <cell r="A104">
            <v>45153</v>
          </cell>
          <cell r="B104" t="str">
            <v>Andere</v>
          </cell>
          <cell r="C104">
            <v>0</v>
          </cell>
          <cell r="D104">
            <v>6437</v>
          </cell>
          <cell r="E104">
            <v>0</v>
          </cell>
          <cell r="F104">
            <v>0</v>
          </cell>
        </row>
        <row r="107">
          <cell r="A107">
            <v>45154</v>
          </cell>
          <cell r="B107" t="str">
            <v>LM</v>
          </cell>
          <cell r="C107">
            <v>0</v>
          </cell>
          <cell r="D107">
            <v>551</v>
          </cell>
          <cell r="E107">
            <v>0</v>
          </cell>
          <cell r="F107">
            <v>0</v>
          </cell>
        </row>
        <row r="108">
          <cell r="A108">
            <v>45154</v>
          </cell>
          <cell r="B108" t="str">
            <v>VM</v>
          </cell>
          <cell r="C108">
            <v>0</v>
          </cell>
          <cell r="D108">
            <v>0</v>
          </cell>
          <cell r="E108">
            <v>0</v>
          </cell>
          <cell r="F108">
            <v>320.5</v>
          </cell>
        </row>
        <row r="114">
          <cell r="A114">
            <v>45155</v>
          </cell>
          <cell r="B114" t="str">
            <v>LM</v>
          </cell>
          <cell r="C114">
            <v>0</v>
          </cell>
          <cell r="D114">
            <v>330</v>
          </cell>
          <cell r="E114">
            <v>0</v>
          </cell>
          <cell r="F114">
            <v>0</v>
          </cell>
        </row>
        <row r="121">
          <cell r="A121">
            <v>45156</v>
          </cell>
          <cell r="B121" t="str">
            <v>LM</v>
          </cell>
          <cell r="C121">
            <v>0</v>
          </cell>
          <cell r="D121">
            <v>329</v>
          </cell>
          <cell r="E121">
            <v>0</v>
          </cell>
          <cell r="F121">
            <v>0</v>
          </cell>
        </row>
        <row r="122">
          <cell r="A122">
            <v>45156</v>
          </cell>
          <cell r="B122" t="str">
            <v>Rauchen</v>
          </cell>
          <cell r="C122">
            <v>0</v>
          </cell>
          <cell r="D122">
            <v>150</v>
          </cell>
          <cell r="E122">
            <v>0</v>
          </cell>
          <cell r="F122">
            <v>0</v>
          </cell>
        </row>
        <row r="123">
          <cell r="A123">
            <v>45156</v>
          </cell>
          <cell r="B123" t="str">
            <v>Andere</v>
          </cell>
          <cell r="C123">
            <v>0</v>
          </cell>
          <cell r="D123">
            <v>252.48</v>
          </cell>
          <cell r="E123">
            <v>0</v>
          </cell>
          <cell r="F123">
            <v>0</v>
          </cell>
        </row>
        <row r="124">
          <cell r="A124">
            <v>45156</v>
          </cell>
          <cell r="B124" t="str">
            <v>VM</v>
          </cell>
          <cell r="C124">
            <v>0</v>
          </cell>
          <cell r="D124">
            <v>0</v>
          </cell>
          <cell r="E124">
            <v>0</v>
          </cell>
          <cell r="F124">
            <v>48</v>
          </cell>
        </row>
        <row r="128">
          <cell r="A128">
            <v>45157</v>
          </cell>
          <cell r="B128" t="str">
            <v>LM</v>
          </cell>
          <cell r="C128">
            <v>0</v>
          </cell>
          <cell r="D128">
            <v>227.47</v>
          </cell>
          <cell r="E128">
            <v>0</v>
          </cell>
          <cell r="F128">
            <v>0</v>
          </cell>
        </row>
        <row r="129">
          <cell r="A129">
            <v>45157</v>
          </cell>
          <cell r="B129" t="str">
            <v>LM</v>
          </cell>
          <cell r="C129">
            <v>0</v>
          </cell>
          <cell r="D129">
            <v>362</v>
          </cell>
          <cell r="E129">
            <v>0</v>
          </cell>
          <cell r="F129">
            <v>0</v>
          </cell>
        </row>
        <row r="130">
          <cell r="A130">
            <v>45157</v>
          </cell>
          <cell r="B130" t="str">
            <v>VM</v>
          </cell>
          <cell r="C130">
            <v>0</v>
          </cell>
          <cell r="D130">
            <v>112</v>
          </cell>
          <cell r="E130">
            <v>0</v>
          </cell>
          <cell r="F130">
            <v>373.17</v>
          </cell>
        </row>
        <row r="131">
          <cell r="A131">
            <v>45157</v>
          </cell>
          <cell r="B131" t="str">
            <v>LM</v>
          </cell>
          <cell r="C131">
            <v>0</v>
          </cell>
          <cell r="D131">
            <v>150</v>
          </cell>
          <cell r="E131">
            <v>0</v>
          </cell>
          <cell r="F131">
            <v>0</v>
          </cell>
        </row>
        <row r="132">
          <cell r="A132">
            <v>45157</v>
          </cell>
          <cell r="B132" t="str">
            <v>Andere</v>
          </cell>
          <cell r="C132">
            <v>0</v>
          </cell>
          <cell r="D132">
            <v>1000</v>
          </cell>
          <cell r="E132">
            <v>0</v>
          </cell>
          <cell r="F132">
            <v>0</v>
          </cell>
        </row>
        <row r="135">
          <cell r="A135">
            <v>45158</v>
          </cell>
          <cell r="B135" t="str">
            <v>VM</v>
          </cell>
          <cell r="C135">
            <v>0</v>
          </cell>
          <cell r="D135">
            <v>168</v>
          </cell>
          <cell r="E135">
            <v>0</v>
          </cell>
          <cell r="F135">
            <v>0</v>
          </cell>
        </row>
        <row r="136">
          <cell r="A136">
            <v>45158</v>
          </cell>
          <cell r="B136" t="str">
            <v>LM</v>
          </cell>
          <cell r="C136">
            <v>0</v>
          </cell>
          <cell r="D136">
            <v>95</v>
          </cell>
          <cell r="E136">
            <v>0</v>
          </cell>
          <cell r="F136">
            <v>0</v>
          </cell>
        </row>
        <row r="137">
          <cell r="A137">
            <v>45158</v>
          </cell>
          <cell r="B137" t="str">
            <v>LM</v>
          </cell>
          <cell r="C137">
            <v>0</v>
          </cell>
          <cell r="D137">
            <v>850</v>
          </cell>
          <cell r="E137">
            <v>0</v>
          </cell>
          <cell r="F137">
            <v>0</v>
          </cell>
        </row>
        <row r="138">
          <cell r="A138">
            <v>45158</v>
          </cell>
          <cell r="B138" t="str">
            <v>LM</v>
          </cell>
          <cell r="C138">
            <v>0</v>
          </cell>
          <cell r="D138">
            <v>427</v>
          </cell>
          <cell r="E138">
            <v>0</v>
          </cell>
          <cell r="F138">
            <v>0</v>
          </cell>
        </row>
        <row r="142">
          <cell r="A142">
            <v>45159</v>
          </cell>
          <cell r="B142" t="str">
            <v>LM</v>
          </cell>
          <cell r="C142">
            <v>0</v>
          </cell>
          <cell r="D142">
            <v>490</v>
          </cell>
          <cell r="E142">
            <v>0</v>
          </cell>
          <cell r="F142">
            <v>0</v>
          </cell>
        </row>
        <row r="143">
          <cell r="A143">
            <v>45159</v>
          </cell>
          <cell r="B143" t="str">
            <v>Rauchen</v>
          </cell>
          <cell r="C143">
            <v>0</v>
          </cell>
          <cell r="D143">
            <v>170</v>
          </cell>
          <cell r="E143">
            <v>0</v>
          </cell>
          <cell r="F143">
            <v>0</v>
          </cell>
        </row>
        <row r="144">
          <cell r="A144">
            <v>45159</v>
          </cell>
          <cell r="B144" t="str">
            <v>LM</v>
          </cell>
          <cell r="C144">
            <v>0</v>
          </cell>
          <cell r="D144">
            <v>360</v>
          </cell>
          <cell r="E144">
            <v>0</v>
          </cell>
          <cell r="F144">
            <v>0</v>
          </cell>
        </row>
        <row r="145">
          <cell r="A145">
            <v>45159</v>
          </cell>
          <cell r="B145" t="str">
            <v>Andere</v>
          </cell>
          <cell r="C145">
            <v>0</v>
          </cell>
          <cell r="D145">
            <v>1469.43</v>
          </cell>
          <cell r="E145">
            <v>0</v>
          </cell>
          <cell r="F145">
            <v>0</v>
          </cell>
        </row>
        <row r="146">
          <cell r="A146">
            <v>45159</v>
          </cell>
          <cell r="B146" t="str">
            <v>VM</v>
          </cell>
          <cell r="C146">
            <v>0</v>
          </cell>
          <cell r="D146">
            <v>0</v>
          </cell>
          <cell r="E146">
            <v>0</v>
          </cell>
          <cell r="F146">
            <v>135.5</v>
          </cell>
        </row>
        <row r="149">
          <cell r="A149">
            <v>45160</v>
          </cell>
          <cell r="B149" t="str">
            <v>LM</v>
          </cell>
          <cell r="C149">
            <v>0</v>
          </cell>
          <cell r="D149">
            <v>242.97</v>
          </cell>
          <cell r="E149">
            <v>0</v>
          </cell>
          <cell r="F149">
            <v>0</v>
          </cell>
        </row>
        <row r="150">
          <cell r="A150">
            <v>45160</v>
          </cell>
          <cell r="B150" t="str">
            <v>VM</v>
          </cell>
          <cell r="C150">
            <v>0</v>
          </cell>
          <cell r="D150">
            <v>112</v>
          </cell>
          <cell r="E150">
            <v>0</v>
          </cell>
          <cell r="F150">
            <v>0</v>
          </cell>
        </row>
        <row r="156">
          <cell r="A156">
            <v>45161</v>
          </cell>
          <cell r="B156" t="str">
            <v>VM</v>
          </cell>
          <cell r="C156">
            <v>0</v>
          </cell>
          <cell r="D156">
            <v>347</v>
          </cell>
          <cell r="E156">
            <v>0</v>
          </cell>
          <cell r="F156">
            <v>247.72</v>
          </cell>
        </row>
        <row r="157">
          <cell r="A157">
            <v>45161</v>
          </cell>
          <cell r="B157" t="str">
            <v>Andere</v>
          </cell>
          <cell r="C157">
            <v>0</v>
          </cell>
          <cell r="D157">
            <v>10412</v>
          </cell>
          <cell r="E157">
            <v>0</v>
          </cell>
          <cell r="F157">
            <v>0</v>
          </cell>
        </row>
        <row r="158">
          <cell r="A158">
            <v>45161</v>
          </cell>
          <cell r="B158" t="str">
            <v>LM</v>
          </cell>
          <cell r="C158">
            <v>0</v>
          </cell>
          <cell r="D158">
            <v>325</v>
          </cell>
          <cell r="E158">
            <v>0</v>
          </cell>
          <cell r="F158">
            <v>0</v>
          </cell>
        </row>
        <row r="159">
          <cell r="A159">
            <v>45161</v>
          </cell>
          <cell r="B159" t="str">
            <v>Rauchen</v>
          </cell>
          <cell r="C159">
            <v>0</v>
          </cell>
          <cell r="D159">
            <v>150</v>
          </cell>
          <cell r="E159">
            <v>0</v>
          </cell>
          <cell r="F159">
            <v>0</v>
          </cell>
        </row>
        <row r="163">
          <cell r="A163">
            <v>45162</v>
          </cell>
          <cell r="B163" t="str">
            <v>LM</v>
          </cell>
          <cell r="C163">
            <v>0</v>
          </cell>
          <cell r="D163">
            <v>431</v>
          </cell>
          <cell r="E163">
            <v>0</v>
          </cell>
          <cell r="F163">
            <v>0</v>
          </cell>
        </row>
        <row r="164">
          <cell r="A164">
            <v>45162</v>
          </cell>
          <cell r="B164" t="str">
            <v>Refill</v>
          </cell>
          <cell r="C164">
            <v>59254.97</v>
          </cell>
          <cell r="D164">
            <v>0</v>
          </cell>
          <cell r="E164">
            <v>0</v>
          </cell>
          <cell r="F164">
            <v>0</v>
          </cell>
        </row>
        <row r="165">
          <cell r="A165">
            <v>45162</v>
          </cell>
          <cell r="B165" t="str">
            <v>VM</v>
          </cell>
          <cell r="C165">
            <v>0</v>
          </cell>
          <cell r="D165">
            <v>0</v>
          </cell>
          <cell r="E165">
            <v>0</v>
          </cell>
          <cell r="F165">
            <v>23.97</v>
          </cell>
        </row>
        <row r="170">
          <cell r="A170">
            <v>45163</v>
          </cell>
          <cell r="B170" t="str">
            <v>VM</v>
          </cell>
          <cell r="C170">
            <v>0</v>
          </cell>
          <cell r="D170">
            <v>1469</v>
          </cell>
          <cell r="E170">
            <v>0</v>
          </cell>
          <cell r="F170">
            <v>40</v>
          </cell>
        </row>
        <row r="171">
          <cell r="A171">
            <v>45163</v>
          </cell>
          <cell r="B171" t="str">
            <v>LM</v>
          </cell>
          <cell r="C171">
            <v>0</v>
          </cell>
          <cell r="D171">
            <v>450</v>
          </cell>
          <cell r="E171">
            <v>0</v>
          </cell>
          <cell r="F171">
            <v>0</v>
          </cell>
        </row>
        <row r="177">
          <cell r="A177">
            <v>45164</v>
          </cell>
          <cell r="B177" t="str">
            <v>VM</v>
          </cell>
          <cell r="C177">
            <v>0</v>
          </cell>
          <cell r="D177">
            <v>112</v>
          </cell>
          <cell r="E177">
            <v>0</v>
          </cell>
          <cell r="F177">
            <v>0</v>
          </cell>
        </row>
        <row r="178">
          <cell r="A178">
            <v>45164</v>
          </cell>
          <cell r="B178" t="str">
            <v>Andere</v>
          </cell>
          <cell r="C178">
            <v>0</v>
          </cell>
          <cell r="D178">
            <v>120</v>
          </cell>
          <cell r="E178">
            <v>0</v>
          </cell>
          <cell r="F178">
            <v>0</v>
          </cell>
        </row>
        <row r="212">
          <cell r="A212">
            <v>45169</v>
          </cell>
          <cell r="B212" t="str">
            <v>Refill</v>
          </cell>
          <cell r="C212">
            <v>2484.25</v>
          </cell>
          <cell r="D212">
            <v>0</v>
          </cell>
          <cell r="E212">
            <v>0</v>
          </cell>
          <cell r="F212">
            <v>0</v>
          </cell>
        </row>
      </sheetData>
      <sheetData sheetId="35">
        <row r="2">
          <cell r="A2">
            <v>45170</v>
          </cell>
          <cell r="B2" t="str">
            <v>LM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</row>
        <row r="3">
          <cell r="A3">
            <v>45170</v>
          </cell>
          <cell r="B3" t="str">
            <v>VM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A4">
            <v>45170</v>
          </cell>
          <cell r="B4" t="str">
            <v>Andere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</row>
        <row r="5">
          <cell r="A5">
            <v>45170</v>
          </cell>
          <cell r="B5" t="str">
            <v>for me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A6">
            <v>45170</v>
          </cell>
          <cell r="B6" t="str">
            <v>Party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</row>
        <row r="7">
          <cell r="A7">
            <v>45170</v>
          </cell>
          <cell r="B7" t="str">
            <v>Kleidung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</row>
        <row r="9">
          <cell r="A9">
            <v>45171</v>
          </cell>
          <cell r="B9" t="str">
            <v>rent</v>
          </cell>
          <cell r="C9">
            <v>0</v>
          </cell>
          <cell r="D9">
            <v>35000</v>
          </cell>
          <cell r="E9">
            <v>0</v>
          </cell>
          <cell r="F9">
            <v>0</v>
          </cell>
        </row>
        <row r="10">
          <cell r="A10">
            <v>45171</v>
          </cell>
          <cell r="B10" t="str">
            <v>Andere</v>
          </cell>
          <cell r="C10">
            <v>0</v>
          </cell>
          <cell r="D10">
            <v>1000</v>
          </cell>
          <cell r="E10">
            <v>0</v>
          </cell>
          <cell r="F10">
            <v>0</v>
          </cell>
        </row>
        <row r="51">
          <cell r="A51">
            <v>45177</v>
          </cell>
          <cell r="B51" t="str">
            <v>Refill</v>
          </cell>
          <cell r="C51">
            <v>41669.65</v>
          </cell>
          <cell r="D51">
            <v>0</v>
          </cell>
          <cell r="E51">
            <v>0</v>
          </cell>
          <cell r="F51">
            <v>0</v>
          </cell>
        </row>
        <row r="58">
          <cell r="A58">
            <v>45178</v>
          </cell>
          <cell r="B58" t="str">
            <v>Andere</v>
          </cell>
          <cell r="C58">
            <v>0</v>
          </cell>
          <cell r="D58">
            <v>3000</v>
          </cell>
          <cell r="E58">
            <v>0</v>
          </cell>
          <cell r="F58">
            <v>0</v>
          </cell>
        </row>
        <row r="59">
          <cell r="A59">
            <v>45178</v>
          </cell>
          <cell r="B59" t="str">
            <v>LM</v>
          </cell>
          <cell r="C59">
            <v>0</v>
          </cell>
          <cell r="D59">
            <v>1063.83</v>
          </cell>
          <cell r="E59">
            <v>0</v>
          </cell>
          <cell r="F59">
            <v>0</v>
          </cell>
        </row>
        <row r="65">
          <cell r="A65">
            <v>45179</v>
          </cell>
          <cell r="B65" t="str">
            <v>LM</v>
          </cell>
          <cell r="C65">
            <v>0</v>
          </cell>
          <cell r="D65">
            <v>19.989999999999998</v>
          </cell>
          <cell r="E65">
            <v>0</v>
          </cell>
          <cell r="F65">
            <v>0</v>
          </cell>
        </row>
        <row r="66">
          <cell r="A66">
            <v>45179</v>
          </cell>
          <cell r="B66" t="str">
            <v>VM</v>
          </cell>
          <cell r="C66">
            <v>0</v>
          </cell>
          <cell r="D66">
            <v>3879.4</v>
          </cell>
          <cell r="E66">
            <v>0</v>
          </cell>
          <cell r="F66">
            <v>0</v>
          </cell>
        </row>
        <row r="79">
          <cell r="A79">
            <v>45181</v>
          </cell>
          <cell r="B79" t="str">
            <v>VM</v>
          </cell>
          <cell r="C79">
            <v>0</v>
          </cell>
          <cell r="D79">
            <v>1600</v>
          </cell>
          <cell r="E79">
            <v>0</v>
          </cell>
          <cell r="F79">
            <v>0</v>
          </cell>
        </row>
        <row r="80">
          <cell r="A80">
            <v>45181</v>
          </cell>
          <cell r="B80" t="str">
            <v>Andere</v>
          </cell>
          <cell r="C80">
            <v>0</v>
          </cell>
          <cell r="D80">
            <v>1000</v>
          </cell>
          <cell r="E80">
            <v>0</v>
          </cell>
          <cell r="F80">
            <v>0</v>
          </cell>
        </row>
        <row r="86">
          <cell r="A86">
            <v>45182</v>
          </cell>
          <cell r="B86" t="str">
            <v>LM</v>
          </cell>
          <cell r="C86">
            <v>0</v>
          </cell>
          <cell r="D86">
            <v>940.49</v>
          </cell>
          <cell r="E86">
            <v>0</v>
          </cell>
          <cell r="F86">
            <v>0</v>
          </cell>
        </row>
        <row r="93">
          <cell r="A93">
            <v>45183</v>
          </cell>
          <cell r="B93" t="str">
            <v>LM</v>
          </cell>
          <cell r="C93">
            <v>0</v>
          </cell>
          <cell r="D93">
            <v>430</v>
          </cell>
          <cell r="E93">
            <v>0</v>
          </cell>
          <cell r="F93">
            <v>0</v>
          </cell>
        </row>
        <row r="100">
          <cell r="A100">
            <v>45184</v>
          </cell>
          <cell r="B100" t="str">
            <v>VM</v>
          </cell>
          <cell r="C100">
            <v>0</v>
          </cell>
          <cell r="D100">
            <v>112</v>
          </cell>
          <cell r="E100">
            <v>0</v>
          </cell>
          <cell r="F100">
            <v>0</v>
          </cell>
        </row>
        <row r="107">
          <cell r="A107">
            <v>45185</v>
          </cell>
          <cell r="B107" t="str">
            <v>LM</v>
          </cell>
          <cell r="C107">
            <v>0</v>
          </cell>
          <cell r="D107">
            <v>1906.03</v>
          </cell>
          <cell r="E107">
            <v>0</v>
          </cell>
          <cell r="F107">
            <v>0</v>
          </cell>
        </row>
        <row r="114">
          <cell r="A114">
            <v>45186</v>
          </cell>
          <cell r="B114" t="str">
            <v>LM</v>
          </cell>
          <cell r="C114">
            <v>0</v>
          </cell>
          <cell r="D114">
            <v>380</v>
          </cell>
          <cell r="E114">
            <v>0</v>
          </cell>
          <cell r="F114">
            <v>0</v>
          </cell>
        </row>
        <row r="115">
          <cell r="A115">
            <v>45186</v>
          </cell>
          <cell r="B115" t="str">
            <v>rent</v>
          </cell>
          <cell r="C115">
            <v>0</v>
          </cell>
          <cell r="D115">
            <v>55000</v>
          </cell>
          <cell r="E115">
            <v>0</v>
          </cell>
          <cell r="F115">
            <v>0</v>
          </cell>
        </row>
        <row r="116">
          <cell r="A116">
            <v>45186</v>
          </cell>
          <cell r="B116" t="str">
            <v>none</v>
          </cell>
          <cell r="C116">
            <v>0</v>
          </cell>
          <cell r="D116">
            <v>55000</v>
          </cell>
          <cell r="E116">
            <v>0</v>
          </cell>
          <cell r="F116">
            <v>0</v>
          </cell>
        </row>
        <row r="117">
          <cell r="A117">
            <v>45186</v>
          </cell>
          <cell r="B117" t="str">
            <v>Andere</v>
          </cell>
          <cell r="C117">
            <v>0</v>
          </cell>
          <cell r="D117">
            <v>345</v>
          </cell>
          <cell r="E117">
            <v>0</v>
          </cell>
          <cell r="F117">
            <v>600</v>
          </cell>
        </row>
        <row r="118">
          <cell r="A118">
            <v>45186</v>
          </cell>
          <cell r="B118" t="str">
            <v>LM</v>
          </cell>
          <cell r="C118">
            <v>0</v>
          </cell>
          <cell r="D118">
            <v>300</v>
          </cell>
          <cell r="E118">
            <v>0</v>
          </cell>
          <cell r="F118">
            <v>0</v>
          </cell>
        </row>
        <row r="121">
          <cell r="A121">
            <v>45187</v>
          </cell>
          <cell r="B121" t="str">
            <v>VM</v>
          </cell>
          <cell r="C121">
            <v>0</v>
          </cell>
          <cell r="D121">
            <v>112</v>
          </cell>
          <cell r="E121">
            <v>0</v>
          </cell>
          <cell r="F121">
            <v>0</v>
          </cell>
        </row>
        <row r="128">
          <cell r="A128">
            <v>45188</v>
          </cell>
          <cell r="B128" t="str">
            <v>Kleidung</v>
          </cell>
          <cell r="C128">
            <v>0</v>
          </cell>
          <cell r="D128">
            <v>1392</v>
          </cell>
          <cell r="E128">
            <v>0</v>
          </cell>
          <cell r="F128">
            <v>0</v>
          </cell>
        </row>
        <row r="129">
          <cell r="A129">
            <v>45188</v>
          </cell>
          <cell r="B129" t="str">
            <v>LM</v>
          </cell>
          <cell r="C129">
            <v>0</v>
          </cell>
          <cell r="D129">
            <v>221.98</v>
          </cell>
          <cell r="E129">
            <v>0</v>
          </cell>
          <cell r="F129">
            <v>0</v>
          </cell>
        </row>
        <row r="135">
          <cell r="A135">
            <v>45189</v>
          </cell>
          <cell r="B135" t="str">
            <v>LM</v>
          </cell>
          <cell r="C135">
            <v>0</v>
          </cell>
          <cell r="D135">
            <v>430</v>
          </cell>
          <cell r="E135">
            <v>0</v>
          </cell>
          <cell r="F135">
            <v>0</v>
          </cell>
        </row>
        <row r="142">
          <cell r="A142">
            <v>45190</v>
          </cell>
          <cell r="B142" t="str">
            <v>VM</v>
          </cell>
          <cell r="C142">
            <v>0</v>
          </cell>
          <cell r="D142">
            <v>112</v>
          </cell>
          <cell r="E142">
            <v>0</v>
          </cell>
          <cell r="F142">
            <v>0</v>
          </cell>
        </row>
        <row r="143">
          <cell r="A143">
            <v>45190</v>
          </cell>
          <cell r="B143" t="str">
            <v>LM</v>
          </cell>
          <cell r="C143">
            <v>0</v>
          </cell>
          <cell r="D143">
            <v>680.94</v>
          </cell>
          <cell r="E143">
            <v>0</v>
          </cell>
          <cell r="F143">
            <v>0</v>
          </cell>
        </row>
        <row r="149">
          <cell r="A149">
            <v>45191</v>
          </cell>
          <cell r="B149" t="str">
            <v>Refill</v>
          </cell>
          <cell r="C149">
            <v>42753.86</v>
          </cell>
          <cell r="D149">
            <v>0</v>
          </cell>
          <cell r="E149">
            <v>0</v>
          </cell>
          <cell r="F149">
            <v>0</v>
          </cell>
        </row>
        <row r="150">
          <cell r="A150">
            <v>45191</v>
          </cell>
          <cell r="B150" t="str">
            <v>LM</v>
          </cell>
          <cell r="C150">
            <v>0</v>
          </cell>
          <cell r="D150">
            <v>425</v>
          </cell>
          <cell r="E150">
            <v>0</v>
          </cell>
          <cell r="F150">
            <v>0</v>
          </cell>
        </row>
        <row r="151">
          <cell r="A151">
            <v>45191</v>
          </cell>
          <cell r="B151" t="str">
            <v>for me</v>
          </cell>
          <cell r="C151">
            <v>0</v>
          </cell>
          <cell r="D151">
            <v>2969</v>
          </cell>
          <cell r="E151">
            <v>0</v>
          </cell>
          <cell r="F151">
            <v>0</v>
          </cell>
        </row>
        <row r="156">
          <cell r="A156">
            <v>45192</v>
          </cell>
          <cell r="B156" t="str">
            <v>LM</v>
          </cell>
          <cell r="C156">
            <v>0</v>
          </cell>
          <cell r="D156">
            <v>535</v>
          </cell>
          <cell r="E156">
            <v>0</v>
          </cell>
          <cell r="F156">
            <v>0</v>
          </cell>
        </row>
        <row r="157">
          <cell r="A157">
            <v>45192</v>
          </cell>
          <cell r="B157" t="str">
            <v>VM</v>
          </cell>
          <cell r="C157">
            <v>0</v>
          </cell>
          <cell r="D157">
            <v>112</v>
          </cell>
          <cell r="E157">
            <v>0</v>
          </cell>
          <cell r="F157">
            <v>84.5</v>
          </cell>
        </row>
        <row r="163">
          <cell r="A163">
            <v>45193</v>
          </cell>
          <cell r="B163" t="str">
            <v>for me</v>
          </cell>
          <cell r="C163">
            <v>0</v>
          </cell>
          <cell r="D163">
            <v>12070</v>
          </cell>
          <cell r="E163">
            <v>0</v>
          </cell>
          <cell r="F163">
            <v>0</v>
          </cell>
        </row>
        <row r="164">
          <cell r="A164">
            <v>45193</v>
          </cell>
          <cell r="B164" t="str">
            <v>Party</v>
          </cell>
          <cell r="C164">
            <v>0</v>
          </cell>
          <cell r="D164">
            <v>1500</v>
          </cell>
          <cell r="E164">
            <v>0</v>
          </cell>
          <cell r="F164">
            <v>0</v>
          </cell>
        </row>
        <row r="165">
          <cell r="A165">
            <v>45193</v>
          </cell>
          <cell r="B165" t="str">
            <v>Andere</v>
          </cell>
          <cell r="C165">
            <v>0</v>
          </cell>
          <cell r="D165">
            <v>7.5</v>
          </cell>
          <cell r="E165">
            <v>0</v>
          </cell>
          <cell r="F165">
            <v>0</v>
          </cell>
        </row>
        <row r="166">
          <cell r="A166">
            <v>45193</v>
          </cell>
          <cell r="B166" t="str">
            <v>VM</v>
          </cell>
          <cell r="C166">
            <v>0</v>
          </cell>
          <cell r="D166">
            <v>112</v>
          </cell>
          <cell r="E166">
            <v>0</v>
          </cell>
          <cell r="F166">
            <v>17</v>
          </cell>
        </row>
        <row r="167">
          <cell r="A167">
            <v>45193</v>
          </cell>
          <cell r="B167" t="str">
            <v>LM</v>
          </cell>
          <cell r="C167">
            <v>0</v>
          </cell>
          <cell r="D167">
            <v>2395.15</v>
          </cell>
          <cell r="E167">
            <v>0</v>
          </cell>
          <cell r="F167">
            <v>0</v>
          </cell>
        </row>
        <row r="170">
          <cell r="A170">
            <v>45194</v>
          </cell>
          <cell r="B170" t="str">
            <v>Andere</v>
          </cell>
          <cell r="C170">
            <v>0</v>
          </cell>
          <cell r="D170">
            <v>100</v>
          </cell>
          <cell r="E170">
            <v>0</v>
          </cell>
          <cell r="F170">
            <v>0</v>
          </cell>
        </row>
        <row r="177">
          <cell r="A177">
            <v>45195</v>
          </cell>
          <cell r="B177" t="str">
            <v>for me</v>
          </cell>
          <cell r="C177">
            <v>0</v>
          </cell>
          <cell r="D177">
            <v>600</v>
          </cell>
          <cell r="E177">
            <v>0</v>
          </cell>
          <cell r="F177">
            <v>0</v>
          </cell>
        </row>
        <row r="184">
          <cell r="A184">
            <v>45196</v>
          </cell>
          <cell r="B184" t="str">
            <v>VM</v>
          </cell>
          <cell r="C184">
            <v>0</v>
          </cell>
          <cell r="D184">
            <v>112</v>
          </cell>
          <cell r="E184">
            <v>0</v>
          </cell>
          <cell r="F184">
            <v>0</v>
          </cell>
        </row>
        <row r="191">
          <cell r="A191">
            <v>45197</v>
          </cell>
          <cell r="B191" t="str">
            <v>VM</v>
          </cell>
          <cell r="C191">
            <v>0</v>
          </cell>
          <cell r="D191">
            <v>112</v>
          </cell>
          <cell r="E191">
            <v>0</v>
          </cell>
          <cell r="F191">
            <v>0</v>
          </cell>
        </row>
        <row r="192">
          <cell r="A192">
            <v>45197</v>
          </cell>
          <cell r="B192" t="str">
            <v>LM</v>
          </cell>
          <cell r="C192">
            <v>0</v>
          </cell>
          <cell r="D192">
            <v>430</v>
          </cell>
          <cell r="E192">
            <v>0</v>
          </cell>
          <cell r="F192">
            <v>0</v>
          </cell>
        </row>
        <row r="198">
          <cell r="A198">
            <v>45198</v>
          </cell>
          <cell r="B198" t="str">
            <v>LM</v>
          </cell>
          <cell r="C198">
            <v>0</v>
          </cell>
          <cell r="D198">
            <v>1097.96</v>
          </cell>
          <cell r="E198">
            <v>0</v>
          </cell>
          <cell r="F198">
            <v>0</v>
          </cell>
        </row>
        <row r="199">
          <cell r="A199">
            <v>45198</v>
          </cell>
          <cell r="B199" t="str">
            <v>VM</v>
          </cell>
          <cell r="C199">
            <v>0</v>
          </cell>
          <cell r="D199">
            <v>112</v>
          </cell>
          <cell r="E199">
            <v>0</v>
          </cell>
          <cell r="F199">
            <v>0</v>
          </cell>
        </row>
        <row r="205">
          <cell r="A205">
            <v>45199</v>
          </cell>
          <cell r="B205" t="str">
            <v>LM</v>
          </cell>
          <cell r="C205">
            <v>0</v>
          </cell>
          <cell r="D205">
            <v>1315.98</v>
          </cell>
          <cell r="E205">
            <v>0</v>
          </cell>
          <cell r="F205">
            <v>0</v>
          </cell>
        </row>
        <row r="206">
          <cell r="A206">
            <v>45199</v>
          </cell>
          <cell r="B206" t="str">
            <v>Kleidung</v>
          </cell>
          <cell r="C206">
            <v>0</v>
          </cell>
          <cell r="D206">
            <v>729</v>
          </cell>
          <cell r="E206">
            <v>0</v>
          </cell>
          <cell r="F206">
            <v>0</v>
          </cell>
        </row>
        <row r="207">
          <cell r="A207">
            <v>45199</v>
          </cell>
          <cell r="B207" t="str">
            <v>Rauchen</v>
          </cell>
          <cell r="C207">
            <v>0</v>
          </cell>
          <cell r="D207">
            <v>150</v>
          </cell>
          <cell r="E207">
            <v>0</v>
          </cell>
          <cell r="F207">
            <v>0</v>
          </cell>
        </row>
        <row r="208">
          <cell r="A208">
            <v>45199</v>
          </cell>
          <cell r="B208" t="str">
            <v>Refill</v>
          </cell>
          <cell r="C208">
            <v>2576.71</v>
          </cell>
          <cell r="D208">
            <v>0</v>
          </cell>
          <cell r="E208">
            <v>0</v>
          </cell>
          <cell r="F208">
            <v>0</v>
          </cell>
        </row>
      </sheetData>
      <sheetData sheetId="36">
        <row r="2">
          <cell r="A2">
            <v>45200</v>
          </cell>
          <cell r="B2" t="str">
            <v>LM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</row>
        <row r="3">
          <cell r="A3">
            <v>45200</v>
          </cell>
          <cell r="B3" t="str">
            <v>VM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A4">
            <v>45200</v>
          </cell>
          <cell r="B4" t="str">
            <v>Andere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</row>
        <row r="5">
          <cell r="A5">
            <v>45200</v>
          </cell>
          <cell r="B5" t="str">
            <v>for me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A6">
            <v>45200</v>
          </cell>
          <cell r="B6" t="str">
            <v>Party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</row>
        <row r="7">
          <cell r="A7">
            <v>45200</v>
          </cell>
          <cell r="B7" t="str">
            <v>Kleidung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</row>
        <row r="9">
          <cell r="A9">
            <v>45201</v>
          </cell>
          <cell r="B9" t="str">
            <v>LM</v>
          </cell>
          <cell r="C9">
            <v>0</v>
          </cell>
          <cell r="D9">
            <v>1201</v>
          </cell>
          <cell r="E9">
            <v>0</v>
          </cell>
          <cell r="F9">
            <v>0</v>
          </cell>
        </row>
        <row r="16">
          <cell r="A16">
            <v>45202</v>
          </cell>
          <cell r="B16" t="str">
            <v>LM</v>
          </cell>
          <cell r="C16">
            <v>0</v>
          </cell>
          <cell r="D16">
            <v>251.18</v>
          </cell>
          <cell r="E16">
            <v>0</v>
          </cell>
          <cell r="F16">
            <v>0</v>
          </cell>
        </row>
        <row r="23">
          <cell r="A23">
            <v>45203</v>
          </cell>
          <cell r="B23" t="str">
            <v>LM</v>
          </cell>
          <cell r="C23">
            <v>0</v>
          </cell>
          <cell r="D23">
            <v>441</v>
          </cell>
          <cell r="E23">
            <v>0</v>
          </cell>
          <cell r="F23">
            <v>0</v>
          </cell>
        </row>
        <row r="24">
          <cell r="A24">
            <v>45203</v>
          </cell>
          <cell r="B24" t="str">
            <v>Andere</v>
          </cell>
          <cell r="C24">
            <v>0</v>
          </cell>
          <cell r="D24">
            <v>1000</v>
          </cell>
          <cell r="E24">
            <v>0</v>
          </cell>
          <cell r="F24">
            <v>0</v>
          </cell>
        </row>
        <row r="30">
          <cell r="A30">
            <v>45204</v>
          </cell>
          <cell r="B30" t="str">
            <v>LM</v>
          </cell>
          <cell r="C30">
            <v>0</v>
          </cell>
          <cell r="D30">
            <v>595.97</v>
          </cell>
          <cell r="E30">
            <v>0</v>
          </cell>
          <cell r="F30">
            <v>0</v>
          </cell>
        </row>
        <row r="31">
          <cell r="A31">
            <v>45204</v>
          </cell>
          <cell r="B31" t="str">
            <v>VM</v>
          </cell>
          <cell r="C31">
            <v>0</v>
          </cell>
          <cell r="D31">
            <v>112</v>
          </cell>
          <cell r="E31">
            <v>0</v>
          </cell>
          <cell r="F31">
            <v>0</v>
          </cell>
        </row>
        <row r="37">
          <cell r="A37">
            <v>45205</v>
          </cell>
          <cell r="B37" t="str">
            <v>LM</v>
          </cell>
          <cell r="C37">
            <v>0</v>
          </cell>
          <cell r="D37">
            <v>1016.98</v>
          </cell>
          <cell r="E37">
            <v>0</v>
          </cell>
          <cell r="F37">
            <v>0</v>
          </cell>
        </row>
        <row r="38">
          <cell r="A38">
            <v>45205</v>
          </cell>
          <cell r="B38" t="str">
            <v>VM</v>
          </cell>
          <cell r="C38">
            <v>0</v>
          </cell>
          <cell r="D38">
            <v>112</v>
          </cell>
          <cell r="E38">
            <v>0</v>
          </cell>
          <cell r="F38">
            <v>0</v>
          </cell>
        </row>
        <row r="44">
          <cell r="A44">
            <v>45206</v>
          </cell>
          <cell r="B44" t="str">
            <v>Kleidung</v>
          </cell>
          <cell r="C44">
            <v>0</v>
          </cell>
          <cell r="D44">
            <v>1580</v>
          </cell>
          <cell r="E44">
            <v>0</v>
          </cell>
          <cell r="F44">
            <v>0</v>
          </cell>
        </row>
        <row r="45">
          <cell r="A45">
            <v>45206</v>
          </cell>
          <cell r="B45" t="str">
            <v>LM</v>
          </cell>
          <cell r="C45">
            <v>0</v>
          </cell>
          <cell r="D45">
            <v>1727.65</v>
          </cell>
          <cell r="E45">
            <v>0</v>
          </cell>
          <cell r="F45">
            <v>0</v>
          </cell>
        </row>
        <row r="46">
          <cell r="A46">
            <v>45206</v>
          </cell>
          <cell r="B46" t="str">
            <v>VM</v>
          </cell>
          <cell r="C46">
            <v>0</v>
          </cell>
          <cell r="D46">
            <v>70</v>
          </cell>
          <cell r="E46">
            <v>0</v>
          </cell>
          <cell r="F46">
            <v>0</v>
          </cell>
        </row>
        <row r="51">
          <cell r="A51">
            <v>45207</v>
          </cell>
          <cell r="B51" t="str">
            <v>VM</v>
          </cell>
          <cell r="C51">
            <v>0</v>
          </cell>
          <cell r="D51">
            <v>112</v>
          </cell>
          <cell r="E51">
            <v>0</v>
          </cell>
          <cell r="F51">
            <v>0</v>
          </cell>
        </row>
        <row r="58">
          <cell r="A58">
            <v>45208</v>
          </cell>
          <cell r="B58" t="str">
            <v>VM</v>
          </cell>
          <cell r="C58">
            <v>0</v>
          </cell>
          <cell r="D58">
            <v>882</v>
          </cell>
          <cell r="E58">
            <v>0</v>
          </cell>
          <cell r="F58">
            <v>60</v>
          </cell>
        </row>
        <row r="59">
          <cell r="A59">
            <v>45208</v>
          </cell>
          <cell r="B59" t="str">
            <v>LM</v>
          </cell>
          <cell r="C59">
            <v>0</v>
          </cell>
          <cell r="D59">
            <v>496</v>
          </cell>
          <cell r="E59">
            <v>0</v>
          </cell>
          <cell r="F59">
            <v>0</v>
          </cell>
        </row>
        <row r="60">
          <cell r="A60">
            <v>45208</v>
          </cell>
          <cell r="B60" t="str">
            <v>Refill</v>
          </cell>
          <cell r="C60">
            <v>53194.85</v>
          </cell>
          <cell r="D60">
            <v>0</v>
          </cell>
          <cell r="E60">
            <v>0</v>
          </cell>
          <cell r="F60">
            <v>0</v>
          </cell>
        </row>
        <row r="65">
          <cell r="A65">
            <v>45209</v>
          </cell>
          <cell r="B65" t="str">
            <v>VM</v>
          </cell>
          <cell r="C65">
            <v>0</v>
          </cell>
          <cell r="D65">
            <v>56</v>
          </cell>
          <cell r="E65">
            <v>0</v>
          </cell>
          <cell r="F65">
            <v>0</v>
          </cell>
        </row>
        <row r="66">
          <cell r="A66">
            <v>45209</v>
          </cell>
          <cell r="B66" t="str">
            <v>Rauchen</v>
          </cell>
          <cell r="C66">
            <v>0</v>
          </cell>
          <cell r="D66">
            <v>145</v>
          </cell>
          <cell r="E66">
            <v>0</v>
          </cell>
          <cell r="F66">
            <v>0</v>
          </cell>
        </row>
        <row r="72">
          <cell r="A72">
            <v>45210</v>
          </cell>
          <cell r="B72" t="str">
            <v>LM</v>
          </cell>
          <cell r="C72">
            <v>0</v>
          </cell>
          <cell r="D72">
            <v>483</v>
          </cell>
          <cell r="E72">
            <v>0</v>
          </cell>
          <cell r="F72">
            <v>0</v>
          </cell>
        </row>
        <row r="79">
          <cell r="A79">
            <v>45211</v>
          </cell>
          <cell r="B79" t="str">
            <v>LM</v>
          </cell>
          <cell r="C79">
            <v>0</v>
          </cell>
          <cell r="D79">
            <v>1067.4099999999999</v>
          </cell>
          <cell r="E79">
            <v>0</v>
          </cell>
          <cell r="F79">
            <v>0</v>
          </cell>
        </row>
        <row r="86">
          <cell r="A86">
            <v>45212</v>
          </cell>
          <cell r="B86" t="str">
            <v>Rauchen</v>
          </cell>
          <cell r="C86">
            <v>0</v>
          </cell>
          <cell r="D86">
            <v>145</v>
          </cell>
          <cell r="E86">
            <v>0</v>
          </cell>
          <cell r="F86">
            <v>0</v>
          </cell>
        </row>
        <row r="93">
          <cell r="A93">
            <v>45213</v>
          </cell>
          <cell r="B93" t="str">
            <v>Party</v>
          </cell>
          <cell r="C93">
            <v>0</v>
          </cell>
          <cell r="D93">
            <v>600</v>
          </cell>
          <cell r="E93">
            <v>0</v>
          </cell>
          <cell r="F93">
            <v>0</v>
          </cell>
        </row>
        <row r="94">
          <cell r="A94">
            <v>45213</v>
          </cell>
          <cell r="B94" t="str">
            <v>LM</v>
          </cell>
          <cell r="C94">
            <v>0</v>
          </cell>
          <cell r="D94">
            <v>611.16000000000008</v>
          </cell>
          <cell r="E94">
            <v>0</v>
          </cell>
          <cell r="F94">
            <v>0</v>
          </cell>
        </row>
        <row r="100">
          <cell r="A100">
            <v>45214</v>
          </cell>
          <cell r="B100" t="str">
            <v>LM</v>
          </cell>
          <cell r="C100">
            <v>0</v>
          </cell>
          <cell r="D100">
            <v>864.88</v>
          </cell>
          <cell r="E100">
            <v>0</v>
          </cell>
          <cell r="F100">
            <v>0</v>
          </cell>
        </row>
        <row r="107">
          <cell r="A107">
            <v>45215</v>
          </cell>
          <cell r="B107" t="str">
            <v>LM</v>
          </cell>
          <cell r="C107">
            <v>0</v>
          </cell>
          <cell r="D107">
            <v>691</v>
          </cell>
          <cell r="E107">
            <v>0</v>
          </cell>
          <cell r="F107">
            <v>0</v>
          </cell>
        </row>
        <row r="108">
          <cell r="A108">
            <v>45215</v>
          </cell>
          <cell r="B108" t="str">
            <v>Rauchen</v>
          </cell>
          <cell r="C108">
            <v>0</v>
          </cell>
          <cell r="D108">
            <v>150</v>
          </cell>
          <cell r="E108">
            <v>0</v>
          </cell>
          <cell r="F108">
            <v>0</v>
          </cell>
        </row>
        <row r="114">
          <cell r="A114">
            <v>45216</v>
          </cell>
          <cell r="B114" t="str">
            <v>LM</v>
          </cell>
          <cell r="C114">
            <v>0</v>
          </cell>
          <cell r="D114">
            <v>467</v>
          </cell>
          <cell r="E114">
            <v>0</v>
          </cell>
          <cell r="F114">
            <v>0</v>
          </cell>
        </row>
        <row r="115">
          <cell r="A115">
            <v>45216</v>
          </cell>
          <cell r="B115" t="str">
            <v>rent</v>
          </cell>
          <cell r="C115">
            <v>0</v>
          </cell>
          <cell r="D115">
            <v>55000</v>
          </cell>
          <cell r="E115">
            <v>0</v>
          </cell>
          <cell r="F115">
            <v>50.6</v>
          </cell>
        </row>
        <row r="117">
          <cell r="A117">
            <v>45216</v>
          </cell>
          <cell r="B117" t="str">
            <v>LM</v>
          </cell>
          <cell r="C117">
            <v>0</v>
          </cell>
          <cell r="D117">
            <v>75</v>
          </cell>
          <cell r="E117">
            <v>0</v>
          </cell>
          <cell r="F117">
            <v>0</v>
          </cell>
        </row>
        <row r="121">
          <cell r="A121">
            <v>45217</v>
          </cell>
          <cell r="B121" t="str">
            <v>LM</v>
          </cell>
          <cell r="C121">
            <v>0</v>
          </cell>
          <cell r="D121">
            <v>572</v>
          </cell>
          <cell r="E121">
            <v>0</v>
          </cell>
          <cell r="F121">
            <v>0</v>
          </cell>
        </row>
        <row r="122">
          <cell r="A122">
            <v>45217</v>
          </cell>
          <cell r="B122" t="str">
            <v>Rauchen</v>
          </cell>
          <cell r="C122">
            <v>0</v>
          </cell>
          <cell r="D122">
            <v>150</v>
          </cell>
          <cell r="E122">
            <v>0</v>
          </cell>
          <cell r="F122">
            <v>0</v>
          </cell>
        </row>
        <row r="135">
          <cell r="A135">
            <v>45219</v>
          </cell>
          <cell r="B135" t="str">
            <v>Party</v>
          </cell>
          <cell r="C135">
            <v>0</v>
          </cell>
          <cell r="D135">
            <v>3770</v>
          </cell>
          <cell r="E135">
            <v>0</v>
          </cell>
          <cell r="F135">
            <v>0</v>
          </cell>
        </row>
        <row r="136">
          <cell r="A136">
            <v>45219</v>
          </cell>
          <cell r="B136" t="str">
            <v>VM</v>
          </cell>
          <cell r="C136">
            <v>0</v>
          </cell>
          <cell r="D136">
            <v>1000</v>
          </cell>
          <cell r="E136">
            <v>0</v>
          </cell>
          <cell r="F136">
            <v>0</v>
          </cell>
        </row>
        <row r="137">
          <cell r="A137">
            <v>45219</v>
          </cell>
          <cell r="B137" t="str">
            <v>LM</v>
          </cell>
          <cell r="C137">
            <v>0</v>
          </cell>
          <cell r="D137">
            <v>3097.0299999999997</v>
          </cell>
          <cell r="E137">
            <v>0</v>
          </cell>
          <cell r="F137">
            <v>0</v>
          </cell>
        </row>
        <row r="138">
          <cell r="A138">
            <v>45219</v>
          </cell>
          <cell r="B138" t="str">
            <v>VM</v>
          </cell>
          <cell r="C138">
            <v>0</v>
          </cell>
          <cell r="D138">
            <v>61</v>
          </cell>
          <cell r="E138">
            <v>0</v>
          </cell>
          <cell r="F138">
            <v>0</v>
          </cell>
        </row>
        <row r="142">
          <cell r="A142">
            <v>45220</v>
          </cell>
          <cell r="B142" t="str">
            <v>Rauchen</v>
          </cell>
          <cell r="C142">
            <v>0</v>
          </cell>
          <cell r="D142">
            <v>150</v>
          </cell>
          <cell r="E142">
            <v>0</v>
          </cell>
          <cell r="F142">
            <v>0</v>
          </cell>
        </row>
        <row r="156">
          <cell r="A156">
            <v>45222</v>
          </cell>
          <cell r="B156" t="str">
            <v>LM</v>
          </cell>
          <cell r="C156">
            <v>0</v>
          </cell>
          <cell r="D156">
            <v>519</v>
          </cell>
          <cell r="E156">
            <v>0</v>
          </cell>
          <cell r="F156">
            <v>0</v>
          </cell>
        </row>
        <row r="157">
          <cell r="A157">
            <v>45222</v>
          </cell>
          <cell r="B157" t="str">
            <v>Andere</v>
          </cell>
          <cell r="C157">
            <v>0</v>
          </cell>
          <cell r="D157">
            <v>396</v>
          </cell>
          <cell r="E157">
            <v>0</v>
          </cell>
          <cell r="F157">
            <v>0</v>
          </cell>
        </row>
        <row r="163">
          <cell r="A163">
            <v>45223</v>
          </cell>
          <cell r="B163" t="str">
            <v>Refill</v>
          </cell>
          <cell r="C163">
            <v>40811.089999999997</v>
          </cell>
          <cell r="D163">
            <v>0</v>
          </cell>
          <cell r="E163">
            <v>0</v>
          </cell>
          <cell r="F163">
            <v>0</v>
          </cell>
        </row>
        <row r="164">
          <cell r="A164">
            <v>45223</v>
          </cell>
          <cell r="B164" t="str">
            <v>LM</v>
          </cell>
          <cell r="C164">
            <v>0</v>
          </cell>
          <cell r="D164">
            <v>461</v>
          </cell>
          <cell r="E164">
            <v>0</v>
          </cell>
          <cell r="F164">
            <v>0</v>
          </cell>
        </row>
        <row r="170">
          <cell r="A170">
            <v>45224</v>
          </cell>
          <cell r="B170" t="str">
            <v>VM</v>
          </cell>
          <cell r="C170">
            <v>0</v>
          </cell>
          <cell r="D170">
            <v>122</v>
          </cell>
          <cell r="E170">
            <v>0</v>
          </cell>
          <cell r="F170">
            <v>0</v>
          </cell>
        </row>
        <row r="171">
          <cell r="A171">
            <v>45224</v>
          </cell>
          <cell r="B171" t="str">
            <v>LM</v>
          </cell>
          <cell r="C171">
            <v>0</v>
          </cell>
          <cell r="D171">
            <v>119.98</v>
          </cell>
          <cell r="E171">
            <v>0</v>
          </cell>
          <cell r="F171">
            <v>0</v>
          </cell>
        </row>
        <row r="172">
          <cell r="A172">
            <v>45224</v>
          </cell>
          <cell r="B172" t="str">
            <v>Rauchen</v>
          </cell>
          <cell r="C172">
            <v>0</v>
          </cell>
          <cell r="D172">
            <v>150</v>
          </cell>
          <cell r="E172">
            <v>0</v>
          </cell>
          <cell r="F172">
            <v>0</v>
          </cell>
        </row>
        <row r="177">
          <cell r="A177">
            <v>45225</v>
          </cell>
          <cell r="B177" t="str">
            <v>VM</v>
          </cell>
          <cell r="C177">
            <v>0</v>
          </cell>
          <cell r="D177">
            <v>8468</v>
          </cell>
          <cell r="E177">
            <v>0</v>
          </cell>
          <cell r="F177">
            <v>0</v>
          </cell>
        </row>
        <row r="178">
          <cell r="A178">
            <v>45225</v>
          </cell>
          <cell r="B178" t="str">
            <v>LM</v>
          </cell>
          <cell r="C178">
            <v>0</v>
          </cell>
          <cell r="D178">
            <v>899</v>
          </cell>
          <cell r="E178">
            <v>0</v>
          </cell>
          <cell r="F178">
            <v>0</v>
          </cell>
        </row>
        <row r="184">
          <cell r="A184">
            <v>45226</v>
          </cell>
          <cell r="B184" t="str">
            <v>Rauchen</v>
          </cell>
          <cell r="C184">
            <v>0</v>
          </cell>
          <cell r="D184">
            <v>150</v>
          </cell>
          <cell r="E184">
            <v>0</v>
          </cell>
          <cell r="F184">
            <v>0</v>
          </cell>
        </row>
        <row r="191">
          <cell r="A191">
            <v>45227</v>
          </cell>
          <cell r="B191" t="str">
            <v>Party</v>
          </cell>
          <cell r="C191">
            <v>0</v>
          </cell>
          <cell r="D191">
            <v>1535</v>
          </cell>
          <cell r="E191">
            <v>0</v>
          </cell>
          <cell r="F191">
            <v>0</v>
          </cell>
        </row>
        <row r="192">
          <cell r="A192">
            <v>45227</v>
          </cell>
          <cell r="B192" t="str">
            <v>LM</v>
          </cell>
          <cell r="C192">
            <v>0</v>
          </cell>
          <cell r="D192">
            <v>1439.3899999999999</v>
          </cell>
          <cell r="E192">
            <v>0</v>
          </cell>
          <cell r="F192">
            <v>0</v>
          </cell>
        </row>
        <row r="198">
          <cell r="A198">
            <v>45228</v>
          </cell>
          <cell r="B198" t="str">
            <v>LM</v>
          </cell>
          <cell r="C198">
            <v>0</v>
          </cell>
          <cell r="D198">
            <v>158.47999999999999</v>
          </cell>
          <cell r="E198">
            <v>0</v>
          </cell>
          <cell r="F198">
            <v>0</v>
          </cell>
        </row>
        <row r="199">
          <cell r="A199">
            <v>45228</v>
          </cell>
          <cell r="B199" t="str">
            <v>Andere</v>
          </cell>
          <cell r="C199">
            <v>0</v>
          </cell>
          <cell r="D199">
            <v>268</v>
          </cell>
          <cell r="E199">
            <v>0</v>
          </cell>
          <cell r="F199">
            <v>0</v>
          </cell>
        </row>
        <row r="212">
          <cell r="A212">
            <v>45230</v>
          </cell>
          <cell r="B212" t="str">
            <v>LM</v>
          </cell>
          <cell r="C212">
            <v>0</v>
          </cell>
          <cell r="D212">
            <v>400</v>
          </cell>
          <cell r="E212">
            <v>0</v>
          </cell>
          <cell r="F212">
            <v>0</v>
          </cell>
        </row>
        <row r="213">
          <cell r="A213">
            <v>45230</v>
          </cell>
          <cell r="B213" t="str">
            <v>Rauchen</v>
          </cell>
          <cell r="C213">
            <v>0</v>
          </cell>
          <cell r="D213">
            <v>170</v>
          </cell>
          <cell r="E213">
            <v>0</v>
          </cell>
          <cell r="F213">
            <v>0</v>
          </cell>
        </row>
        <row r="214">
          <cell r="A214">
            <v>45230</v>
          </cell>
          <cell r="B214" t="str">
            <v>Refill</v>
          </cell>
          <cell r="C214">
            <v>2799.77</v>
          </cell>
          <cell r="D214">
            <v>0</v>
          </cell>
          <cell r="E214">
            <v>0</v>
          </cell>
        </row>
        <row r="215">
          <cell r="A215">
            <v>45230</v>
          </cell>
          <cell r="B215" t="str">
            <v>Party</v>
          </cell>
          <cell r="C215">
            <v>0</v>
          </cell>
          <cell r="D215">
            <v>2700</v>
          </cell>
          <cell r="E215">
            <v>0</v>
          </cell>
          <cell r="F215">
            <v>0</v>
          </cell>
        </row>
      </sheetData>
      <sheetData sheetId="37">
        <row r="2">
          <cell r="A2">
            <v>45231</v>
          </cell>
          <cell r="B2" t="str">
            <v>LM</v>
          </cell>
          <cell r="C2">
            <v>0</v>
          </cell>
          <cell r="D2">
            <v>1768.16</v>
          </cell>
          <cell r="E2">
            <v>0</v>
          </cell>
          <cell r="F2">
            <v>0</v>
          </cell>
        </row>
        <row r="3">
          <cell r="A3">
            <v>45231</v>
          </cell>
          <cell r="B3" t="str">
            <v>VM</v>
          </cell>
          <cell r="C3">
            <v>0</v>
          </cell>
          <cell r="D3">
            <v>122</v>
          </cell>
          <cell r="E3">
            <v>0</v>
          </cell>
          <cell r="F3">
            <v>0</v>
          </cell>
        </row>
        <row r="4">
          <cell r="A4">
            <v>45231</v>
          </cell>
          <cell r="B4" t="str">
            <v>Andere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</row>
        <row r="5">
          <cell r="A5">
            <v>45231</v>
          </cell>
          <cell r="B5" t="str">
            <v>for me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A6">
            <v>45231</v>
          </cell>
          <cell r="B6" t="str">
            <v>Party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</row>
        <row r="7">
          <cell r="A7">
            <v>45231</v>
          </cell>
          <cell r="B7" t="str">
            <v>Kleidung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</row>
        <row r="9">
          <cell r="A9">
            <v>45232</v>
          </cell>
          <cell r="B9" t="str">
            <v>LM</v>
          </cell>
          <cell r="C9">
            <v>0</v>
          </cell>
          <cell r="D9">
            <v>434.84</v>
          </cell>
          <cell r="E9">
            <v>0</v>
          </cell>
          <cell r="F9">
            <v>0</v>
          </cell>
        </row>
        <row r="10">
          <cell r="A10">
            <v>45232</v>
          </cell>
          <cell r="B10" t="str">
            <v>Rauchen</v>
          </cell>
          <cell r="C10">
            <v>0</v>
          </cell>
          <cell r="D10">
            <v>0</v>
          </cell>
          <cell r="E10">
            <v>0</v>
          </cell>
          <cell r="F10">
            <v>150</v>
          </cell>
        </row>
        <row r="16">
          <cell r="A16">
            <v>45233</v>
          </cell>
          <cell r="B16" t="str">
            <v>LM</v>
          </cell>
          <cell r="C16">
            <v>0</v>
          </cell>
          <cell r="D16">
            <v>566</v>
          </cell>
          <cell r="E16">
            <v>0</v>
          </cell>
          <cell r="F16">
            <v>0</v>
          </cell>
        </row>
        <row r="23">
          <cell r="A23">
            <v>45234</v>
          </cell>
          <cell r="B23" t="str">
            <v>Andere</v>
          </cell>
          <cell r="C23">
            <v>0</v>
          </cell>
          <cell r="D23">
            <v>4</v>
          </cell>
          <cell r="E23">
            <v>0</v>
          </cell>
          <cell r="F23">
            <v>0</v>
          </cell>
        </row>
        <row r="24">
          <cell r="A24">
            <v>45234</v>
          </cell>
          <cell r="B24" t="str">
            <v>LM</v>
          </cell>
          <cell r="C24">
            <v>0</v>
          </cell>
          <cell r="D24">
            <v>641.17000000000007</v>
          </cell>
          <cell r="E24">
            <v>0</v>
          </cell>
          <cell r="F24">
            <v>0</v>
          </cell>
        </row>
        <row r="25">
          <cell r="A25">
            <v>45234</v>
          </cell>
          <cell r="B25" t="str">
            <v>Rauchen</v>
          </cell>
          <cell r="C25">
            <v>0</v>
          </cell>
          <cell r="D25">
            <v>0</v>
          </cell>
          <cell r="E25">
            <v>0</v>
          </cell>
          <cell r="F25">
            <v>150</v>
          </cell>
        </row>
        <row r="30">
          <cell r="A30">
            <v>45235</v>
          </cell>
          <cell r="B30" t="str">
            <v>LM</v>
          </cell>
          <cell r="C30">
            <v>0</v>
          </cell>
          <cell r="D30">
            <v>357.89999999999964</v>
          </cell>
          <cell r="E30">
            <v>0</v>
          </cell>
          <cell r="F30">
            <v>0</v>
          </cell>
        </row>
        <row r="31">
          <cell r="A31">
            <v>45235</v>
          </cell>
          <cell r="B31" t="str">
            <v>LM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</row>
        <row r="37">
          <cell r="A37">
            <v>45236</v>
          </cell>
          <cell r="B37" t="str">
            <v>VM</v>
          </cell>
          <cell r="C37">
            <v>0</v>
          </cell>
          <cell r="D37">
            <v>183</v>
          </cell>
          <cell r="E37">
            <v>0</v>
          </cell>
          <cell r="F37">
            <v>0</v>
          </cell>
        </row>
        <row r="38">
          <cell r="A38">
            <v>45236</v>
          </cell>
          <cell r="B38" t="str">
            <v>Andere</v>
          </cell>
          <cell r="C38">
            <v>0</v>
          </cell>
          <cell r="D38">
            <v>2000</v>
          </cell>
          <cell r="E38">
            <v>0</v>
          </cell>
          <cell r="F38">
            <v>0</v>
          </cell>
        </row>
        <row r="39">
          <cell r="A39">
            <v>45236</v>
          </cell>
          <cell r="B39" t="str">
            <v>VM</v>
          </cell>
          <cell r="C39">
            <v>0</v>
          </cell>
          <cell r="D39">
            <v>61</v>
          </cell>
          <cell r="E39">
            <v>0</v>
          </cell>
          <cell r="F39">
            <v>0</v>
          </cell>
        </row>
        <row r="44">
          <cell r="A44">
            <v>45237</v>
          </cell>
          <cell r="B44" t="str">
            <v>LM</v>
          </cell>
          <cell r="C44">
            <v>0</v>
          </cell>
          <cell r="D44">
            <v>1351</v>
          </cell>
          <cell r="E44">
            <v>0</v>
          </cell>
          <cell r="F44">
            <v>0</v>
          </cell>
        </row>
        <row r="45">
          <cell r="A45">
            <v>45237</v>
          </cell>
          <cell r="B45" t="str">
            <v>VM</v>
          </cell>
          <cell r="C45">
            <v>0</v>
          </cell>
          <cell r="D45">
            <v>61</v>
          </cell>
          <cell r="E45">
            <v>0</v>
          </cell>
          <cell r="F45">
            <v>0</v>
          </cell>
        </row>
        <row r="51">
          <cell r="A51">
            <v>45238</v>
          </cell>
          <cell r="B51" t="str">
            <v>LM</v>
          </cell>
          <cell r="C51">
            <v>0</v>
          </cell>
          <cell r="D51">
            <v>279.97000000000003</v>
          </cell>
          <cell r="E51">
            <v>0</v>
          </cell>
          <cell r="F51">
            <v>0</v>
          </cell>
        </row>
        <row r="52">
          <cell r="A52">
            <v>45238</v>
          </cell>
          <cell r="B52" t="str">
            <v>Rauchen</v>
          </cell>
          <cell r="C52">
            <v>0</v>
          </cell>
          <cell r="D52">
            <v>0</v>
          </cell>
          <cell r="E52">
            <v>0</v>
          </cell>
          <cell r="F52">
            <v>150</v>
          </cell>
        </row>
        <row r="58">
          <cell r="A58">
            <v>45239</v>
          </cell>
          <cell r="B58" t="str">
            <v>Refill</v>
          </cell>
          <cell r="C58">
            <v>59412.91</v>
          </cell>
          <cell r="D58">
            <v>0</v>
          </cell>
          <cell r="E58">
            <v>0</v>
          </cell>
          <cell r="F58">
            <v>0</v>
          </cell>
        </row>
        <row r="65">
          <cell r="A65">
            <v>45240</v>
          </cell>
          <cell r="B65" t="str">
            <v>Andere</v>
          </cell>
          <cell r="C65">
            <v>0</v>
          </cell>
          <cell r="D65">
            <v>2210</v>
          </cell>
          <cell r="E65">
            <v>0</v>
          </cell>
          <cell r="F65">
            <v>0</v>
          </cell>
        </row>
        <row r="66">
          <cell r="A66">
            <v>45240</v>
          </cell>
          <cell r="B66" t="str">
            <v>LM</v>
          </cell>
          <cell r="C66">
            <v>0</v>
          </cell>
          <cell r="D66">
            <v>920</v>
          </cell>
          <cell r="E66">
            <v>0</v>
          </cell>
          <cell r="F66">
            <v>0</v>
          </cell>
        </row>
        <row r="67">
          <cell r="A67">
            <v>45240</v>
          </cell>
          <cell r="B67" t="str">
            <v>none</v>
          </cell>
          <cell r="C67">
            <v>0</v>
          </cell>
          <cell r="D67">
            <v>4000</v>
          </cell>
          <cell r="E67">
            <v>4000</v>
          </cell>
          <cell r="F67">
            <v>0</v>
          </cell>
        </row>
        <row r="72">
          <cell r="A72">
            <v>45241</v>
          </cell>
          <cell r="B72" t="str">
            <v>LM</v>
          </cell>
          <cell r="C72">
            <v>0</v>
          </cell>
          <cell r="D72">
            <v>1732.49</v>
          </cell>
          <cell r="E72">
            <v>0</v>
          </cell>
          <cell r="F72">
            <v>0</v>
          </cell>
        </row>
        <row r="73">
          <cell r="A73">
            <v>45241</v>
          </cell>
          <cell r="B73" t="str">
            <v>Andere</v>
          </cell>
          <cell r="C73">
            <v>0</v>
          </cell>
          <cell r="D73">
            <v>5000</v>
          </cell>
          <cell r="E73">
            <v>0</v>
          </cell>
          <cell r="F73">
            <v>0</v>
          </cell>
        </row>
        <row r="79">
          <cell r="A79">
            <v>45242</v>
          </cell>
          <cell r="B79" t="str">
            <v>none</v>
          </cell>
          <cell r="C79">
            <v>1</v>
          </cell>
          <cell r="D79">
            <v>0</v>
          </cell>
          <cell r="E79">
            <v>0</v>
          </cell>
          <cell r="F79">
            <v>0</v>
          </cell>
        </row>
        <row r="80">
          <cell r="A80">
            <v>45242</v>
          </cell>
          <cell r="B80" t="str">
            <v>LM</v>
          </cell>
          <cell r="C80">
            <v>0</v>
          </cell>
          <cell r="D80">
            <v>1285.47</v>
          </cell>
          <cell r="E80">
            <v>0</v>
          </cell>
          <cell r="F80">
            <v>0</v>
          </cell>
        </row>
        <row r="81">
          <cell r="A81">
            <v>45242</v>
          </cell>
          <cell r="B81" t="str">
            <v>VM</v>
          </cell>
          <cell r="C81">
            <v>0</v>
          </cell>
          <cell r="D81">
            <v>122</v>
          </cell>
          <cell r="E81">
            <v>0</v>
          </cell>
          <cell r="F81">
            <v>0</v>
          </cell>
        </row>
        <row r="86">
          <cell r="A86">
            <v>45243</v>
          </cell>
          <cell r="B86" t="str">
            <v>Rauchen</v>
          </cell>
          <cell r="C86">
            <v>0</v>
          </cell>
          <cell r="D86">
            <v>170</v>
          </cell>
          <cell r="E86">
            <v>0</v>
          </cell>
          <cell r="F86">
            <v>0</v>
          </cell>
        </row>
        <row r="87">
          <cell r="A87">
            <v>45243</v>
          </cell>
          <cell r="B87" t="str">
            <v>LM</v>
          </cell>
          <cell r="C87">
            <v>0</v>
          </cell>
          <cell r="D87">
            <v>430</v>
          </cell>
          <cell r="E87">
            <v>0</v>
          </cell>
          <cell r="F87">
            <v>0</v>
          </cell>
        </row>
        <row r="88">
          <cell r="A88">
            <v>45243</v>
          </cell>
          <cell r="B88" t="str">
            <v>VM</v>
          </cell>
          <cell r="C88">
            <v>0</v>
          </cell>
          <cell r="D88">
            <v>122</v>
          </cell>
          <cell r="E88">
            <v>0</v>
          </cell>
          <cell r="F88">
            <v>0</v>
          </cell>
        </row>
        <row r="89">
          <cell r="A89">
            <v>45243</v>
          </cell>
          <cell r="B89" t="str">
            <v>Andere</v>
          </cell>
          <cell r="C89">
            <v>0</v>
          </cell>
          <cell r="D89">
            <v>200</v>
          </cell>
          <cell r="E89">
            <v>0</v>
          </cell>
          <cell r="F89">
            <v>0</v>
          </cell>
        </row>
        <row r="93">
          <cell r="A93">
            <v>45244</v>
          </cell>
          <cell r="B93" t="str">
            <v>VM</v>
          </cell>
          <cell r="C93">
            <v>0</v>
          </cell>
          <cell r="D93">
            <v>500</v>
          </cell>
          <cell r="E93">
            <v>0</v>
          </cell>
          <cell r="F93">
            <v>0</v>
          </cell>
        </row>
        <row r="94">
          <cell r="A94">
            <v>45244</v>
          </cell>
          <cell r="B94" t="str">
            <v>LM</v>
          </cell>
          <cell r="C94">
            <v>0</v>
          </cell>
          <cell r="D94">
            <v>480</v>
          </cell>
          <cell r="E94">
            <v>0</v>
          </cell>
          <cell r="F94">
            <v>0</v>
          </cell>
        </row>
        <row r="95">
          <cell r="A95">
            <v>45244</v>
          </cell>
          <cell r="B95" t="str">
            <v>VM</v>
          </cell>
          <cell r="C95">
            <v>0</v>
          </cell>
          <cell r="D95">
            <v>122</v>
          </cell>
          <cell r="E95">
            <v>0</v>
          </cell>
          <cell r="F95">
            <v>0</v>
          </cell>
        </row>
        <row r="96">
          <cell r="A96">
            <v>45244</v>
          </cell>
          <cell r="B96" t="str">
            <v>Andere</v>
          </cell>
          <cell r="C96">
            <v>0</v>
          </cell>
          <cell r="D96">
            <v>1000</v>
          </cell>
          <cell r="E96">
            <v>0</v>
          </cell>
          <cell r="F96">
            <v>0</v>
          </cell>
        </row>
        <row r="100">
          <cell r="A100">
            <v>45245</v>
          </cell>
          <cell r="B100" t="str">
            <v>VM</v>
          </cell>
          <cell r="C100">
            <v>0</v>
          </cell>
          <cell r="D100">
            <v>228</v>
          </cell>
          <cell r="E100">
            <v>0</v>
          </cell>
          <cell r="F100">
            <v>0</v>
          </cell>
        </row>
        <row r="101">
          <cell r="A101">
            <v>45245</v>
          </cell>
          <cell r="B101" t="str">
            <v>for me</v>
          </cell>
          <cell r="C101">
            <v>0</v>
          </cell>
          <cell r="D101">
            <v>0</v>
          </cell>
          <cell r="E101">
            <v>0</v>
          </cell>
          <cell r="F101">
            <v>1330</v>
          </cell>
        </row>
        <row r="107">
          <cell r="A107">
            <v>45246</v>
          </cell>
          <cell r="B107" t="str">
            <v>LM</v>
          </cell>
          <cell r="C107">
            <v>0</v>
          </cell>
          <cell r="D107">
            <v>19.989999999999998</v>
          </cell>
          <cell r="E107">
            <v>0</v>
          </cell>
          <cell r="F107">
            <v>0</v>
          </cell>
        </row>
        <row r="114">
          <cell r="A114">
            <v>45247</v>
          </cell>
          <cell r="B114" t="str">
            <v>Andere</v>
          </cell>
          <cell r="C114">
            <v>0</v>
          </cell>
          <cell r="D114">
            <v>230</v>
          </cell>
          <cell r="E114">
            <v>0</v>
          </cell>
          <cell r="F114">
            <v>0</v>
          </cell>
        </row>
        <row r="115">
          <cell r="A115">
            <v>45247</v>
          </cell>
          <cell r="B115" t="str">
            <v>rent</v>
          </cell>
          <cell r="C115">
            <v>0</v>
          </cell>
          <cell r="D115">
            <v>55000</v>
          </cell>
          <cell r="E115">
            <v>0</v>
          </cell>
          <cell r="F115">
            <v>67.8</v>
          </cell>
        </row>
        <row r="116">
          <cell r="A116">
            <v>45247</v>
          </cell>
          <cell r="B116" t="str">
            <v>Rauchen</v>
          </cell>
          <cell r="C116">
            <v>0</v>
          </cell>
          <cell r="D116">
            <v>990</v>
          </cell>
          <cell r="E116">
            <v>0</v>
          </cell>
          <cell r="F116">
            <v>0</v>
          </cell>
        </row>
        <row r="117">
          <cell r="A117">
            <v>45247</v>
          </cell>
          <cell r="B117" t="str">
            <v>LM</v>
          </cell>
          <cell r="C117">
            <v>0</v>
          </cell>
          <cell r="D117">
            <v>1886.8600000000001</v>
          </cell>
          <cell r="E117">
            <v>0</v>
          </cell>
          <cell r="F117">
            <v>0</v>
          </cell>
        </row>
        <row r="121">
          <cell r="A121">
            <v>45248</v>
          </cell>
          <cell r="B121" t="str">
            <v>LM</v>
          </cell>
          <cell r="C121">
            <v>0</v>
          </cell>
          <cell r="D121">
            <v>1230</v>
          </cell>
          <cell r="E121">
            <v>0</v>
          </cell>
          <cell r="F121">
            <v>0</v>
          </cell>
        </row>
        <row r="122">
          <cell r="A122">
            <v>45248</v>
          </cell>
          <cell r="B122" t="str">
            <v>Andere</v>
          </cell>
          <cell r="C122">
            <v>0</v>
          </cell>
          <cell r="D122">
            <v>4939</v>
          </cell>
          <cell r="E122">
            <v>0</v>
          </cell>
          <cell r="F122">
            <v>0</v>
          </cell>
        </row>
        <row r="135">
          <cell r="A135">
            <v>45250</v>
          </cell>
          <cell r="B135" t="str">
            <v>LM</v>
          </cell>
          <cell r="C135">
            <v>0</v>
          </cell>
          <cell r="D135">
            <v>39.979999999999997</v>
          </cell>
          <cell r="E135">
            <v>0</v>
          </cell>
          <cell r="F135">
            <v>0</v>
          </cell>
        </row>
        <row r="149">
          <cell r="A149">
            <v>45252</v>
          </cell>
          <cell r="B149" t="str">
            <v>VM</v>
          </cell>
          <cell r="C149">
            <v>0</v>
          </cell>
          <cell r="D149">
            <v>313</v>
          </cell>
          <cell r="E149">
            <v>0</v>
          </cell>
          <cell r="F149">
            <v>0</v>
          </cell>
        </row>
        <row r="163">
          <cell r="A163">
            <v>45254</v>
          </cell>
          <cell r="B163" t="str">
            <v>Refill</v>
          </cell>
          <cell r="C163">
            <v>42753.86</v>
          </cell>
          <cell r="D163">
            <v>0</v>
          </cell>
          <cell r="E163">
            <v>0</v>
          </cell>
          <cell r="F163">
            <v>0</v>
          </cell>
        </row>
        <row r="164">
          <cell r="A164">
            <v>45254</v>
          </cell>
          <cell r="B164" t="str">
            <v>LM</v>
          </cell>
          <cell r="C164">
            <v>0</v>
          </cell>
          <cell r="D164">
            <v>460.99</v>
          </cell>
          <cell r="E164">
            <v>0</v>
          </cell>
          <cell r="F164">
            <v>0</v>
          </cell>
        </row>
        <row r="165">
          <cell r="A165">
            <v>45254</v>
          </cell>
          <cell r="B165" t="str">
            <v>Party</v>
          </cell>
          <cell r="C165">
            <v>0</v>
          </cell>
          <cell r="D165">
            <v>590</v>
          </cell>
          <cell r="E165">
            <v>0</v>
          </cell>
          <cell r="F165">
            <v>0</v>
          </cell>
        </row>
        <row r="166">
          <cell r="A166">
            <v>45254</v>
          </cell>
          <cell r="B166" t="str">
            <v>Andere</v>
          </cell>
          <cell r="C166">
            <v>0</v>
          </cell>
          <cell r="D166">
            <v>1000</v>
          </cell>
          <cell r="E166">
            <v>0</v>
          </cell>
          <cell r="F166">
            <v>0</v>
          </cell>
        </row>
        <row r="167">
          <cell r="A167">
            <v>45254</v>
          </cell>
          <cell r="B167" t="str">
            <v>none</v>
          </cell>
          <cell r="C167">
            <v>0</v>
          </cell>
          <cell r="D167">
            <v>300</v>
          </cell>
          <cell r="E167">
            <v>300</v>
          </cell>
          <cell r="F167">
            <v>0</v>
          </cell>
        </row>
        <row r="177">
          <cell r="A177">
            <v>45256</v>
          </cell>
          <cell r="B177" t="str">
            <v>Andere</v>
          </cell>
          <cell r="C177">
            <v>0</v>
          </cell>
          <cell r="D177">
            <v>2400</v>
          </cell>
          <cell r="E177">
            <v>0</v>
          </cell>
          <cell r="F177">
            <v>0</v>
          </cell>
        </row>
        <row r="191">
          <cell r="A191">
            <v>45258</v>
          </cell>
          <cell r="B191" t="str">
            <v>Rauchen</v>
          </cell>
          <cell r="C191">
            <v>0</v>
          </cell>
          <cell r="D191">
            <v>1190</v>
          </cell>
          <cell r="E191">
            <v>0</v>
          </cell>
          <cell r="F191">
            <v>0</v>
          </cell>
        </row>
        <row r="198">
          <cell r="A198">
            <v>45259</v>
          </cell>
          <cell r="B198" t="str">
            <v>for me</v>
          </cell>
          <cell r="C198">
            <v>0</v>
          </cell>
          <cell r="D198">
            <v>10000</v>
          </cell>
          <cell r="E198">
            <v>0</v>
          </cell>
          <cell r="F198">
            <v>0</v>
          </cell>
        </row>
        <row r="199">
          <cell r="A199">
            <v>45259</v>
          </cell>
          <cell r="B199" t="str">
            <v>VM</v>
          </cell>
          <cell r="C199">
            <v>0</v>
          </cell>
          <cell r="D199">
            <v>135</v>
          </cell>
          <cell r="E199">
            <v>0</v>
          </cell>
          <cell r="F199">
            <v>0</v>
          </cell>
        </row>
        <row r="200">
          <cell r="A200">
            <v>45259</v>
          </cell>
          <cell r="B200" t="str">
            <v>LM</v>
          </cell>
          <cell r="C200">
            <v>0</v>
          </cell>
          <cell r="D200">
            <v>413</v>
          </cell>
          <cell r="E200">
            <v>0</v>
          </cell>
          <cell r="F200">
            <v>0</v>
          </cell>
        </row>
      </sheetData>
      <sheetData sheetId="38">
        <row r="2">
          <cell r="A2">
            <v>45261</v>
          </cell>
          <cell r="B2" t="str">
            <v>LM</v>
          </cell>
          <cell r="C2">
            <v>0</v>
          </cell>
          <cell r="D2">
            <v>24.15</v>
          </cell>
          <cell r="E2">
            <v>0</v>
          </cell>
          <cell r="F2">
            <v>0</v>
          </cell>
        </row>
        <row r="3">
          <cell r="A3">
            <v>45261</v>
          </cell>
          <cell r="B3" t="str">
            <v>VM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A4">
            <v>45261</v>
          </cell>
          <cell r="B4" t="str">
            <v>Andere</v>
          </cell>
          <cell r="C4">
            <v>0</v>
          </cell>
          <cell r="D4">
            <v>500</v>
          </cell>
          <cell r="E4">
            <v>0</v>
          </cell>
          <cell r="F4">
            <v>0</v>
          </cell>
        </row>
        <row r="5">
          <cell r="A5">
            <v>45261</v>
          </cell>
          <cell r="B5" t="str">
            <v>for me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A6">
            <v>45261</v>
          </cell>
          <cell r="B6" t="str">
            <v>Party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</row>
        <row r="7">
          <cell r="A7">
            <v>45261</v>
          </cell>
          <cell r="B7" t="str">
            <v>Kleidung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</row>
        <row r="9">
          <cell r="A9">
            <v>45262</v>
          </cell>
          <cell r="B9" t="str">
            <v>Andere</v>
          </cell>
          <cell r="C9">
            <v>0</v>
          </cell>
          <cell r="D9">
            <v>7100</v>
          </cell>
          <cell r="E9">
            <v>0</v>
          </cell>
          <cell r="F9">
            <v>0</v>
          </cell>
        </row>
        <row r="10">
          <cell r="A10">
            <v>45262</v>
          </cell>
          <cell r="B10" t="str">
            <v>LM</v>
          </cell>
          <cell r="C10">
            <v>0</v>
          </cell>
          <cell r="D10">
            <v>807</v>
          </cell>
          <cell r="E10">
            <v>0</v>
          </cell>
          <cell r="F10">
            <v>0</v>
          </cell>
        </row>
        <row r="16">
          <cell r="A16">
            <v>45263</v>
          </cell>
          <cell r="B16" t="str">
            <v>Andere</v>
          </cell>
          <cell r="C16">
            <v>0</v>
          </cell>
          <cell r="D16">
            <v>1000</v>
          </cell>
          <cell r="E16">
            <v>0</v>
          </cell>
          <cell r="F16">
            <v>0</v>
          </cell>
        </row>
        <row r="17">
          <cell r="A17">
            <v>45263</v>
          </cell>
          <cell r="B17" t="str">
            <v>LM</v>
          </cell>
          <cell r="C17">
            <v>0</v>
          </cell>
          <cell r="D17">
            <v>47.68</v>
          </cell>
          <cell r="E17">
            <v>0</v>
          </cell>
          <cell r="F17">
            <v>0</v>
          </cell>
        </row>
        <row r="18">
          <cell r="A18">
            <v>45263</v>
          </cell>
          <cell r="B18" t="str">
            <v>VM</v>
          </cell>
          <cell r="C18">
            <v>0</v>
          </cell>
          <cell r="D18">
            <v>2768</v>
          </cell>
          <cell r="E18">
            <v>0</v>
          </cell>
          <cell r="F18">
            <v>0</v>
          </cell>
        </row>
        <row r="19">
          <cell r="A19">
            <v>45263</v>
          </cell>
          <cell r="B19" t="str">
            <v>Andere</v>
          </cell>
          <cell r="C19">
            <v>0</v>
          </cell>
          <cell r="D19">
            <v>90</v>
          </cell>
          <cell r="E19">
            <v>0</v>
          </cell>
          <cell r="F19">
            <v>0</v>
          </cell>
        </row>
        <row r="23">
          <cell r="A23">
            <v>45264</v>
          </cell>
          <cell r="B23" t="str">
            <v>Andere</v>
          </cell>
          <cell r="C23">
            <v>0</v>
          </cell>
          <cell r="D23">
            <v>1000</v>
          </cell>
          <cell r="E23">
            <v>0</v>
          </cell>
          <cell r="F23">
            <v>0</v>
          </cell>
        </row>
        <row r="30">
          <cell r="A30">
            <v>45265</v>
          </cell>
          <cell r="B30" t="str">
            <v>VM</v>
          </cell>
          <cell r="C30">
            <v>0</v>
          </cell>
          <cell r="D30">
            <v>550</v>
          </cell>
          <cell r="E30">
            <v>0</v>
          </cell>
          <cell r="F30">
            <v>0</v>
          </cell>
        </row>
        <row r="37">
          <cell r="A37">
            <v>45266</v>
          </cell>
          <cell r="B37" t="str">
            <v>Andere</v>
          </cell>
          <cell r="C37">
            <v>3</v>
          </cell>
          <cell r="D37">
            <v>0</v>
          </cell>
          <cell r="E37">
            <v>0</v>
          </cell>
          <cell r="F37">
            <v>0</v>
          </cell>
        </row>
        <row r="38">
          <cell r="A38">
            <v>45266</v>
          </cell>
          <cell r="B38" t="str">
            <v>LM</v>
          </cell>
          <cell r="C38">
            <v>0</v>
          </cell>
          <cell r="D38">
            <v>1811.19</v>
          </cell>
          <cell r="E38">
            <v>0</v>
          </cell>
          <cell r="F38">
            <v>0</v>
          </cell>
        </row>
        <row r="39">
          <cell r="A39">
            <v>45266</v>
          </cell>
          <cell r="B39" t="str">
            <v>VM</v>
          </cell>
          <cell r="C39">
            <v>0</v>
          </cell>
          <cell r="D39">
            <v>61</v>
          </cell>
          <cell r="E39">
            <v>0</v>
          </cell>
          <cell r="F39">
            <v>0</v>
          </cell>
        </row>
        <row r="44">
          <cell r="A44">
            <v>45267</v>
          </cell>
          <cell r="B44" t="str">
            <v>LM</v>
          </cell>
          <cell r="C44">
            <v>0</v>
          </cell>
          <cell r="D44">
            <v>285.97000000000003</v>
          </cell>
          <cell r="E44">
            <v>0</v>
          </cell>
          <cell r="F44">
            <v>0</v>
          </cell>
        </row>
        <row r="45">
          <cell r="A45">
            <v>45267</v>
          </cell>
          <cell r="B45" t="str">
            <v>Refill</v>
          </cell>
          <cell r="C45">
            <v>74673.86</v>
          </cell>
          <cell r="D45">
            <v>0</v>
          </cell>
          <cell r="E45">
            <v>0</v>
          </cell>
          <cell r="F45">
            <v>0</v>
          </cell>
        </row>
        <row r="51">
          <cell r="A51">
            <v>45268</v>
          </cell>
          <cell r="B51" t="str">
            <v>Rauchen</v>
          </cell>
          <cell r="C51">
            <v>0</v>
          </cell>
          <cell r="D51">
            <v>170</v>
          </cell>
          <cell r="E51">
            <v>0</v>
          </cell>
          <cell r="F51">
            <v>0</v>
          </cell>
        </row>
        <row r="52">
          <cell r="A52">
            <v>45268</v>
          </cell>
          <cell r="B52" t="str">
            <v>LM</v>
          </cell>
          <cell r="C52">
            <v>0</v>
          </cell>
          <cell r="D52">
            <v>89</v>
          </cell>
          <cell r="E52">
            <v>0</v>
          </cell>
          <cell r="F52">
            <v>0</v>
          </cell>
        </row>
        <row r="53">
          <cell r="A53">
            <v>45268</v>
          </cell>
          <cell r="B53" t="str">
            <v>VM</v>
          </cell>
          <cell r="C53">
            <v>0</v>
          </cell>
          <cell r="D53">
            <v>122</v>
          </cell>
          <cell r="E53">
            <v>0</v>
          </cell>
          <cell r="F53">
            <v>0</v>
          </cell>
        </row>
        <row r="54">
          <cell r="A54">
            <v>45268</v>
          </cell>
          <cell r="B54" t="str">
            <v>Party</v>
          </cell>
          <cell r="C54">
            <v>0</v>
          </cell>
          <cell r="D54">
            <v>3690</v>
          </cell>
          <cell r="E54">
            <v>0</v>
          </cell>
          <cell r="F54">
            <v>0</v>
          </cell>
        </row>
        <row r="55">
          <cell r="A55">
            <v>45268</v>
          </cell>
          <cell r="B55" t="str">
            <v>VM</v>
          </cell>
          <cell r="C55">
            <v>0</v>
          </cell>
          <cell r="D55">
            <v>967</v>
          </cell>
          <cell r="E55">
            <v>0</v>
          </cell>
          <cell r="F55">
            <v>0</v>
          </cell>
        </row>
        <row r="56">
          <cell r="A56">
            <v>45268</v>
          </cell>
          <cell r="B56" t="str">
            <v>Andere</v>
          </cell>
          <cell r="C56">
            <v>0</v>
          </cell>
          <cell r="D56">
            <v>467.63</v>
          </cell>
          <cell r="E56">
            <v>0</v>
          </cell>
          <cell r="F56">
            <v>0</v>
          </cell>
        </row>
        <row r="65">
          <cell r="A65">
            <v>45270</v>
          </cell>
          <cell r="B65" t="str">
            <v>LM</v>
          </cell>
          <cell r="C65">
            <v>0</v>
          </cell>
          <cell r="D65">
            <v>2450.1099999999997</v>
          </cell>
          <cell r="E65">
            <v>0</v>
          </cell>
          <cell r="F65">
            <v>0</v>
          </cell>
        </row>
        <row r="66">
          <cell r="A66">
            <v>45270</v>
          </cell>
          <cell r="B66" t="str">
            <v>VM</v>
          </cell>
          <cell r="C66">
            <v>0</v>
          </cell>
          <cell r="D66">
            <v>61</v>
          </cell>
          <cell r="E66">
            <v>0</v>
          </cell>
          <cell r="F66">
            <v>0</v>
          </cell>
        </row>
        <row r="72">
          <cell r="A72">
            <v>45271</v>
          </cell>
          <cell r="B72" t="str">
            <v>VM</v>
          </cell>
          <cell r="C72">
            <v>0</v>
          </cell>
          <cell r="D72">
            <v>122</v>
          </cell>
          <cell r="E72">
            <v>0</v>
          </cell>
          <cell r="F72">
            <v>0</v>
          </cell>
        </row>
        <row r="73">
          <cell r="A73">
            <v>45271</v>
          </cell>
          <cell r="B73" t="str">
            <v>Andere</v>
          </cell>
          <cell r="C73">
            <v>0</v>
          </cell>
          <cell r="D73">
            <v>550</v>
          </cell>
          <cell r="E73">
            <v>0</v>
          </cell>
          <cell r="F73">
            <v>0</v>
          </cell>
        </row>
        <row r="74">
          <cell r="A74">
            <v>45271</v>
          </cell>
          <cell r="B74" t="str">
            <v>Rauchen</v>
          </cell>
          <cell r="C74">
            <v>0</v>
          </cell>
          <cell r="D74">
            <v>0</v>
          </cell>
          <cell r="E74">
            <v>0</v>
          </cell>
          <cell r="F74">
            <v>150</v>
          </cell>
        </row>
        <row r="86">
          <cell r="A86">
            <v>45273</v>
          </cell>
          <cell r="B86" t="str">
            <v>Andere</v>
          </cell>
          <cell r="C86">
            <v>0</v>
          </cell>
          <cell r="D86">
            <v>555</v>
          </cell>
          <cell r="E86">
            <v>0</v>
          </cell>
          <cell r="F86">
            <v>0</v>
          </cell>
        </row>
        <row r="93">
          <cell r="A93">
            <v>45274</v>
          </cell>
          <cell r="B93" t="str">
            <v>LM</v>
          </cell>
          <cell r="C93">
            <v>0</v>
          </cell>
          <cell r="D93">
            <v>430</v>
          </cell>
          <cell r="E93">
            <v>0</v>
          </cell>
          <cell r="F93">
            <v>0</v>
          </cell>
        </row>
        <row r="94">
          <cell r="A94">
            <v>45274</v>
          </cell>
          <cell r="B94" t="str">
            <v>Rauchen</v>
          </cell>
          <cell r="C94">
            <v>0</v>
          </cell>
          <cell r="D94">
            <v>170</v>
          </cell>
          <cell r="E94">
            <v>0</v>
          </cell>
          <cell r="F94">
            <v>0</v>
          </cell>
        </row>
        <row r="95">
          <cell r="A95">
            <v>45274</v>
          </cell>
          <cell r="B95" t="str">
            <v>Andere</v>
          </cell>
          <cell r="C95">
            <v>0</v>
          </cell>
          <cell r="D95">
            <v>2008</v>
          </cell>
          <cell r="E95">
            <v>0</v>
          </cell>
          <cell r="F95">
            <v>700</v>
          </cell>
        </row>
        <row r="96">
          <cell r="A96">
            <v>45274</v>
          </cell>
          <cell r="B96" t="str">
            <v>none</v>
          </cell>
          <cell r="C96">
            <v>0</v>
          </cell>
          <cell r="D96">
            <v>2400</v>
          </cell>
          <cell r="E96">
            <v>2400</v>
          </cell>
          <cell r="F96">
            <v>0</v>
          </cell>
        </row>
        <row r="97">
          <cell r="A97">
            <v>45274</v>
          </cell>
          <cell r="B97" t="str">
            <v>VM</v>
          </cell>
          <cell r="C97">
            <v>0</v>
          </cell>
          <cell r="D97">
            <v>122</v>
          </cell>
          <cell r="E97">
            <v>0</v>
          </cell>
          <cell r="F97">
            <v>0</v>
          </cell>
        </row>
        <row r="100">
          <cell r="A100">
            <v>45275</v>
          </cell>
          <cell r="B100" t="str">
            <v>LM</v>
          </cell>
          <cell r="C100">
            <v>0</v>
          </cell>
          <cell r="D100">
            <v>390</v>
          </cell>
          <cell r="E100">
            <v>0</v>
          </cell>
          <cell r="F100">
            <v>0</v>
          </cell>
        </row>
        <row r="101">
          <cell r="A101">
            <v>45275</v>
          </cell>
          <cell r="B101" t="str">
            <v>Rauchen</v>
          </cell>
          <cell r="C101">
            <v>0</v>
          </cell>
          <cell r="D101">
            <v>170</v>
          </cell>
          <cell r="E101">
            <v>0</v>
          </cell>
          <cell r="F101">
            <v>0</v>
          </cell>
        </row>
        <row r="102">
          <cell r="A102">
            <v>45275</v>
          </cell>
          <cell r="B102" t="str">
            <v>VM</v>
          </cell>
          <cell r="C102">
            <v>0</v>
          </cell>
          <cell r="D102">
            <v>183</v>
          </cell>
          <cell r="E102">
            <v>0</v>
          </cell>
          <cell r="F102">
            <v>0</v>
          </cell>
        </row>
        <row r="107">
          <cell r="A107">
            <v>45276</v>
          </cell>
          <cell r="B107" t="str">
            <v>for me</v>
          </cell>
          <cell r="C107">
            <v>0</v>
          </cell>
          <cell r="D107">
            <v>430</v>
          </cell>
          <cell r="E107">
            <v>0</v>
          </cell>
          <cell r="F107">
            <v>0</v>
          </cell>
        </row>
        <row r="108">
          <cell r="A108">
            <v>45276</v>
          </cell>
          <cell r="B108" t="str">
            <v>LM</v>
          </cell>
          <cell r="C108">
            <v>0</v>
          </cell>
          <cell r="D108">
            <v>2671.41</v>
          </cell>
          <cell r="E108">
            <v>0</v>
          </cell>
          <cell r="F108">
            <v>0</v>
          </cell>
        </row>
        <row r="114">
          <cell r="A114">
            <v>45277</v>
          </cell>
          <cell r="B114" t="str">
            <v>VM</v>
          </cell>
          <cell r="C114">
            <v>0</v>
          </cell>
          <cell r="D114">
            <v>122</v>
          </cell>
          <cell r="E114">
            <v>0</v>
          </cell>
          <cell r="F114">
            <v>0</v>
          </cell>
        </row>
        <row r="115">
          <cell r="A115">
            <v>45277</v>
          </cell>
          <cell r="B115" t="str">
            <v>Kleidung</v>
          </cell>
          <cell r="C115">
            <v>0</v>
          </cell>
          <cell r="D115">
            <v>7097</v>
          </cell>
          <cell r="E115">
            <v>0</v>
          </cell>
          <cell r="F115">
            <v>0</v>
          </cell>
        </row>
        <row r="116">
          <cell r="A116">
            <v>45277</v>
          </cell>
          <cell r="B116" t="str">
            <v>Party</v>
          </cell>
          <cell r="C116">
            <v>0</v>
          </cell>
          <cell r="D116">
            <v>920</v>
          </cell>
          <cell r="E116">
            <v>0</v>
          </cell>
          <cell r="F116">
            <v>0</v>
          </cell>
        </row>
        <row r="117">
          <cell r="A117">
            <v>45277</v>
          </cell>
          <cell r="B117" t="str">
            <v>none</v>
          </cell>
          <cell r="C117">
            <v>0</v>
          </cell>
          <cell r="D117">
            <v>55000</v>
          </cell>
          <cell r="E117">
            <v>55000</v>
          </cell>
          <cell r="F117">
            <v>0</v>
          </cell>
        </row>
        <row r="118">
          <cell r="A118">
            <v>45277</v>
          </cell>
          <cell r="B118" t="str">
            <v>rent</v>
          </cell>
          <cell r="C118">
            <v>0</v>
          </cell>
          <cell r="D118">
            <v>0</v>
          </cell>
          <cell r="E118">
            <v>0</v>
          </cell>
          <cell r="F118">
            <v>55058.5</v>
          </cell>
        </row>
        <row r="121">
          <cell r="A121">
            <v>45278</v>
          </cell>
          <cell r="B121" t="str">
            <v>VM</v>
          </cell>
          <cell r="C121">
            <v>0</v>
          </cell>
          <cell r="D121">
            <v>244</v>
          </cell>
          <cell r="E121">
            <v>0</v>
          </cell>
          <cell r="F121">
            <v>0</v>
          </cell>
        </row>
        <row r="122">
          <cell r="A122">
            <v>45278</v>
          </cell>
          <cell r="B122" t="str">
            <v>Rauchen</v>
          </cell>
          <cell r="C122">
            <v>0</v>
          </cell>
          <cell r="D122">
            <v>0</v>
          </cell>
          <cell r="E122">
            <v>0</v>
          </cell>
          <cell r="F122">
            <v>151.5</v>
          </cell>
        </row>
        <row r="135">
          <cell r="A135">
            <v>45280</v>
          </cell>
          <cell r="B135" t="str">
            <v>LM</v>
          </cell>
          <cell r="C135">
            <v>0</v>
          </cell>
          <cell r="D135">
            <v>390</v>
          </cell>
          <cell r="E135">
            <v>0</v>
          </cell>
          <cell r="F135">
            <v>0</v>
          </cell>
        </row>
        <row r="136">
          <cell r="A136">
            <v>45280</v>
          </cell>
          <cell r="B136" t="str">
            <v>Rauchen</v>
          </cell>
          <cell r="C136">
            <v>0</v>
          </cell>
          <cell r="D136">
            <v>0</v>
          </cell>
          <cell r="E136">
            <v>0</v>
          </cell>
          <cell r="F136">
            <v>151.5</v>
          </cell>
        </row>
        <row r="137">
          <cell r="A137">
            <v>45280</v>
          </cell>
          <cell r="B137" t="str">
            <v>Andere</v>
          </cell>
          <cell r="C137">
            <v>0</v>
          </cell>
          <cell r="D137">
            <v>0</v>
          </cell>
          <cell r="E137">
            <v>0</v>
          </cell>
          <cell r="F137">
            <v>150</v>
          </cell>
        </row>
        <row r="142">
          <cell r="A142">
            <v>45281</v>
          </cell>
          <cell r="B142" t="str">
            <v>VM</v>
          </cell>
          <cell r="C142">
            <v>0</v>
          </cell>
          <cell r="D142">
            <v>1595</v>
          </cell>
          <cell r="E142">
            <v>0</v>
          </cell>
          <cell r="F142">
            <v>0</v>
          </cell>
        </row>
        <row r="143">
          <cell r="A143">
            <v>45281</v>
          </cell>
          <cell r="B143" t="str">
            <v>LM</v>
          </cell>
          <cell r="C143">
            <v>0</v>
          </cell>
          <cell r="D143">
            <v>95</v>
          </cell>
          <cell r="E143">
            <v>0</v>
          </cell>
          <cell r="F143">
            <v>0</v>
          </cell>
        </row>
        <row r="144">
          <cell r="A144">
            <v>45281</v>
          </cell>
          <cell r="B144" t="str">
            <v>VM</v>
          </cell>
          <cell r="C144">
            <v>0</v>
          </cell>
          <cell r="D144">
            <v>244</v>
          </cell>
          <cell r="E144">
            <v>0</v>
          </cell>
          <cell r="F144">
            <v>0</v>
          </cell>
        </row>
        <row r="149">
          <cell r="A149">
            <v>45282</v>
          </cell>
          <cell r="B149" t="str">
            <v>LM</v>
          </cell>
          <cell r="C149">
            <v>0</v>
          </cell>
          <cell r="D149">
            <v>1148</v>
          </cell>
          <cell r="E149">
            <v>0</v>
          </cell>
          <cell r="F149">
            <v>0</v>
          </cell>
        </row>
        <row r="150">
          <cell r="A150">
            <v>45282</v>
          </cell>
          <cell r="B150" t="str">
            <v>Refill</v>
          </cell>
          <cell r="C150">
            <v>47030.14</v>
          </cell>
          <cell r="D150">
            <v>0</v>
          </cell>
          <cell r="E150">
            <v>0</v>
          </cell>
          <cell r="F150">
            <v>0</v>
          </cell>
        </row>
        <row r="151">
          <cell r="A151">
            <v>45282</v>
          </cell>
          <cell r="B151" t="str">
            <v>Andere</v>
          </cell>
          <cell r="C151">
            <v>0</v>
          </cell>
          <cell r="D151">
            <v>293</v>
          </cell>
          <cell r="E151">
            <v>0</v>
          </cell>
          <cell r="F151">
            <v>0</v>
          </cell>
        </row>
        <row r="152">
          <cell r="A152">
            <v>45282</v>
          </cell>
          <cell r="B152" t="str">
            <v>Andere</v>
          </cell>
          <cell r="C152">
            <v>0</v>
          </cell>
          <cell r="D152">
            <v>7406</v>
          </cell>
          <cell r="E152">
            <v>0</v>
          </cell>
          <cell r="F152">
            <v>0</v>
          </cell>
        </row>
        <row r="153">
          <cell r="A153">
            <v>45282</v>
          </cell>
          <cell r="B153" t="str">
            <v>VM</v>
          </cell>
          <cell r="C153">
            <v>0</v>
          </cell>
          <cell r="D153">
            <v>122</v>
          </cell>
          <cell r="E153">
            <v>0</v>
          </cell>
          <cell r="F153">
            <v>0</v>
          </cell>
        </row>
        <row r="154">
          <cell r="A154">
            <v>45282</v>
          </cell>
          <cell r="B154" t="str">
            <v>Rauchen</v>
          </cell>
          <cell r="C154">
            <v>0</v>
          </cell>
          <cell r="D154">
            <v>0</v>
          </cell>
          <cell r="E154">
            <v>0</v>
          </cell>
          <cell r="F154">
            <v>151.5</v>
          </cell>
        </row>
        <row r="156">
          <cell r="A156">
            <v>45283</v>
          </cell>
          <cell r="B156" t="str">
            <v>Andere</v>
          </cell>
          <cell r="C156">
            <v>0</v>
          </cell>
          <cell r="D156">
            <v>0</v>
          </cell>
          <cell r="E156">
            <v>0</v>
          </cell>
          <cell r="F156">
            <v>3054.24</v>
          </cell>
        </row>
        <row r="157">
          <cell r="A157">
            <v>45283</v>
          </cell>
          <cell r="B157" t="str">
            <v>none</v>
          </cell>
          <cell r="C157">
            <v>0</v>
          </cell>
          <cell r="D157">
            <v>1700</v>
          </cell>
          <cell r="E157">
            <v>1700</v>
          </cell>
          <cell r="F157">
            <v>0</v>
          </cell>
        </row>
        <row r="163">
          <cell r="A163">
            <v>45284</v>
          </cell>
          <cell r="B163" t="str">
            <v>Party</v>
          </cell>
          <cell r="C163">
            <v>0</v>
          </cell>
          <cell r="D163">
            <v>2850</v>
          </cell>
          <cell r="E163">
            <v>0</v>
          </cell>
          <cell r="F163">
            <v>0</v>
          </cell>
        </row>
        <row r="164">
          <cell r="A164">
            <v>45284</v>
          </cell>
          <cell r="B164" t="str">
            <v>LM</v>
          </cell>
          <cell r="C164">
            <v>0</v>
          </cell>
          <cell r="D164">
            <v>1182</v>
          </cell>
          <cell r="E164">
            <v>0</v>
          </cell>
          <cell r="F164">
            <v>0</v>
          </cell>
        </row>
        <row r="165">
          <cell r="A165">
            <v>45284</v>
          </cell>
          <cell r="B165" t="str">
            <v>VM</v>
          </cell>
          <cell r="C165">
            <v>0</v>
          </cell>
          <cell r="D165">
            <v>183</v>
          </cell>
          <cell r="E165">
            <v>0</v>
          </cell>
          <cell r="F165">
            <v>0</v>
          </cell>
        </row>
        <row r="170">
          <cell r="A170">
            <v>45285</v>
          </cell>
          <cell r="B170" t="str">
            <v>VM</v>
          </cell>
          <cell r="C170">
            <v>0</v>
          </cell>
          <cell r="D170">
            <v>1</v>
          </cell>
          <cell r="E170">
            <v>0</v>
          </cell>
          <cell r="F170">
            <v>0</v>
          </cell>
        </row>
        <row r="171">
          <cell r="A171">
            <v>45285</v>
          </cell>
          <cell r="B171" t="str">
            <v>Andere</v>
          </cell>
          <cell r="C171">
            <v>0</v>
          </cell>
          <cell r="D171">
            <v>1000</v>
          </cell>
          <cell r="E171">
            <v>0</v>
          </cell>
          <cell r="F171">
            <v>0</v>
          </cell>
        </row>
        <row r="172">
          <cell r="A172">
            <v>45285</v>
          </cell>
          <cell r="B172" t="str">
            <v>LM</v>
          </cell>
          <cell r="C172">
            <v>0</v>
          </cell>
          <cell r="D172">
            <v>105</v>
          </cell>
          <cell r="E172">
            <v>0</v>
          </cell>
          <cell r="F172">
            <v>0</v>
          </cell>
        </row>
        <row r="173">
          <cell r="A173">
            <v>45285</v>
          </cell>
          <cell r="B173" t="str">
            <v>LM</v>
          </cell>
          <cell r="C173">
            <v>0</v>
          </cell>
          <cell r="D173">
            <v>3940</v>
          </cell>
          <cell r="E173">
            <v>0</v>
          </cell>
          <cell r="F173">
            <v>0</v>
          </cell>
        </row>
        <row r="174">
          <cell r="A174">
            <v>45285</v>
          </cell>
          <cell r="B174" t="str">
            <v>Rauchen</v>
          </cell>
          <cell r="C174">
            <v>0</v>
          </cell>
          <cell r="D174">
            <v>0</v>
          </cell>
          <cell r="E174">
            <v>0</v>
          </cell>
          <cell r="F174">
            <v>93.9</v>
          </cell>
        </row>
        <row r="177">
          <cell r="A177">
            <v>45286</v>
          </cell>
          <cell r="B177" t="str">
            <v>VM</v>
          </cell>
          <cell r="C177">
            <v>0</v>
          </cell>
          <cell r="D177">
            <v>122</v>
          </cell>
          <cell r="E177">
            <v>0</v>
          </cell>
          <cell r="F177">
            <v>0</v>
          </cell>
        </row>
        <row r="178">
          <cell r="A178">
            <v>45286</v>
          </cell>
          <cell r="B178" t="str">
            <v>LM</v>
          </cell>
          <cell r="C178">
            <v>0</v>
          </cell>
          <cell r="D178">
            <v>190</v>
          </cell>
          <cell r="E178">
            <v>0</v>
          </cell>
          <cell r="F178">
            <v>0</v>
          </cell>
        </row>
        <row r="179">
          <cell r="A179">
            <v>45286</v>
          </cell>
          <cell r="B179" t="str">
            <v>none</v>
          </cell>
          <cell r="C179">
            <v>389</v>
          </cell>
          <cell r="D179">
            <v>0</v>
          </cell>
          <cell r="E179">
            <v>0</v>
          </cell>
          <cell r="F179">
            <v>0</v>
          </cell>
        </row>
        <row r="180">
          <cell r="A180">
            <v>45286</v>
          </cell>
          <cell r="B180" t="str">
            <v>LM</v>
          </cell>
          <cell r="C180">
            <v>0</v>
          </cell>
          <cell r="D180">
            <v>250</v>
          </cell>
          <cell r="E180">
            <v>0</v>
          </cell>
          <cell r="F180">
            <v>0</v>
          </cell>
        </row>
        <row r="181">
          <cell r="A181">
            <v>45286</v>
          </cell>
          <cell r="B181" t="str">
            <v>Rauchen</v>
          </cell>
          <cell r="C181">
            <v>0</v>
          </cell>
          <cell r="D181">
            <v>170</v>
          </cell>
          <cell r="E181">
            <v>0</v>
          </cell>
          <cell r="F181">
            <v>0</v>
          </cell>
        </row>
        <row r="184">
          <cell r="A184">
            <v>45287</v>
          </cell>
          <cell r="B184" t="str">
            <v>VM</v>
          </cell>
          <cell r="C184">
            <v>0</v>
          </cell>
          <cell r="D184">
            <v>122</v>
          </cell>
          <cell r="E184">
            <v>0</v>
          </cell>
          <cell r="F184">
            <v>0</v>
          </cell>
        </row>
        <row r="185">
          <cell r="A185">
            <v>45287</v>
          </cell>
          <cell r="B185" t="str">
            <v>LM</v>
          </cell>
          <cell r="C185">
            <v>0</v>
          </cell>
          <cell r="D185">
            <v>796</v>
          </cell>
          <cell r="E185">
            <v>0</v>
          </cell>
          <cell r="F185">
            <v>0</v>
          </cell>
        </row>
        <row r="191">
          <cell r="A191">
            <v>45288</v>
          </cell>
          <cell r="B191" t="str">
            <v>VM</v>
          </cell>
          <cell r="C191">
            <v>0</v>
          </cell>
          <cell r="D191">
            <v>779</v>
          </cell>
          <cell r="E191">
            <v>0</v>
          </cell>
          <cell r="F191">
            <v>0</v>
          </cell>
        </row>
        <row r="192">
          <cell r="A192">
            <v>45288</v>
          </cell>
          <cell r="B192" t="str">
            <v>LM</v>
          </cell>
          <cell r="C192">
            <v>0</v>
          </cell>
          <cell r="D192">
            <v>335</v>
          </cell>
          <cell r="E192">
            <v>0</v>
          </cell>
          <cell r="F192">
            <v>0</v>
          </cell>
        </row>
        <row r="193">
          <cell r="A193">
            <v>45288</v>
          </cell>
          <cell r="B193" t="str">
            <v>Refill</v>
          </cell>
          <cell r="C193">
            <v>71671.600000000006</v>
          </cell>
          <cell r="D193">
            <v>0</v>
          </cell>
          <cell r="E193">
            <v>0</v>
          </cell>
          <cell r="F193">
            <v>0</v>
          </cell>
        </row>
        <row r="198">
          <cell r="A198">
            <v>45289</v>
          </cell>
          <cell r="B198" t="str">
            <v>Andere</v>
          </cell>
          <cell r="C198">
            <v>0</v>
          </cell>
          <cell r="D198">
            <v>688</v>
          </cell>
          <cell r="E198">
            <v>0</v>
          </cell>
          <cell r="F198">
            <v>0</v>
          </cell>
        </row>
        <row r="199">
          <cell r="A199">
            <v>45289</v>
          </cell>
          <cell r="B199" t="str">
            <v>LM</v>
          </cell>
          <cell r="C199">
            <v>0</v>
          </cell>
          <cell r="D199">
            <v>280</v>
          </cell>
          <cell r="E199">
            <v>0</v>
          </cell>
          <cell r="F199">
            <v>0</v>
          </cell>
        </row>
        <row r="200">
          <cell r="A200">
            <v>45289</v>
          </cell>
          <cell r="B200" t="str">
            <v>LM</v>
          </cell>
          <cell r="C200">
            <v>0</v>
          </cell>
          <cell r="D200">
            <v>861.4</v>
          </cell>
          <cell r="E200">
            <v>0</v>
          </cell>
          <cell r="F200">
            <v>0</v>
          </cell>
        </row>
        <row r="201">
          <cell r="A201">
            <v>45289</v>
          </cell>
          <cell r="B201" t="str">
            <v>Rauchen</v>
          </cell>
          <cell r="C201">
            <v>0</v>
          </cell>
          <cell r="D201">
            <v>0</v>
          </cell>
          <cell r="E201">
            <v>0</v>
          </cell>
          <cell r="F201">
            <v>151.5</v>
          </cell>
        </row>
        <row r="205">
          <cell r="A205">
            <v>45290</v>
          </cell>
          <cell r="B205" t="str">
            <v>Party</v>
          </cell>
          <cell r="C205">
            <v>0</v>
          </cell>
          <cell r="D205">
            <v>3300</v>
          </cell>
          <cell r="E205">
            <v>0</v>
          </cell>
          <cell r="F205">
            <v>0</v>
          </cell>
        </row>
        <row r="206">
          <cell r="A206">
            <v>45290</v>
          </cell>
          <cell r="B206" t="str">
            <v>LM</v>
          </cell>
          <cell r="C206">
            <v>0</v>
          </cell>
          <cell r="D206">
            <v>801</v>
          </cell>
          <cell r="E206">
            <v>0</v>
          </cell>
          <cell r="F206">
            <v>0</v>
          </cell>
        </row>
        <row r="212">
          <cell r="A212">
            <v>45291</v>
          </cell>
          <cell r="B212" t="str">
            <v>VM</v>
          </cell>
          <cell r="C212">
            <v>0</v>
          </cell>
          <cell r="D212">
            <v>1</v>
          </cell>
          <cell r="E212">
            <v>0</v>
          </cell>
          <cell r="F212">
            <v>0</v>
          </cell>
        </row>
        <row r="213">
          <cell r="A213">
            <v>45291</v>
          </cell>
          <cell r="B213" t="str">
            <v>LM</v>
          </cell>
          <cell r="C213">
            <v>0</v>
          </cell>
          <cell r="D213">
            <v>1487.3899999999999</v>
          </cell>
          <cell r="E213">
            <v>0</v>
          </cell>
          <cell r="F213">
            <v>0</v>
          </cell>
        </row>
        <row r="214">
          <cell r="A214">
            <v>45291</v>
          </cell>
          <cell r="B214" t="str">
            <v>Andere</v>
          </cell>
          <cell r="C214">
            <v>0</v>
          </cell>
          <cell r="D214">
            <v>1300</v>
          </cell>
          <cell r="E214">
            <v>0</v>
          </cell>
        </row>
        <row r="215">
          <cell r="A215">
            <v>45291</v>
          </cell>
          <cell r="B215" t="str">
            <v>Rauchen</v>
          </cell>
          <cell r="C215">
            <v>0</v>
          </cell>
          <cell r="D215">
            <v>1190</v>
          </cell>
          <cell r="E215">
            <v>0</v>
          </cell>
          <cell r="F215">
            <v>0</v>
          </cell>
        </row>
        <row r="216">
          <cell r="A216">
            <v>45291</v>
          </cell>
          <cell r="B216" t="str">
            <v>Refill</v>
          </cell>
          <cell r="C216">
            <v>3223.1499999999996</v>
          </cell>
          <cell r="D216">
            <v>0</v>
          </cell>
          <cell r="E216">
            <v>0</v>
          </cell>
          <cell r="F216">
            <v>0</v>
          </cell>
        </row>
      </sheetData>
      <sheetData sheetId="39">
        <row r="2">
          <cell r="A2">
            <v>45292</v>
          </cell>
          <cell r="B2" t="str">
            <v>LM</v>
          </cell>
          <cell r="C2">
            <v>0</v>
          </cell>
          <cell r="D2">
            <v>39.979999999999997</v>
          </cell>
          <cell r="E2">
            <v>0</v>
          </cell>
          <cell r="F2">
            <v>0</v>
          </cell>
        </row>
        <row r="3">
          <cell r="A3">
            <v>45292</v>
          </cell>
          <cell r="B3" t="str">
            <v>VM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A4">
            <v>45292</v>
          </cell>
          <cell r="B4" t="str">
            <v>Andere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</row>
        <row r="5">
          <cell r="A5">
            <v>45292</v>
          </cell>
          <cell r="B5" t="str">
            <v>for me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A6">
            <v>45292</v>
          </cell>
          <cell r="B6" t="str">
            <v>Party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</row>
        <row r="7">
          <cell r="A7">
            <v>45292</v>
          </cell>
          <cell r="B7" t="str">
            <v>Kleidung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</row>
        <row r="16">
          <cell r="A16">
            <v>45294</v>
          </cell>
          <cell r="B16" t="str">
            <v>LM</v>
          </cell>
          <cell r="C16">
            <v>0</v>
          </cell>
          <cell r="D16">
            <v>410</v>
          </cell>
          <cell r="E16">
            <v>0</v>
          </cell>
          <cell r="F16">
            <v>0</v>
          </cell>
        </row>
        <row r="23">
          <cell r="A23">
            <v>45295</v>
          </cell>
          <cell r="B23" t="str">
            <v>VM</v>
          </cell>
          <cell r="C23">
            <v>0</v>
          </cell>
          <cell r="D23">
            <v>1621.23</v>
          </cell>
          <cell r="E23">
            <v>0</v>
          </cell>
          <cell r="F23">
            <v>0</v>
          </cell>
        </row>
        <row r="24">
          <cell r="A24">
            <v>45295</v>
          </cell>
          <cell r="B24" t="str">
            <v>Andere</v>
          </cell>
          <cell r="C24">
            <v>0</v>
          </cell>
          <cell r="D24">
            <v>2310</v>
          </cell>
          <cell r="E24">
            <v>0</v>
          </cell>
          <cell r="F24">
            <v>0</v>
          </cell>
        </row>
        <row r="30">
          <cell r="A30">
            <v>45296</v>
          </cell>
          <cell r="B30" t="str">
            <v>LM</v>
          </cell>
          <cell r="C30">
            <v>0</v>
          </cell>
          <cell r="D30">
            <v>460</v>
          </cell>
          <cell r="E30">
            <v>0</v>
          </cell>
          <cell r="F30">
            <v>0</v>
          </cell>
        </row>
        <row r="31">
          <cell r="A31">
            <v>45296</v>
          </cell>
          <cell r="B31" t="str">
            <v>Party</v>
          </cell>
          <cell r="C31">
            <v>0</v>
          </cell>
          <cell r="D31">
            <v>3170</v>
          </cell>
          <cell r="E31">
            <v>0</v>
          </cell>
          <cell r="F31">
            <v>1100</v>
          </cell>
        </row>
        <row r="37">
          <cell r="A37">
            <v>45297</v>
          </cell>
          <cell r="B37" t="str">
            <v>VM</v>
          </cell>
          <cell r="C37">
            <v>0</v>
          </cell>
          <cell r="D37">
            <v>359</v>
          </cell>
          <cell r="E37">
            <v>0</v>
          </cell>
          <cell r="F37">
            <v>0</v>
          </cell>
        </row>
        <row r="44">
          <cell r="A44">
            <v>45298</v>
          </cell>
          <cell r="B44" t="str">
            <v>LM</v>
          </cell>
          <cell r="C44">
            <v>0</v>
          </cell>
          <cell r="D44">
            <v>1399.89</v>
          </cell>
          <cell r="E44">
            <v>0</v>
          </cell>
          <cell r="F44">
            <v>0</v>
          </cell>
        </row>
        <row r="45">
          <cell r="A45">
            <v>45298</v>
          </cell>
          <cell r="B45" t="str">
            <v>Refill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</row>
        <row r="51">
          <cell r="A51">
            <v>45299</v>
          </cell>
          <cell r="B51" t="str">
            <v>Andere</v>
          </cell>
          <cell r="C51">
            <v>45</v>
          </cell>
          <cell r="D51">
            <v>0</v>
          </cell>
          <cell r="E51">
            <v>0</v>
          </cell>
          <cell r="F51">
            <v>0</v>
          </cell>
        </row>
        <row r="58">
          <cell r="A58">
            <v>45300</v>
          </cell>
          <cell r="B58" t="str">
            <v>Rauchen</v>
          </cell>
          <cell r="C58">
            <v>0</v>
          </cell>
          <cell r="D58">
            <v>1190</v>
          </cell>
          <cell r="E58">
            <v>0</v>
          </cell>
          <cell r="F58">
            <v>0</v>
          </cell>
        </row>
        <row r="59">
          <cell r="A59">
            <v>45300</v>
          </cell>
          <cell r="B59" t="str">
            <v>Andere</v>
          </cell>
          <cell r="C59">
            <v>0</v>
          </cell>
          <cell r="D59">
            <v>252.48</v>
          </cell>
          <cell r="E59">
            <v>0</v>
          </cell>
          <cell r="F59">
            <v>0</v>
          </cell>
        </row>
        <row r="60">
          <cell r="A60">
            <v>45300</v>
          </cell>
          <cell r="B60" t="str">
            <v>LM</v>
          </cell>
          <cell r="C60">
            <v>0</v>
          </cell>
          <cell r="D60">
            <v>482.06</v>
          </cell>
          <cell r="E60">
            <v>0</v>
          </cell>
          <cell r="F60">
            <v>0</v>
          </cell>
        </row>
        <row r="61">
          <cell r="A61">
            <v>45300</v>
          </cell>
          <cell r="B61" t="str">
            <v>none</v>
          </cell>
          <cell r="C61">
            <v>7.0000000000000007E-2</v>
          </cell>
          <cell r="D61">
            <v>0</v>
          </cell>
          <cell r="E61">
            <v>0</v>
          </cell>
          <cell r="F61">
            <v>0</v>
          </cell>
        </row>
        <row r="65">
          <cell r="A65">
            <v>45301</v>
          </cell>
          <cell r="B65" t="str">
            <v>Andere</v>
          </cell>
          <cell r="C65">
            <v>0</v>
          </cell>
          <cell r="D65">
            <v>3148</v>
          </cell>
          <cell r="E65">
            <v>0</v>
          </cell>
          <cell r="F65">
            <v>0</v>
          </cell>
        </row>
        <row r="72">
          <cell r="A72">
            <v>45302</v>
          </cell>
          <cell r="B72" t="str">
            <v>VM</v>
          </cell>
          <cell r="C72">
            <v>0</v>
          </cell>
          <cell r="D72">
            <v>120</v>
          </cell>
          <cell r="E72">
            <v>0</v>
          </cell>
          <cell r="F72">
            <v>0</v>
          </cell>
        </row>
        <row r="86">
          <cell r="A86">
            <v>45304</v>
          </cell>
          <cell r="B86" t="str">
            <v>Andere</v>
          </cell>
          <cell r="C86">
            <v>0</v>
          </cell>
          <cell r="D86">
            <v>379</v>
          </cell>
          <cell r="E86">
            <v>0</v>
          </cell>
          <cell r="F86">
            <v>0</v>
          </cell>
        </row>
        <row r="87">
          <cell r="A87">
            <v>45304</v>
          </cell>
          <cell r="B87" t="str">
            <v>Andere</v>
          </cell>
          <cell r="C87">
            <v>0</v>
          </cell>
          <cell r="D87">
            <v>6800</v>
          </cell>
          <cell r="E87">
            <v>0</v>
          </cell>
          <cell r="F87">
            <v>0</v>
          </cell>
        </row>
        <row r="93">
          <cell r="A93">
            <v>45305</v>
          </cell>
          <cell r="B93" t="str">
            <v>Andere</v>
          </cell>
          <cell r="C93">
            <v>0</v>
          </cell>
          <cell r="D93">
            <v>300</v>
          </cell>
          <cell r="E93">
            <v>0</v>
          </cell>
          <cell r="F93">
            <v>0</v>
          </cell>
        </row>
        <row r="94">
          <cell r="A94">
            <v>45305</v>
          </cell>
          <cell r="B94" t="str">
            <v>LM</v>
          </cell>
          <cell r="C94">
            <v>0</v>
          </cell>
          <cell r="D94">
            <v>350</v>
          </cell>
          <cell r="E94">
            <v>0</v>
          </cell>
          <cell r="F94">
            <v>0</v>
          </cell>
        </row>
        <row r="95">
          <cell r="A95">
            <v>45305</v>
          </cell>
          <cell r="B95" t="str">
            <v>VM</v>
          </cell>
          <cell r="C95">
            <v>0</v>
          </cell>
          <cell r="D95">
            <v>1902</v>
          </cell>
          <cell r="E95">
            <v>0</v>
          </cell>
          <cell r="F95">
            <v>0</v>
          </cell>
        </row>
        <row r="100">
          <cell r="A100">
            <v>45306</v>
          </cell>
          <cell r="B100" t="str">
            <v>Andere</v>
          </cell>
          <cell r="C100">
            <v>0</v>
          </cell>
          <cell r="D100">
            <v>4575</v>
          </cell>
          <cell r="E100">
            <v>0</v>
          </cell>
          <cell r="F100">
            <v>0</v>
          </cell>
        </row>
        <row r="101">
          <cell r="A101">
            <v>45306</v>
          </cell>
          <cell r="B101" t="str">
            <v>Andere</v>
          </cell>
          <cell r="C101">
            <v>0</v>
          </cell>
          <cell r="D101">
            <v>800</v>
          </cell>
          <cell r="E101">
            <v>0</v>
          </cell>
          <cell r="F101">
            <v>0</v>
          </cell>
        </row>
        <row r="102">
          <cell r="A102">
            <v>45306</v>
          </cell>
          <cell r="B102" t="str">
            <v>Party</v>
          </cell>
          <cell r="C102">
            <v>0</v>
          </cell>
          <cell r="D102">
            <v>600</v>
          </cell>
          <cell r="E102">
            <v>0</v>
          </cell>
          <cell r="F102">
            <v>0</v>
          </cell>
        </row>
        <row r="103">
          <cell r="A103">
            <v>45306</v>
          </cell>
          <cell r="B103" t="str">
            <v>none</v>
          </cell>
          <cell r="C103">
            <v>0</v>
          </cell>
          <cell r="D103">
            <v>900</v>
          </cell>
          <cell r="E103">
            <v>900</v>
          </cell>
          <cell r="F103">
            <v>0</v>
          </cell>
        </row>
        <row r="107">
          <cell r="A107">
            <v>45307</v>
          </cell>
          <cell r="B107" t="str">
            <v>LM</v>
          </cell>
          <cell r="C107">
            <v>0</v>
          </cell>
          <cell r="D107">
            <v>2051.1999999999998</v>
          </cell>
          <cell r="E107">
            <v>0</v>
          </cell>
          <cell r="F107">
            <v>0</v>
          </cell>
        </row>
        <row r="108">
          <cell r="A108">
            <v>45307</v>
          </cell>
          <cell r="B108" t="str">
            <v>Andere</v>
          </cell>
          <cell r="C108">
            <v>0</v>
          </cell>
          <cell r="D108">
            <v>1000</v>
          </cell>
          <cell r="E108">
            <v>0</v>
          </cell>
          <cell r="F108">
            <v>0</v>
          </cell>
        </row>
        <row r="114">
          <cell r="A114">
            <v>45308</v>
          </cell>
          <cell r="B114" t="str">
            <v>rent</v>
          </cell>
          <cell r="C114">
            <v>0</v>
          </cell>
          <cell r="D114">
            <v>0</v>
          </cell>
          <cell r="E114">
            <v>0</v>
          </cell>
          <cell r="F114">
            <v>55061</v>
          </cell>
        </row>
        <row r="115">
          <cell r="A115">
            <v>45308</v>
          </cell>
          <cell r="B115" t="str">
            <v>none</v>
          </cell>
          <cell r="C115">
            <v>0</v>
          </cell>
          <cell r="D115">
            <v>55000</v>
          </cell>
          <cell r="E115">
            <v>55000</v>
          </cell>
          <cell r="F115">
            <v>0</v>
          </cell>
        </row>
        <row r="116">
          <cell r="A116">
            <v>45308</v>
          </cell>
          <cell r="B116" t="str">
            <v>LM</v>
          </cell>
          <cell r="C116">
            <v>0</v>
          </cell>
          <cell r="D116">
            <v>545</v>
          </cell>
          <cell r="E116">
            <v>0</v>
          </cell>
          <cell r="F116">
            <v>0</v>
          </cell>
        </row>
        <row r="117">
          <cell r="A117">
            <v>45308</v>
          </cell>
          <cell r="B117" t="str">
            <v>Rauchen</v>
          </cell>
          <cell r="C117">
            <v>0</v>
          </cell>
          <cell r="D117">
            <v>170</v>
          </cell>
          <cell r="E117">
            <v>0</v>
          </cell>
          <cell r="F117">
            <v>0</v>
          </cell>
        </row>
        <row r="118">
          <cell r="A118">
            <v>45308</v>
          </cell>
          <cell r="B118" t="str">
            <v>for me</v>
          </cell>
          <cell r="C118">
            <v>0</v>
          </cell>
          <cell r="D118">
            <v>0</v>
          </cell>
          <cell r="E118">
            <v>0</v>
          </cell>
          <cell r="F118">
            <v>707</v>
          </cell>
        </row>
        <row r="119">
          <cell r="A119">
            <v>45308</v>
          </cell>
          <cell r="B119" t="str">
            <v>Kleidung</v>
          </cell>
          <cell r="C119">
            <v>0</v>
          </cell>
          <cell r="D119">
            <v>2526</v>
          </cell>
          <cell r="E119">
            <v>0</v>
          </cell>
          <cell r="F119">
            <v>0</v>
          </cell>
        </row>
        <row r="120">
          <cell r="A120">
            <v>45308</v>
          </cell>
          <cell r="B120" t="str">
            <v>VM</v>
          </cell>
          <cell r="C120">
            <v>2500</v>
          </cell>
          <cell r="D120">
            <v>2265</v>
          </cell>
          <cell r="E120">
            <v>0</v>
          </cell>
          <cell r="F120">
            <v>0</v>
          </cell>
        </row>
        <row r="122">
          <cell r="A122">
            <v>45309</v>
          </cell>
          <cell r="B122" t="str">
            <v>LM</v>
          </cell>
          <cell r="C122">
            <v>0</v>
          </cell>
          <cell r="D122">
            <v>1170</v>
          </cell>
          <cell r="E122">
            <v>0</v>
          </cell>
          <cell r="F122">
            <v>0</v>
          </cell>
        </row>
        <row r="123">
          <cell r="A123">
            <v>45309</v>
          </cell>
          <cell r="B123" t="str">
            <v>Refill</v>
          </cell>
          <cell r="C123">
            <v>4600</v>
          </cell>
          <cell r="D123">
            <v>0</v>
          </cell>
          <cell r="E123">
            <v>0</v>
          </cell>
          <cell r="F123">
            <v>0</v>
          </cell>
        </row>
        <row r="124">
          <cell r="A124">
            <v>45309</v>
          </cell>
          <cell r="B124" t="str">
            <v>VM</v>
          </cell>
          <cell r="C124">
            <v>0</v>
          </cell>
          <cell r="D124">
            <v>183</v>
          </cell>
          <cell r="E124">
            <v>0</v>
          </cell>
          <cell r="F124">
            <v>0</v>
          </cell>
        </row>
        <row r="125">
          <cell r="A125">
            <v>45309</v>
          </cell>
          <cell r="B125" t="str">
            <v>none</v>
          </cell>
          <cell r="C125">
            <v>0</v>
          </cell>
          <cell r="D125">
            <v>780</v>
          </cell>
          <cell r="E125">
            <v>780</v>
          </cell>
          <cell r="F125">
            <v>0</v>
          </cell>
        </row>
        <row r="128">
          <cell r="A128">
            <v>45310</v>
          </cell>
          <cell r="B128" t="str">
            <v>Party</v>
          </cell>
          <cell r="C128">
            <v>0</v>
          </cell>
          <cell r="D128">
            <v>775</v>
          </cell>
          <cell r="E128">
            <v>0</v>
          </cell>
          <cell r="F128">
            <v>0</v>
          </cell>
        </row>
        <row r="129">
          <cell r="A129">
            <v>45310</v>
          </cell>
          <cell r="B129" t="str">
            <v>VM</v>
          </cell>
          <cell r="C129">
            <v>0</v>
          </cell>
          <cell r="D129">
            <v>122</v>
          </cell>
          <cell r="E129">
            <v>0</v>
          </cell>
          <cell r="F129">
            <v>0</v>
          </cell>
        </row>
        <row r="130">
          <cell r="A130">
            <v>45310</v>
          </cell>
          <cell r="B130" t="str">
            <v>VM</v>
          </cell>
          <cell r="C130">
            <v>0</v>
          </cell>
          <cell r="D130">
            <v>1899</v>
          </cell>
          <cell r="E130">
            <v>0</v>
          </cell>
          <cell r="F130">
            <v>0</v>
          </cell>
        </row>
        <row r="131">
          <cell r="A131">
            <v>45310</v>
          </cell>
          <cell r="B131" t="str">
            <v>VM</v>
          </cell>
          <cell r="C131">
            <v>0</v>
          </cell>
          <cell r="D131">
            <v>1350</v>
          </cell>
          <cell r="E131">
            <v>0</v>
          </cell>
          <cell r="F131">
            <v>0</v>
          </cell>
        </row>
        <row r="142">
          <cell r="A142">
            <v>45312</v>
          </cell>
          <cell r="B142" t="str">
            <v>Party</v>
          </cell>
          <cell r="C142">
            <v>0</v>
          </cell>
          <cell r="D142">
            <v>4500</v>
          </cell>
          <cell r="E142">
            <v>0</v>
          </cell>
          <cell r="F142">
            <v>0</v>
          </cell>
        </row>
        <row r="143">
          <cell r="A143">
            <v>45312</v>
          </cell>
          <cell r="B143" t="str">
            <v>VM</v>
          </cell>
          <cell r="C143">
            <v>0</v>
          </cell>
          <cell r="D143">
            <v>61</v>
          </cell>
          <cell r="E143">
            <v>0</v>
          </cell>
          <cell r="F143">
            <v>0</v>
          </cell>
        </row>
        <row r="144">
          <cell r="A144">
            <v>45312</v>
          </cell>
          <cell r="B144" t="str">
            <v>LM</v>
          </cell>
          <cell r="C144">
            <v>0</v>
          </cell>
          <cell r="D144">
            <v>300</v>
          </cell>
          <cell r="E144">
            <v>0</v>
          </cell>
          <cell r="F144">
            <v>0</v>
          </cell>
        </row>
        <row r="145">
          <cell r="A145">
            <v>45312</v>
          </cell>
          <cell r="B145" t="str">
            <v>LM</v>
          </cell>
          <cell r="C145">
            <v>0</v>
          </cell>
          <cell r="D145">
            <v>309.99</v>
          </cell>
          <cell r="E145">
            <v>0</v>
          </cell>
          <cell r="F145">
            <v>0</v>
          </cell>
        </row>
        <row r="146">
          <cell r="A146">
            <v>45312</v>
          </cell>
          <cell r="B146" t="str">
            <v>VM</v>
          </cell>
          <cell r="C146">
            <v>0</v>
          </cell>
          <cell r="D146">
            <v>122</v>
          </cell>
          <cell r="E146">
            <v>0</v>
          </cell>
          <cell r="F146">
            <v>0</v>
          </cell>
        </row>
        <row r="147">
          <cell r="A147">
            <v>45312</v>
          </cell>
          <cell r="B147" t="str">
            <v>Rauchen</v>
          </cell>
          <cell r="C147">
            <v>0</v>
          </cell>
          <cell r="D147">
            <v>0</v>
          </cell>
          <cell r="E147">
            <v>0</v>
          </cell>
          <cell r="F147">
            <v>150</v>
          </cell>
        </row>
        <row r="149">
          <cell r="A149">
            <v>45313</v>
          </cell>
          <cell r="B149" t="str">
            <v>LM</v>
          </cell>
          <cell r="C149">
            <v>0</v>
          </cell>
          <cell r="D149">
            <v>1536.85</v>
          </cell>
          <cell r="E149">
            <v>0</v>
          </cell>
          <cell r="F149">
            <v>0</v>
          </cell>
        </row>
        <row r="150">
          <cell r="A150">
            <v>45313</v>
          </cell>
          <cell r="B150" t="str">
            <v>Andere</v>
          </cell>
          <cell r="C150">
            <v>0</v>
          </cell>
          <cell r="D150">
            <v>87.75</v>
          </cell>
          <cell r="E150">
            <v>0</v>
          </cell>
          <cell r="F150">
            <v>0</v>
          </cell>
        </row>
        <row r="156">
          <cell r="A156">
            <v>45314</v>
          </cell>
          <cell r="B156" t="str">
            <v>LM</v>
          </cell>
          <cell r="C156">
            <v>0</v>
          </cell>
          <cell r="D156">
            <v>384</v>
          </cell>
          <cell r="E156">
            <v>0</v>
          </cell>
          <cell r="F156">
            <v>0</v>
          </cell>
        </row>
        <row r="157">
          <cell r="A157">
            <v>45314</v>
          </cell>
          <cell r="B157" t="str">
            <v>Rauchen</v>
          </cell>
          <cell r="C157">
            <v>0</v>
          </cell>
          <cell r="D157">
            <v>170</v>
          </cell>
          <cell r="E157">
            <v>0</v>
          </cell>
          <cell r="F157">
            <v>0</v>
          </cell>
        </row>
        <row r="158">
          <cell r="A158">
            <v>45314</v>
          </cell>
          <cell r="B158" t="str">
            <v>Party</v>
          </cell>
          <cell r="C158">
            <v>0</v>
          </cell>
          <cell r="D158">
            <v>1900</v>
          </cell>
          <cell r="E158">
            <v>0</v>
          </cell>
          <cell r="F158">
            <v>0</v>
          </cell>
        </row>
        <row r="163">
          <cell r="A163">
            <v>45315</v>
          </cell>
          <cell r="B163" t="str">
            <v>Refill</v>
          </cell>
          <cell r="C163">
            <v>7042.9</v>
          </cell>
          <cell r="D163">
            <v>0</v>
          </cell>
          <cell r="E163">
            <v>0</v>
          </cell>
          <cell r="F163">
            <v>0</v>
          </cell>
        </row>
        <row r="164">
          <cell r="A164">
            <v>45315</v>
          </cell>
          <cell r="B164" t="str">
            <v>LM</v>
          </cell>
          <cell r="C164">
            <v>0</v>
          </cell>
          <cell r="D164">
            <v>720</v>
          </cell>
          <cell r="E164">
            <v>0</v>
          </cell>
          <cell r="F164">
            <v>0</v>
          </cell>
        </row>
        <row r="165">
          <cell r="A165">
            <v>45315</v>
          </cell>
          <cell r="B165" t="str">
            <v>Andere</v>
          </cell>
          <cell r="C165">
            <v>0</v>
          </cell>
          <cell r="D165">
            <v>4000</v>
          </cell>
          <cell r="E165">
            <v>0</v>
          </cell>
          <cell r="F165">
            <v>0</v>
          </cell>
        </row>
        <row r="166">
          <cell r="A166">
            <v>45315</v>
          </cell>
          <cell r="B166" t="str">
            <v>VM</v>
          </cell>
          <cell r="C166">
            <v>0</v>
          </cell>
          <cell r="D166">
            <v>122</v>
          </cell>
          <cell r="E166">
            <v>0</v>
          </cell>
          <cell r="F166">
            <v>0</v>
          </cell>
        </row>
        <row r="167">
          <cell r="A167">
            <v>45315</v>
          </cell>
          <cell r="B167" t="str">
            <v>none</v>
          </cell>
          <cell r="C167">
            <v>0</v>
          </cell>
          <cell r="D167">
            <v>2000</v>
          </cell>
          <cell r="E167">
            <v>2000</v>
          </cell>
          <cell r="F167">
            <v>0</v>
          </cell>
        </row>
        <row r="170">
          <cell r="A170">
            <v>45316</v>
          </cell>
          <cell r="B170" t="str">
            <v>VM</v>
          </cell>
          <cell r="C170">
            <v>0</v>
          </cell>
          <cell r="D170">
            <v>61</v>
          </cell>
          <cell r="E170">
            <v>0</v>
          </cell>
          <cell r="F170">
            <v>0</v>
          </cell>
        </row>
        <row r="177">
          <cell r="A177">
            <v>45317</v>
          </cell>
          <cell r="B177" t="str">
            <v>LM</v>
          </cell>
          <cell r="C177">
            <v>0</v>
          </cell>
          <cell r="D177">
            <v>585</v>
          </cell>
          <cell r="E177">
            <v>0</v>
          </cell>
          <cell r="F177">
            <v>0</v>
          </cell>
        </row>
        <row r="178">
          <cell r="A178">
            <v>45317</v>
          </cell>
          <cell r="B178" t="str">
            <v>Rauchen</v>
          </cell>
          <cell r="C178">
            <v>0</v>
          </cell>
          <cell r="D178">
            <v>170</v>
          </cell>
          <cell r="E178">
            <v>0</v>
          </cell>
          <cell r="F178">
            <v>0</v>
          </cell>
        </row>
        <row r="179">
          <cell r="A179">
            <v>45317</v>
          </cell>
          <cell r="B179" t="str">
            <v>LM</v>
          </cell>
          <cell r="C179">
            <v>0</v>
          </cell>
          <cell r="D179">
            <v>2390</v>
          </cell>
          <cell r="E179">
            <v>0</v>
          </cell>
          <cell r="F179">
            <v>0</v>
          </cell>
        </row>
        <row r="180">
          <cell r="A180">
            <v>45317</v>
          </cell>
          <cell r="B180" t="str">
            <v>Party</v>
          </cell>
          <cell r="C180">
            <v>0</v>
          </cell>
          <cell r="D180">
            <v>1970</v>
          </cell>
          <cell r="E180">
            <v>0</v>
          </cell>
          <cell r="F180">
            <v>0</v>
          </cell>
        </row>
        <row r="181">
          <cell r="A181">
            <v>45317</v>
          </cell>
          <cell r="B181" t="str">
            <v>none</v>
          </cell>
          <cell r="C181">
            <v>0</v>
          </cell>
          <cell r="D181">
            <v>1500</v>
          </cell>
          <cell r="E181">
            <v>1500</v>
          </cell>
          <cell r="F181">
            <v>0</v>
          </cell>
        </row>
        <row r="182">
          <cell r="A182">
            <v>45317</v>
          </cell>
          <cell r="B182" t="str">
            <v>none</v>
          </cell>
          <cell r="C182">
            <v>0</v>
          </cell>
          <cell r="D182">
            <v>1000</v>
          </cell>
          <cell r="E182">
            <v>1000</v>
          </cell>
          <cell r="F182">
            <v>0</v>
          </cell>
        </row>
        <row r="184">
          <cell r="A184">
            <v>45318</v>
          </cell>
          <cell r="B184" t="str">
            <v>LM</v>
          </cell>
          <cell r="C184">
            <v>0</v>
          </cell>
          <cell r="D184">
            <v>150</v>
          </cell>
          <cell r="E184">
            <v>0</v>
          </cell>
          <cell r="F184">
            <v>0</v>
          </cell>
        </row>
        <row r="185">
          <cell r="A185">
            <v>45318</v>
          </cell>
          <cell r="B185" t="str">
            <v>Frauen</v>
          </cell>
          <cell r="C185">
            <v>0</v>
          </cell>
          <cell r="D185">
            <v>1030</v>
          </cell>
          <cell r="E185">
            <v>0</v>
          </cell>
          <cell r="F185">
            <v>0</v>
          </cell>
        </row>
        <row r="186">
          <cell r="A186">
            <v>45318</v>
          </cell>
          <cell r="B186" t="str">
            <v>LM</v>
          </cell>
          <cell r="C186">
            <v>0</v>
          </cell>
          <cell r="D186">
            <v>1000</v>
          </cell>
          <cell r="E186">
            <v>0</v>
          </cell>
          <cell r="F186">
            <v>0</v>
          </cell>
        </row>
        <row r="187">
          <cell r="A187">
            <v>45318</v>
          </cell>
          <cell r="B187" t="str">
            <v>none</v>
          </cell>
          <cell r="C187">
            <v>0</v>
          </cell>
          <cell r="D187">
            <v>2000</v>
          </cell>
          <cell r="E187">
            <v>2000</v>
          </cell>
          <cell r="F187">
            <v>0</v>
          </cell>
        </row>
        <row r="188">
          <cell r="A188">
            <v>45318</v>
          </cell>
          <cell r="B188" t="str">
            <v>VM</v>
          </cell>
          <cell r="C188">
            <v>0</v>
          </cell>
          <cell r="D188">
            <v>61</v>
          </cell>
          <cell r="E188">
            <v>0</v>
          </cell>
          <cell r="F188">
            <v>0</v>
          </cell>
        </row>
        <row r="191">
          <cell r="A191">
            <v>45319</v>
          </cell>
          <cell r="B191" t="str">
            <v>Andere</v>
          </cell>
          <cell r="C191">
            <v>0</v>
          </cell>
          <cell r="D191">
            <v>299</v>
          </cell>
          <cell r="E191">
            <v>0</v>
          </cell>
          <cell r="F191">
            <v>0</v>
          </cell>
        </row>
        <row r="192">
          <cell r="A192">
            <v>45319</v>
          </cell>
          <cell r="B192" t="str">
            <v>Rauchen</v>
          </cell>
          <cell r="C192">
            <v>0</v>
          </cell>
          <cell r="D192">
            <v>150</v>
          </cell>
          <cell r="E192">
            <v>0</v>
          </cell>
          <cell r="F192">
            <v>0</v>
          </cell>
        </row>
        <row r="193">
          <cell r="A193">
            <v>45319</v>
          </cell>
          <cell r="B193" t="str">
            <v>LM</v>
          </cell>
          <cell r="C193">
            <v>0</v>
          </cell>
          <cell r="D193">
            <v>233</v>
          </cell>
          <cell r="E193">
            <v>0</v>
          </cell>
          <cell r="F193">
            <v>0</v>
          </cell>
        </row>
        <row r="194">
          <cell r="A194">
            <v>45319</v>
          </cell>
          <cell r="B194" t="str">
            <v>VM</v>
          </cell>
          <cell r="C194">
            <v>0</v>
          </cell>
          <cell r="D194">
            <v>122</v>
          </cell>
          <cell r="E194">
            <v>0</v>
          </cell>
          <cell r="F194">
            <v>0</v>
          </cell>
        </row>
        <row r="195">
          <cell r="A195">
            <v>45319</v>
          </cell>
          <cell r="B195" t="str">
            <v>VM</v>
          </cell>
          <cell r="C195">
            <v>0</v>
          </cell>
          <cell r="D195">
            <v>704</v>
          </cell>
          <cell r="E195">
            <v>0</v>
          </cell>
          <cell r="F195">
            <v>0</v>
          </cell>
        </row>
        <row r="198">
          <cell r="A198">
            <v>45320</v>
          </cell>
          <cell r="B198" t="str">
            <v>VM</v>
          </cell>
          <cell r="C198">
            <v>0</v>
          </cell>
          <cell r="D198">
            <v>696</v>
          </cell>
          <cell r="E198">
            <v>0</v>
          </cell>
          <cell r="F198">
            <v>0</v>
          </cell>
        </row>
        <row r="199">
          <cell r="A199">
            <v>45320</v>
          </cell>
          <cell r="B199" t="str">
            <v>LM</v>
          </cell>
          <cell r="C199">
            <v>0</v>
          </cell>
          <cell r="D199">
            <v>959</v>
          </cell>
          <cell r="E199">
            <v>0</v>
          </cell>
          <cell r="F199">
            <v>0</v>
          </cell>
        </row>
        <row r="200">
          <cell r="A200">
            <v>45320</v>
          </cell>
          <cell r="B200" t="str">
            <v>Frauen</v>
          </cell>
          <cell r="C200">
            <v>0</v>
          </cell>
          <cell r="D200">
            <v>827</v>
          </cell>
          <cell r="E200">
            <v>0</v>
          </cell>
          <cell r="F200">
            <v>0</v>
          </cell>
        </row>
        <row r="205">
          <cell r="A205">
            <v>45321</v>
          </cell>
          <cell r="B205" t="str">
            <v>Andere</v>
          </cell>
          <cell r="C205">
            <v>0</v>
          </cell>
          <cell r="D205">
            <v>598</v>
          </cell>
          <cell r="E205">
            <v>0</v>
          </cell>
          <cell r="F205">
            <v>0</v>
          </cell>
        </row>
        <row r="206">
          <cell r="A206">
            <v>45321</v>
          </cell>
          <cell r="B206" t="str">
            <v>LM</v>
          </cell>
          <cell r="C206">
            <v>0</v>
          </cell>
          <cell r="D206">
            <v>414</v>
          </cell>
          <cell r="E206">
            <v>0</v>
          </cell>
          <cell r="F206">
            <v>0</v>
          </cell>
        </row>
        <row r="207">
          <cell r="A207">
            <v>45321</v>
          </cell>
          <cell r="B207" t="str">
            <v>Rauchen</v>
          </cell>
          <cell r="C207">
            <v>0</v>
          </cell>
          <cell r="D207">
            <v>0</v>
          </cell>
          <cell r="E207">
            <v>0</v>
          </cell>
          <cell r="F207">
            <v>153</v>
          </cell>
        </row>
        <row r="212">
          <cell r="A212">
            <v>45322</v>
          </cell>
          <cell r="B212" t="str">
            <v>Frauen</v>
          </cell>
          <cell r="C212">
            <v>0</v>
          </cell>
          <cell r="D212">
            <v>2589</v>
          </cell>
          <cell r="E212">
            <v>0</v>
          </cell>
          <cell r="F212">
            <v>0</v>
          </cell>
        </row>
        <row r="213">
          <cell r="A213">
            <v>45322</v>
          </cell>
          <cell r="B213" t="str">
            <v>LM</v>
          </cell>
          <cell r="C213">
            <v>0</v>
          </cell>
          <cell r="D213">
            <v>960.15</v>
          </cell>
          <cell r="E213">
            <v>0</v>
          </cell>
          <cell r="F213">
            <v>0</v>
          </cell>
        </row>
        <row r="214">
          <cell r="A214">
            <v>45322</v>
          </cell>
          <cell r="B214" t="str">
            <v>for me</v>
          </cell>
          <cell r="C214">
            <v>0</v>
          </cell>
          <cell r="D214">
            <v>700</v>
          </cell>
          <cell r="E214">
            <v>0</v>
          </cell>
          <cell r="F214">
            <v>0</v>
          </cell>
        </row>
        <row r="215">
          <cell r="A215">
            <v>45322</v>
          </cell>
          <cell r="B215" t="str">
            <v>for me</v>
          </cell>
          <cell r="C215">
            <v>0</v>
          </cell>
          <cell r="D215">
            <v>1350</v>
          </cell>
          <cell r="E215">
            <v>0</v>
          </cell>
          <cell r="F215">
            <v>0</v>
          </cell>
        </row>
        <row r="216">
          <cell r="A216">
            <v>45322</v>
          </cell>
          <cell r="B216" t="str">
            <v>none</v>
          </cell>
          <cell r="C216">
            <v>0</v>
          </cell>
          <cell r="D216">
            <v>1350</v>
          </cell>
          <cell r="E216">
            <v>1350</v>
          </cell>
          <cell r="F216">
            <v>0</v>
          </cell>
        </row>
        <row r="217">
          <cell r="A217">
            <v>45322</v>
          </cell>
          <cell r="B217" t="str">
            <v>Refill</v>
          </cell>
          <cell r="C217">
            <v>2897.57</v>
          </cell>
          <cell r="D217">
            <v>0</v>
          </cell>
          <cell r="E217">
            <v>0</v>
          </cell>
          <cell r="F217">
            <v>0</v>
          </cell>
        </row>
      </sheetData>
      <sheetData sheetId="40">
        <row r="2">
          <cell r="A2">
            <v>45323</v>
          </cell>
          <cell r="B2" t="str">
            <v>LM</v>
          </cell>
          <cell r="C2">
            <v>0</v>
          </cell>
          <cell r="D2">
            <v>2470</v>
          </cell>
          <cell r="E2">
            <v>0</v>
          </cell>
          <cell r="F2">
            <v>0</v>
          </cell>
        </row>
        <row r="3">
          <cell r="A3">
            <v>45323</v>
          </cell>
          <cell r="B3" t="str">
            <v>VM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A4">
            <v>45323</v>
          </cell>
          <cell r="B4" t="str">
            <v>Andere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</row>
        <row r="5">
          <cell r="A5">
            <v>45323</v>
          </cell>
          <cell r="B5" t="str">
            <v>for me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A6">
            <v>45323</v>
          </cell>
          <cell r="B6" t="str">
            <v>Party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</row>
        <row r="7">
          <cell r="A7">
            <v>45323</v>
          </cell>
          <cell r="B7" t="str">
            <v>Kleidung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</row>
        <row r="9">
          <cell r="A9">
            <v>45324</v>
          </cell>
          <cell r="B9" t="str">
            <v>LM</v>
          </cell>
          <cell r="C9">
            <v>0</v>
          </cell>
          <cell r="D9">
            <v>250</v>
          </cell>
          <cell r="E9">
            <v>0</v>
          </cell>
          <cell r="F9">
            <v>0</v>
          </cell>
        </row>
        <row r="10">
          <cell r="A10">
            <v>45324</v>
          </cell>
          <cell r="B10" t="str">
            <v>Andere</v>
          </cell>
          <cell r="C10">
            <v>0</v>
          </cell>
          <cell r="D10">
            <v>400</v>
          </cell>
          <cell r="E10">
            <v>0</v>
          </cell>
          <cell r="F10">
            <v>0</v>
          </cell>
        </row>
        <row r="11">
          <cell r="A11">
            <v>45324</v>
          </cell>
          <cell r="B11" t="str">
            <v>Andere</v>
          </cell>
          <cell r="C11">
            <v>0</v>
          </cell>
          <cell r="D11">
            <v>750</v>
          </cell>
          <cell r="E11">
            <v>0</v>
          </cell>
          <cell r="F11">
            <v>0</v>
          </cell>
        </row>
        <row r="12">
          <cell r="A12">
            <v>45324</v>
          </cell>
          <cell r="B12" t="str">
            <v>Party</v>
          </cell>
          <cell r="C12">
            <v>0</v>
          </cell>
          <cell r="D12">
            <v>3750</v>
          </cell>
          <cell r="E12">
            <v>0</v>
          </cell>
          <cell r="F12">
            <v>0</v>
          </cell>
        </row>
        <row r="13">
          <cell r="A13">
            <v>45324</v>
          </cell>
          <cell r="B13" t="str">
            <v>Party</v>
          </cell>
          <cell r="C13">
            <v>0</v>
          </cell>
          <cell r="D13">
            <v>1900</v>
          </cell>
          <cell r="E13">
            <v>0</v>
          </cell>
          <cell r="F13">
            <v>0</v>
          </cell>
        </row>
        <row r="16">
          <cell r="A16">
            <v>45325</v>
          </cell>
          <cell r="B16" t="str">
            <v>LM</v>
          </cell>
          <cell r="C16">
            <v>0</v>
          </cell>
          <cell r="D16">
            <v>345</v>
          </cell>
          <cell r="E16">
            <v>0</v>
          </cell>
          <cell r="F16">
            <v>0</v>
          </cell>
        </row>
        <row r="17">
          <cell r="A17">
            <v>45325</v>
          </cell>
          <cell r="B17" t="str">
            <v>VM</v>
          </cell>
          <cell r="C17">
            <v>0</v>
          </cell>
          <cell r="D17">
            <v>122</v>
          </cell>
          <cell r="E17">
            <v>0</v>
          </cell>
          <cell r="F17">
            <v>0</v>
          </cell>
        </row>
        <row r="18">
          <cell r="A18">
            <v>45325</v>
          </cell>
          <cell r="B18" t="str">
            <v>LM</v>
          </cell>
          <cell r="C18">
            <v>0</v>
          </cell>
          <cell r="D18">
            <v>60</v>
          </cell>
          <cell r="E18">
            <v>0</v>
          </cell>
          <cell r="F18">
            <v>0</v>
          </cell>
        </row>
        <row r="19">
          <cell r="A19">
            <v>45325</v>
          </cell>
          <cell r="B19" t="str">
            <v>Andere</v>
          </cell>
          <cell r="C19">
            <v>0</v>
          </cell>
          <cell r="D19">
            <v>300</v>
          </cell>
          <cell r="E19">
            <v>0</v>
          </cell>
          <cell r="F19">
            <v>0</v>
          </cell>
        </row>
        <row r="20">
          <cell r="A20">
            <v>45325</v>
          </cell>
          <cell r="B20" t="str">
            <v>Frauen</v>
          </cell>
          <cell r="C20">
            <v>0</v>
          </cell>
          <cell r="D20">
            <v>300</v>
          </cell>
          <cell r="E20">
            <v>0</v>
          </cell>
          <cell r="F20">
            <v>0</v>
          </cell>
        </row>
        <row r="21">
          <cell r="A21">
            <v>45325</v>
          </cell>
          <cell r="B21" t="str">
            <v>VM</v>
          </cell>
          <cell r="C21">
            <v>0</v>
          </cell>
          <cell r="D21">
            <v>560</v>
          </cell>
          <cell r="E21">
            <v>0</v>
          </cell>
          <cell r="F21">
            <v>0</v>
          </cell>
        </row>
        <row r="22">
          <cell r="A22">
            <v>45325</v>
          </cell>
          <cell r="B22" t="str">
            <v>LM</v>
          </cell>
          <cell r="C22">
            <v>0</v>
          </cell>
          <cell r="D22">
            <v>791</v>
          </cell>
          <cell r="E22">
            <v>0</v>
          </cell>
          <cell r="F22">
            <v>0</v>
          </cell>
        </row>
        <row r="23">
          <cell r="A23">
            <v>45326</v>
          </cell>
          <cell r="B23" t="str">
            <v>LM</v>
          </cell>
          <cell r="C23">
            <v>0</v>
          </cell>
          <cell r="D23">
            <v>1150</v>
          </cell>
          <cell r="E23">
            <v>0</v>
          </cell>
          <cell r="F23">
            <v>0</v>
          </cell>
        </row>
        <row r="24">
          <cell r="A24">
            <v>45326</v>
          </cell>
          <cell r="B24" t="str">
            <v>Andere</v>
          </cell>
          <cell r="C24">
            <v>0</v>
          </cell>
          <cell r="D24">
            <v>2000</v>
          </cell>
          <cell r="E24">
            <v>0</v>
          </cell>
          <cell r="F24">
            <v>0</v>
          </cell>
        </row>
        <row r="25">
          <cell r="A25">
            <v>45326</v>
          </cell>
          <cell r="B25" t="str">
            <v>Frauen</v>
          </cell>
          <cell r="C25">
            <v>0</v>
          </cell>
          <cell r="D25">
            <v>2277</v>
          </cell>
          <cell r="E25">
            <v>0</v>
          </cell>
          <cell r="F25">
            <v>0</v>
          </cell>
        </row>
        <row r="26">
          <cell r="A26">
            <v>45326</v>
          </cell>
          <cell r="B26" t="str">
            <v>LM</v>
          </cell>
          <cell r="C26">
            <v>0</v>
          </cell>
          <cell r="D26">
            <v>1628</v>
          </cell>
          <cell r="E26">
            <v>0</v>
          </cell>
          <cell r="F26">
            <v>0</v>
          </cell>
        </row>
        <row r="30">
          <cell r="A30">
            <v>45327</v>
          </cell>
          <cell r="B30" t="str">
            <v>VM</v>
          </cell>
          <cell r="C30">
            <v>0</v>
          </cell>
          <cell r="D30">
            <v>1431</v>
          </cell>
          <cell r="E30">
            <v>0</v>
          </cell>
          <cell r="F30">
            <v>0</v>
          </cell>
        </row>
        <row r="31">
          <cell r="A31">
            <v>45327</v>
          </cell>
          <cell r="B31" t="str">
            <v>LM</v>
          </cell>
          <cell r="C31">
            <v>0</v>
          </cell>
          <cell r="D31">
            <v>1445</v>
          </cell>
          <cell r="E31">
            <v>0</v>
          </cell>
          <cell r="F31">
            <v>0</v>
          </cell>
        </row>
        <row r="37">
          <cell r="A37">
            <v>45328</v>
          </cell>
          <cell r="B37" t="str">
            <v>LM</v>
          </cell>
          <cell r="C37">
            <v>0</v>
          </cell>
          <cell r="D37">
            <v>89</v>
          </cell>
          <cell r="E37">
            <v>0</v>
          </cell>
          <cell r="F37">
            <v>0</v>
          </cell>
        </row>
        <row r="38">
          <cell r="A38">
            <v>45328</v>
          </cell>
          <cell r="B38" t="str">
            <v>LM</v>
          </cell>
          <cell r="C38">
            <v>0</v>
          </cell>
          <cell r="D38">
            <v>728</v>
          </cell>
          <cell r="E38">
            <v>0</v>
          </cell>
          <cell r="F38">
            <v>0</v>
          </cell>
        </row>
        <row r="39">
          <cell r="A39">
            <v>45328</v>
          </cell>
          <cell r="B39" t="str">
            <v>VM</v>
          </cell>
          <cell r="C39">
            <v>0</v>
          </cell>
          <cell r="D39">
            <v>61</v>
          </cell>
          <cell r="E39">
            <v>0</v>
          </cell>
          <cell r="F39">
            <v>0</v>
          </cell>
        </row>
        <row r="40">
          <cell r="A40">
            <v>45328</v>
          </cell>
          <cell r="B40" t="str">
            <v>Andere</v>
          </cell>
          <cell r="C40">
            <v>0</v>
          </cell>
          <cell r="D40">
            <v>2400</v>
          </cell>
          <cell r="E40">
            <v>0</v>
          </cell>
          <cell r="F40">
            <v>0</v>
          </cell>
        </row>
        <row r="44">
          <cell r="A44">
            <v>45329</v>
          </cell>
          <cell r="B44" t="str">
            <v>VM</v>
          </cell>
          <cell r="C44">
            <v>0</v>
          </cell>
          <cell r="D44">
            <v>61</v>
          </cell>
          <cell r="E44">
            <v>0</v>
          </cell>
          <cell r="F44">
            <v>0</v>
          </cell>
        </row>
        <row r="45">
          <cell r="A45">
            <v>45329</v>
          </cell>
          <cell r="B45" t="str">
            <v>Refill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</row>
        <row r="46">
          <cell r="A46">
            <v>45329</v>
          </cell>
          <cell r="B46" t="str">
            <v>Andere</v>
          </cell>
          <cell r="C46">
            <v>0</v>
          </cell>
          <cell r="D46">
            <v>2950</v>
          </cell>
          <cell r="E46">
            <v>0</v>
          </cell>
          <cell r="F46">
            <v>0</v>
          </cell>
        </row>
        <row r="47">
          <cell r="A47">
            <v>45329</v>
          </cell>
          <cell r="B47" t="str">
            <v>LM</v>
          </cell>
          <cell r="C47">
            <v>0</v>
          </cell>
          <cell r="D47">
            <v>525</v>
          </cell>
          <cell r="E47">
            <v>0</v>
          </cell>
          <cell r="F47">
            <v>0</v>
          </cell>
        </row>
        <row r="48">
          <cell r="A48">
            <v>45329</v>
          </cell>
          <cell r="B48" t="str">
            <v>VM</v>
          </cell>
          <cell r="C48">
            <v>0</v>
          </cell>
          <cell r="D48">
            <v>122</v>
          </cell>
          <cell r="E48">
            <v>0</v>
          </cell>
          <cell r="F48">
            <v>0</v>
          </cell>
        </row>
        <row r="49">
          <cell r="A49">
            <v>45329</v>
          </cell>
          <cell r="B49" t="str">
            <v>Rauchen</v>
          </cell>
          <cell r="C49">
            <v>0</v>
          </cell>
          <cell r="D49">
            <v>0</v>
          </cell>
          <cell r="E49">
            <v>0</v>
          </cell>
          <cell r="F49">
            <v>150</v>
          </cell>
        </row>
        <row r="51">
          <cell r="A51">
            <v>45330</v>
          </cell>
          <cell r="B51" t="str">
            <v>VM</v>
          </cell>
          <cell r="C51">
            <v>0</v>
          </cell>
          <cell r="D51">
            <v>305</v>
          </cell>
          <cell r="E51">
            <v>0</v>
          </cell>
          <cell r="F51">
            <v>0</v>
          </cell>
        </row>
        <row r="52">
          <cell r="A52">
            <v>45330</v>
          </cell>
          <cell r="B52" t="str">
            <v>LM</v>
          </cell>
          <cell r="C52">
            <v>0</v>
          </cell>
          <cell r="D52">
            <v>1473</v>
          </cell>
          <cell r="E52">
            <v>0</v>
          </cell>
          <cell r="F52">
            <v>0</v>
          </cell>
        </row>
        <row r="58">
          <cell r="A58">
            <v>45331</v>
          </cell>
          <cell r="B58" t="str">
            <v>Refill</v>
          </cell>
          <cell r="C58">
            <v>81848.12</v>
          </cell>
          <cell r="D58">
            <v>0</v>
          </cell>
          <cell r="E58">
            <v>0</v>
          </cell>
          <cell r="F58">
            <v>0</v>
          </cell>
        </row>
        <row r="59">
          <cell r="A59">
            <v>45331</v>
          </cell>
          <cell r="B59" t="str">
            <v>LM</v>
          </cell>
          <cell r="C59">
            <v>0</v>
          </cell>
          <cell r="D59">
            <v>430</v>
          </cell>
          <cell r="E59">
            <v>0</v>
          </cell>
          <cell r="F59">
            <v>0</v>
          </cell>
        </row>
        <row r="60">
          <cell r="A60">
            <v>45331</v>
          </cell>
          <cell r="B60" t="str">
            <v>LM</v>
          </cell>
          <cell r="C60">
            <v>0</v>
          </cell>
          <cell r="D60">
            <v>89</v>
          </cell>
          <cell r="E60">
            <v>0</v>
          </cell>
          <cell r="F60">
            <v>0</v>
          </cell>
        </row>
        <row r="61">
          <cell r="A61">
            <v>45331</v>
          </cell>
          <cell r="B61" t="str">
            <v>Party</v>
          </cell>
          <cell r="C61">
            <v>0</v>
          </cell>
          <cell r="D61">
            <v>1300</v>
          </cell>
          <cell r="E61">
            <v>0</v>
          </cell>
          <cell r="F61">
            <v>0</v>
          </cell>
        </row>
        <row r="62">
          <cell r="A62">
            <v>45331</v>
          </cell>
          <cell r="B62" t="str">
            <v>VM</v>
          </cell>
          <cell r="C62">
            <v>0</v>
          </cell>
          <cell r="D62">
            <v>1705</v>
          </cell>
          <cell r="E62">
            <v>0</v>
          </cell>
          <cell r="F62">
            <v>0</v>
          </cell>
        </row>
        <row r="63">
          <cell r="A63">
            <v>45331</v>
          </cell>
          <cell r="B63" t="str">
            <v>VM</v>
          </cell>
          <cell r="C63">
            <v>0</v>
          </cell>
          <cell r="D63">
            <v>122</v>
          </cell>
          <cell r="E63">
            <v>0</v>
          </cell>
          <cell r="F63">
            <v>0</v>
          </cell>
        </row>
        <row r="64">
          <cell r="A64">
            <v>45331</v>
          </cell>
          <cell r="B64" t="str">
            <v>Rauchen</v>
          </cell>
          <cell r="C64">
            <v>0</v>
          </cell>
          <cell r="D64">
            <v>0</v>
          </cell>
          <cell r="E64">
            <v>0</v>
          </cell>
          <cell r="F64">
            <v>150</v>
          </cell>
        </row>
        <row r="65">
          <cell r="A65">
            <v>45332</v>
          </cell>
          <cell r="B65" t="str">
            <v>VM</v>
          </cell>
          <cell r="C65">
            <v>0</v>
          </cell>
          <cell r="D65">
            <v>1732</v>
          </cell>
          <cell r="E65">
            <v>0</v>
          </cell>
          <cell r="F65">
            <v>0</v>
          </cell>
        </row>
        <row r="66">
          <cell r="A66">
            <v>45332</v>
          </cell>
          <cell r="B66" t="str">
            <v>LM</v>
          </cell>
          <cell r="C66">
            <v>0</v>
          </cell>
          <cell r="D66">
            <v>1094</v>
          </cell>
          <cell r="E66">
            <v>0</v>
          </cell>
          <cell r="F66">
            <v>0</v>
          </cell>
        </row>
        <row r="67">
          <cell r="A67">
            <v>45332</v>
          </cell>
          <cell r="B67" t="str">
            <v>none</v>
          </cell>
          <cell r="C67">
            <v>0</v>
          </cell>
          <cell r="D67">
            <v>3000</v>
          </cell>
          <cell r="E67">
            <v>3000</v>
          </cell>
          <cell r="F67">
            <v>0</v>
          </cell>
        </row>
        <row r="68">
          <cell r="A68">
            <v>45332</v>
          </cell>
          <cell r="B68" t="str">
            <v>Rauchen</v>
          </cell>
          <cell r="C68">
            <v>0</v>
          </cell>
          <cell r="D68">
            <v>0</v>
          </cell>
          <cell r="E68">
            <v>0</v>
          </cell>
          <cell r="F68">
            <v>150</v>
          </cell>
        </row>
        <row r="79">
          <cell r="A79">
            <v>45334</v>
          </cell>
          <cell r="B79" t="str">
            <v>Frauen</v>
          </cell>
          <cell r="C79">
            <v>0</v>
          </cell>
          <cell r="D79">
            <v>4010</v>
          </cell>
          <cell r="E79">
            <v>0</v>
          </cell>
          <cell r="F79">
            <v>0</v>
          </cell>
        </row>
        <row r="80">
          <cell r="A80">
            <v>45334</v>
          </cell>
          <cell r="B80" t="str">
            <v>Rauchen</v>
          </cell>
          <cell r="C80">
            <v>0</v>
          </cell>
          <cell r="D80">
            <v>0</v>
          </cell>
          <cell r="E80">
            <v>0</v>
          </cell>
          <cell r="F80">
            <v>150</v>
          </cell>
        </row>
        <row r="86">
          <cell r="A86">
            <v>45335</v>
          </cell>
          <cell r="B86" t="str">
            <v>for me</v>
          </cell>
          <cell r="C86">
            <v>0</v>
          </cell>
          <cell r="D86">
            <v>10000</v>
          </cell>
          <cell r="E86">
            <v>0</v>
          </cell>
          <cell r="F86">
            <v>0</v>
          </cell>
        </row>
        <row r="87">
          <cell r="A87">
            <v>45335</v>
          </cell>
          <cell r="B87" t="str">
            <v>LM</v>
          </cell>
          <cell r="C87">
            <v>0</v>
          </cell>
          <cell r="D87">
            <v>990</v>
          </cell>
          <cell r="E87">
            <v>0</v>
          </cell>
          <cell r="F87">
            <v>0</v>
          </cell>
        </row>
        <row r="88">
          <cell r="A88">
            <v>45335</v>
          </cell>
          <cell r="B88" t="str">
            <v>LM</v>
          </cell>
          <cell r="C88">
            <v>0</v>
          </cell>
          <cell r="D88">
            <v>426</v>
          </cell>
          <cell r="E88">
            <v>0</v>
          </cell>
          <cell r="F88">
            <v>0</v>
          </cell>
        </row>
        <row r="93">
          <cell r="A93">
            <v>45336</v>
          </cell>
          <cell r="B93" t="str">
            <v>LM</v>
          </cell>
          <cell r="C93">
            <v>0</v>
          </cell>
          <cell r="D93">
            <v>434</v>
          </cell>
          <cell r="E93">
            <v>0</v>
          </cell>
          <cell r="F93">
            <v>0</v>
          </cell>
        </row>
        <row r="95">
          <cell r="A95">
            <v>45336</v>
          </cell>
          <cell r="B95" t="str">
            <v>Rauchen</v>
          </cell>
          <cell r="C95">
            <v>0</v>
          </cell>
          <cell r="D95">
            <v>0</v>
          </cell>
          <cell r="E95">
            <v>0</v>
          </cell>
          <cell r="F95">
            <v>300</v>
          </cell>
        </row>
        <row r="100">
          <cell r="A100">
            <v>45337</v>
          </cell>
          <cell r="B100" t="str">
            <v>LM</v>
          </cell>
          <cell r="C100">
            <v>0</v>
          </cell>
          <cell r="D100">
            <v>1040</v>
          </cell>
          <cell r="E100">
            <v>0</v>
          </cell>
          <cell r="F100">
            <v>0</v>
          </cell>
        </row>
        <row r="107">
          <cell r="A107">
            <v>45338</v>
          </cell>
          <cell r="B107" t="str">
            <v>Party</v>
          </cell>
          <cell r="C107">
            <v>0</v>
          </cell>
          <cell r="D107">
            <v>1600</v>
          </cell>
          <cell r="E107">
            <v>0</v>
          </cell>
          <cell r="F107">
            <v>0</v>
          </cell>
        </row>
        <row r="108">
          <cell r="A108">
            <v>45338</v>
          </cell>
          <cell r="B108" t="str">
            <v>LM</v>
          </cell>
          <cell r="C108">
            <v>0</v>
          </cell>
          <cell r="D108">
            <v>1714.33</v>
          </cell>
          <cell r="E108">
            <v>0</v>
          </cell>
          <cell r="F108">
            <v>0</v>
          </cell>
        </row>
        <row r="109">
          <cell r="A109">
            <v>45338</v>
          </cell>
          <cell r="B109" t="str">
            <v>VM</v>
          </cell>
          <cell r="C109">
            <v>0</v>
          </cell>
          <cell r="D109">
            <v>122</v>
          </cell>
          <cell r="E109">
            <v>0</v>
          </cell>
          <cell r="F109">
            <v>0</v>
          </cell>
        </row>
        <row r="114">
          <cell r="A114">
            <v>45339</v>
          </cell>
          <cell r="B114" t="str">
            <v>rent</v>
          </cell>
          <cell r="C114">
            <v>0</v>
          </cell>
          <cell r="D114">
            <v>0</v>
          </cell>
          <cell r="E114">
            <v>0</v>
          </cell>
          <cell r="F114">
            <v>55059</v>
          </cell>
        </row>
        <row r="115">
          <cell r="A115">
            <v>45339</v>
          </cell>
          <cell r="B115" t="str">
            <v>none</v>
          </cell>
          <cell r="C115">
            <v>0</v>
          </cell>
          <cell r="D115">
            <v>55000</v>
          </cell>
          <cell r="E115">
            <v>55000</v>
          </cell>
          <cell r="F115">
            <v>0</v>
          </cell>
        </row>
        <row r="116">
          <cell r="A116">
            <v>45339</v>
          </cell>
          <cell r="B116" t="str">
            <v>LM</v>
          </cell>
          <cell r="C116">
            <v>0</v>
          </cell>
          <cell r="D116">
            <v>1408.98</v>
          </cell>
          <cell r="E116">
            <v>0</v>
          </cell>
          <cell r="F116">
            <v>0</v>
          </cell>
        </row>
        <row r="117">
          <cell r="A117">
            <v>45339</v>
          </cell>
          <cell r="B117" t="str">
            <v>Andere</v>
          </cell>
          <cell r="C117">
            <v>0</v>
          </cell>
          <cell r="D117">
            <v>1300</v>
          </cell>
          <cell r="E117">
            <v>0</v>
          </cell>
          <cell r="F117">
            <v>0</v>
          </cell>
        </row>
        <row r="118">
          <cell r="A118">
            <v>45339</v>
          </cell>
          <cell r="B118" t="str">
            <v>VM</v>
          </cell>
          <cell r="C118">
            <v>0</v>
          </cell>
          <cell r="D118">
            <v>122</v>
          </cell>
          <cell r="E118">
            <v>0</v>
          </cell>
          <cell r="F118">
            <v>0</v>
          </cell>
        </row>
        <row r="121">
          <cell r="A121">
            <v>45340</v>
          </cell>
          <cell r="B121" t="str">
            <v>VM</v>
          </cell>
          <cell r="C121">
            <v>0</v>
          </cell>
          <cell r="D121">
            <v>909</v>
          </cell>
          <cell r="E121">
            <v>0</v>
          </cell>
          <cell r="F121">
            <v>0</v>
          </cell>
        </row>
        <row r="122">
          <cell r="A122">
            <v>45340</v>
          </cell>
          <cell r="B122" t="str">
            <v>Party</v>
          </cell>
          <cell r="C122">
            <v>0</v>
          </cell>
          <cell r="D122">
            <v>2700</v>
          </cell>
          <cell r="E122">
            <v>0</v>
          </cell>
          <cell r="F122">
            <v>0</v>
          </cell>
        </row>
        <row r="123">
          <cell r="A123">
            <v>45340</v>
          </cell>
          <cell r="B123" t="str">
            <v>LM</v>
          </cell>
          <cell r="C123">
            <v>0</v>
          </cell>
          <cell r="D123">
            <v>1950</v>
          </cell>
          <cell r="E123">
            <v>0</v>
          </cell>
          <cell r="F123">
            <v>0</v>
          </cell>
        </row>
        <row r="124">
          <cell r="A124">
            <v>45340</v>
          </cell>
          <cell r="B124" t="str">
            <v>none</v>
          </cell>
          <cell r="C124">
            <v>0</v>
          </cell>
          <cell r="D124">
            <v>21447</v>
          </cell>
          <cell r="E124">
            <v>0</v>
          </cell>
          <cell r="F124">
            <v>0</v>
          </cell>
        </row>
        <row r="125">
          <cell r="A125">
            <v>45340</v>
          </cell>
          <cell r="B125" t="str">
            <v>Rauchen</v>
          </cell>
          <cell r="C125">
            <v>0</v>
          </cell>
          <cell r="D125">
            <v>0</v>
          </cell>
          <cell r="E125">
            <v>0</v>
          </cell>
          <cell r="F125">
            <v>303</v>
          </cell>
        </row>
        <row r="128">
          <cell r="A128">
            <v>45341</v>
          </cell>
          <cell r="B128" t="str">
            <v>VM</v>
          </cell>
          <cell r="C128">
            <v>0</v>
          </cell>
          <cell r="D128">
            <v>366</v>
          </cell>
          <cell r="E128">
            <v>0</v>
          </cell>
          <cell r="F128">
            <v>0</v>
          </cell>
        </row>
        <row r="129">
          <cell r="A129">
            <v>45341</v>
          </cell>
          <cell r="B129" t="str">
            <v>LM</v>
          </cell>
          <cell r="C129">
            <v>0</v>
          </cell>
          <cell r="D129">
            <v>770</v>
          </cell>
          <cell r="E129">
            <v>0</v>
          </cell>
          <cell r="F129">
            <v>0</v>
          </cell>
        </row>
        <row r="135">
          <cell r="A135">
            <v>45342</v>
          </cell>
          <cell r="B135" t="str">
            <v>LM</v>
          </cell>
          <cell r="C135">
            <v>0</v>
          </cell>
          <cell r="D135">
            <v>1473</v>
          </cell>
          <cell r="E135">
            <v>0</v>
          </cell>
          <cell r="F135">
            <v>0</v>
          </cell>
        </row>
        <row r="136">
          <cell r="A136">
            <v>45342</v>
          </cell>
          <cell r="B136" t="str">
            <v>none</v>
          </cell>
          <cell r="C136">
            <v>0</v>
          </cell>
          <cell r="D136">
            <v>70336</v>
          </cell>
          <cell r="E136">
            <v>0</v>
          </cell>
          <cell r="F136">
            <v>0</v>
          </cell>
        </row>
        <row r="137">
          <cell r="A137">
            <v>45342</v>
          </cell>
          <cell r="B137" t="str">
            <v>Party</v>
          </cell>
          <cell r="C137">
            <v>0</v>
          </cell>
          <cell r="D137">
            <v>5740</v>
          </cell>
          <cell r="E137">
            <v>0</v>
          </cell>
          <cell r="F137">
            <v>0</v>
          </cell>
        </row>
        <row r="138">
          <cell r="A138">
            <v>45342</v>
          </cell>
          <cell r="B138" t="str">
            <v>Frauen</v>
          </cell>
          <cell r="C138">
            <v>0</v>
          </cell>
          <cell r="D138">
            <v>1500</v>
          </cell>
          <cell r="E138">
            <v>0</v>
          </cell>
          <cell r="F138">
            <v>0</v>
          </cell>
        </row>
        <row r="139">
          <cell r="A139">
            <v>45342</v>
          </cell>
          <cell r="B139" t="str">
            <v>VM</v>
          </cell>
          <cell r="C139">
            <v>0</v>
          </cell>
          <cell r="D139">
            <v>1238</v>
          </cell>
          <cell r="E139">
            <v>0</v>
          </cell>
          <cell r="F139">
            <v>0</v>
          </cell>
        </row>
        <row r="140">
          <cell r="A140">
            <v>45342</v>
          </cell>
          <cell r="B140" t="str">
            <v>LM</v>
          </cell>
          <cell r="C140">
            <v>0</v>
          </cell>
          <cell r="D140">
            <v>52.99</v>
          </cell>
          <cell r="E140">
            <v>0</v>
          </cell>
          <cell r="F140">
            <v>0</v>
          </cell>
        </row>
        <row r="142">
          <cell r="A142">
            <v>45343</v>
          </cell>
          <cell r="B142" t="str">
            <v>Rauchen</v>
          </cell>
          <cell r="C142">
            <v>0</v>
          </cell>
          <cell r="D142">
            <v>0</v>
          </cell>
          <cell r="E142">
            <v>0</v>
          </cell>
          <cell r="F142">
            <v>303</v>
          </cell>
        </row>
        <row r="149">
          <cell r="A149">
            <v>45344</v>
          </cell>
          <cell r="B149" t="str">
            <v>VM</v>
          </cell>
          <cell r="C149">
            <v>0</v>
          </cell>
          <cell r="D149">
            <v>61</v>
          </cell>
          <cell r="E149">
            <v>0</v>
          </cell>
          <cell r="F149">
            <v>0</v>
          </cell>
        </row>
        <row r="150">
          <cell r="A150">
            <v>45344</v>
          </cell>
          <cell r="B150" t="str">
            <v>Andere</v>
          </cell>
          <cell r="C150">
            <v>0</v>
          </cell>
          <cell r="D150">
            <v>703.5</v>
          </cell>
          <cell r="E150">
            <v>0</v>
          </cell>
          <cell r="F150">
            <v>0</v>
          </cell>
        </row>
        <row r="151">
          <cell r="A151">
            <v>45344</v>
          </cell>
          <cell r="B151" t="str">
            <v>Refill</v>
          </cell>
          <cell r="C151">
            <v>53734.45</v>
          </cell>
          <cell r="D151">
            <v>0</v>
          </cell>
          <cell r="E151">
            <v>0</v>
          </cell>
          <cell r="F151">
            <v>0</v>
          </cell>
        </row>
        <row r="152">
          <cell r="A152">
            <v>45344</v>
          </cell>
          <cell r="B152" t="str">
            <v>LM</v>
          </cell>
          <cell r="C152">
            <v>0</v>
          </cell>
          <cell r="D152">
            <v>700</v>
          </cell>
          <cell r="E152">
            <v>0</v>
          </cell>
          <cell r="F152">
            <v>0</v>
          </cell>
        </row>
        <row r="153">
          <cell r="A153">
            <v>45344</v>
          </cell>
          <cell r="B153" t="str">
            <v>Frauen</v>
          </cell>
          <cell r="C153">
            <v>0</v>
          </cell>
          <cell r="D153">
            <v>700</v>
          </cell>
          <cell r="E153">
            <v>0</v>
          </cell>
          <cell r="F153">
            <v>0</v>
          </cell>
        </row>
        <row r="154">
          <cell r="A154">
            <v>45344</v>
          </cell>
          <cell r="B154" t="str">
            <v>LM</v>
          </cell>
          <cell r="C154">
            <v>0</v>
          </cell>
          <cell r="D154">
            <v>3229</v>
          </cell>
          <cell r="E154">
            <v>0</v>
          </cell>
          <cell r="F154">
            <v>0</v>
          </cell>
        </row>
        <row r="155">
          <cell r="A155">
            <v>45344</v>
          </cell>
          <cell r="B155" t="str">
            <v>VM</v>
          </cell>
          <cell r="C155">
            <v>0</v>
          </cell>
          <cell r="D155">
            <v>495</v>
          </cell>
          <cell r="E155">
            <v>0</v>
          </cell>
          <cell r="F155">
            <v>0</v>
          </cell>
        </row>
        <row r="156">
          <cell r="A156">
            <v>45345</v>
          </cell>
          <cell r="B156" t="str">
            <v>VM</v>
          </cell>
          <cell r="C156">
            <v>0</v>
          </cell>
          <cell r="D156">
            <v>122</v>
          </cell>
          <cell r="E156">
            <v>0</v>
          </cell>
          <cell r="F156">
            <v>0</v>
          </cell>
        </row>
        <row r="163">
          <cell r="A163">
            <v>45346</v>
          </cell>
          <cell r="B163" t="str">
            <v>LM</v>
          </cell>
          <cell r="C163">
            <v>0</v>
          </cell>
          <cell r="D163">
            <v>1273.98</v>
          </cell>
          <cell r="E163">
            <v>0</v>
          </cell>
          <cell r="F163">
            <v>0</v>
          </cell>
        </row>
        <row r="164">
          <cell r="A164">
            <v>45346</v>
          </cell>
          <cell r="B164" t="str">
            <v>Andere</v>
          </cell>
          <cell r="C164">
            <v>0</v>
          </cell>
          <cell r="D164">
            <v>50</v>
          </cell>
          <cell r="E164">
            <v>0</v>
          </cell>
          <cell r="F164">
            <v>200</v>
          </cell>
        </row>
        <row r="170">
          <cell r="A170">
            <v>45347</v>
          </cell>
          <cell r="B170" t="str">
            <v>LM</v>
          </cell>
          <cell r="C170">
            <v>0</v>
          </cell>
          <cell r="D170">
            <v>1194</v>
          </cell>
          <cell r="E170">
            <v>0</v>
          </cell>
          <cell r="F170">
            <v>0</v>
          </cell>
        </row>
        <row r="171">
          <cell r="A171">
            <v>45347</v>
          </cell>
          <cell r="B171" t="str">
            <v>none</v>
          </cell>
          <cell r="C171">
            <v>80000</v>
          </cell>
          <cell r="D171">
            <v>0</v>
          </cell>
          <cell r="E171">
            <v>70500</v>
          </cell>
          <cell r="F171">
            <v>80000</v>
          </cell>
        </row>
        <row r="172">
          <cell r="A172">
            <v>45347</v>
          </cell>
          <cell r="B172" t="str">
            <v>none</v>
          </cell>
          <cell r="C172">
            <v>20000</v>
          </cell>
          <cell r="D172">
            <v>4020</v>
          </cell>
          <cell r="E172">
            <v>0</v>
          </cell>
          <cell r="F172">
            <v>0</v>
          </cell>
        </row>
        <row r="173">
          <cell r="A173">
            <v>45347</v>
          </cell>
          <cell r="B173" t="str">
            <v>Kleidung</v>
          </cell>
          <cell r="C173">
            <v>0</v>
          </cell>
          <cell r="D173">
            <v>2745</v>
          </cell>
          <cell r="E173">
            <v>0</v>
          </cell>
          <cell r="F173">
            <v>0</v>
          </cell>
        </row>
        <row r="174">
          <cell r="A174">
            <v>45347</v>
          </cell>
          <cell r="B174" t="str">
            <v>for me</v>
          </cell>
          <cell r="C174">
            <v>0</v>
          </cell>
          <cell r="D174">
            <v>8847</v>
          </cell>
          <cell r="E174">
            <v>0</v>
          </cell>
          <cell r="F174">
            <v>0</v>
          </cell>
        </row>
        <row r="177">
          <cell r="A177">
            <v>45348</v>
          </cell>
          <cell r="B177" t="str">
            <v>LM</v>
          </cell>
          <cell r="C177">
            <v>0</v>
          </cell>
          <cell r="D177">
            <v>250</v>
          </cell>
          <cell r="E177">
            <v>0</v>
          </cell>
          <cell r="F177">
            <v>0</v>
          </cell>
        </row>
        <row r="178">
          <cell r="A178">
            <v>45348</v>
          </cell>
          <cell r="B178" t="str">
            <v>LM</v>
          </cell>
          <cell r="C178">
            <v>0</v>
          </cell>
          <cell r="D178">
            <v>94</v>
          </cell>
          <cell r="E178">
            <v>0</v>
          </cell>
          <cell r="F178">
            <v>0</v>
          </cell>
        </row>
        <row r="179">
          <cell r="A179">
            <v>45348</v>
          </cell>
          <cell r="B179" t="str">
            <v>Rauchen</v>
          </cell>
          <cell r="C179">
            <v>0</v>
          </cell>
          <cell r="D179">
            <v>0</v>
          </cell>
          <cell r="E179">
            <v>0</v>
          </cell>
          <cell r="F179">
            <v>303</v>
          </cell>
        </row>
        <row r="184">
          <cell r="A184">
            <v>45349</v>
          </cell>
          <cell r="B184" t="str">
            <v>Andere</v>
          </cell>
          <cell r="C184">
            <v>0</v>
          </cell>
          <cell r="D184">
            <v>3336</v>
          </cell>
          <cell r="E184">
            <v>0</v>
          </cell>
          <cell r="F184">
            <v>0</v>
          </cell>
        </row>
        <row r="185">
          <cell r="A185">
            <v>45349</v>
          </cell>
          <cell r="B185" t="str">
            <v>LM</v>
          </cell>
          <cell r="C185">
            <v>0</v>
          </cell>
          <cell r="D185">
            <v>1037</v>
          </cell>
          <cell r="E185">
            <v>0</v>
          </cell>
          <cell r="F185">
            <v>0</v>
          </cell>
        </row>
        <row r="186">
          <cell r="A186">
            <v>45349</v>
          </cell>
          <cell r="B186" t="str">
            <v>Andere</v>
          </cell>
          <cell r="C186">
            <v>0</v>
          </cell>
          <cell r="D186">
            <v>299</v>
          </cell>
          <cell r="E186">
            <v>0</v>
          </cell>
          <cell r="F186">
            <v>0</v>
          </cell>
        </row>
        <row r="187">
          <cell r="A187">
            <v>45349</v>
          </cell>
          <cell r="B187" t="str">
            <v>VM</v>
          </cell>
          <cell r="C187">
            <v>0</v>
          </cell>
          <cell r="D187">
            <v>61</v>
          </cell>
          <cell r="E187">
            <v>0</v>
          </cell>
          <cell r="F187">
            <v>0</v>
          </cell>
        </row>
        <row r="191">
          <cell r="A191">
            <v>45350</v>
          </cell>
          <cell r="B191" t="str">
            <v>Frauen</v>
          </cell>
          <cell r="C191">
            <v>0</v>
          </cell>
          <cell r="D191">
            <v>3466</v>
          </cell>
          <cell r="E191">
            <v>0</v>
          </cell>
          <cell r="F191">
            <v>0</v>
          </cell>
        </row>
        <row r="192">
          <cell r="A192">
            <v>45350</v>
          </cell>
          <cell r="B192" t="str">
            <v>LM</v>
          </cell>
          <cell r="C192">
            <v>0</v>
          </cell>
          <cell r="D192">
            <v>611</v>
          </cell>
          <cell r="E192">
            <v>0</v>
          </cell>
          <cell r="F192">
            <v>0</v>
          </cell>
        </row>
        <row r="193">
          <cell r="A193">
            <v>45350</v>
          </cell>
          <cell r="B193" t="str">
            <v>VM</v>
          </cell>
          <cell r="C193">
            <v>0</v>
          </cell>
          <cell r="D193">
            <v>122</v>
          </cell>
          <cell r="E193">
            <v>0</v>
          </cell>
          <cell r="F193">
            <v>0</v>
          </cell>
        </row>
        <row r="198">
          <cell r="A198">
            <v>45351</v>
          </cell>
          <cell r="B198" t="str">
            <v>LM</v>
          </cell>
          <cell r="C198">
            <v>0</v>
          </cell>
          <cell r="D198">
            <v>419</v>
          </cell>
          <cell r="E198">
            <v>0</v>
          </cell>
          <cell r="F198">
            <v>0</v>
          </cell>
        </row>
        <row r="199">
          <cell r="A199">
            <v>45351</v>
          </cell>
          <cell r="B199" t="str">
            <v>Frauen</v>
          </cell>
          <cell r="C199">
            <v>0</v>
          </cell>
          <cell r="D199">
            <v>360</v>
          </cell>
          <cell r="E199">
            <v>0</v>
          </cell>
          <cell r="F199">
            <v>0</v>
          </cell>
        </row>
        <row r="200">
          <cell r="A200">
            <v>45351</v>
          </cell>
          <cell r="B200" t="str">
            <v>VM</v>
          </cell>
          <cell r="C200">
            <v>0</v>
          </cell>
          <cell r="D200">
            <v>655</v>
          </cell>
          <cell r="E200">
            <v>0</v>
          </cell>
          <cell r="F200">
            <v>0</v>
          </cell>
        </row>
        <row r="201">
          <cell r="A201">
            <v>45351</v>
          </cell>
          <cell r="B201" t="str">
            <v>Refill</v>
          </cell>
          <cell r="C201">
            <v>1394.53</v>
          </cell>
          <cell r="D201">
            <v>0</v>
          </cell>
          <cell r="E201">
            <v>0</v>
          </cell>
          <cell r="F201">
            <v>0</v>
          </cell>
        </row>
      </sheetData>
      <sheetData sheetId="41">
        <row r="2">
          <cell r="A2">
            <v>45352</v>
          </cell>
          <cell r="B2" t="str">
            <v>LM</v>
          </cell>
          <cell r="C2">
            <v>0</v>
          </cell>
          <cell r="D2">
            <v>945</v>
          </cell>
          <cell r="E2">
            <v>0</v>
          </cell>
          <cell r="F2">
            <v>0</v>
          </cell>
        </row>
        <row r="3">
          <cell r="A3">
            <v>45352</v>
          </cell>
          <cell r="B3" t="str">
            <v>VM</v>
          </cell>
          <cell r="C3">
            <v>0</v>
          </cell>
          <cell r="D3">
            <v>1450</v>
          </cell>
          <cell r="E3">
            <v>0</v>
          </cell>
          <cell r="F3">
            <v>0</v>
          </cell>
        </row>
        <row r="4">
          <cell r="A4">
            <v>45352</v>
          </cell>
          <cell r="B4" t="str">
            <v>Andere</v>
          </cell>
          <cell r="C4">
            <v>0</v>
          </cell>
          <cell r="D4">
            <v>2000</v>
          </cell>
          <cell r="E4">
            <v>0</v>
          </cell>
          <cell r="F4">
            <v>150</v>
          </cell>
        </row>
        <row r="5">
          <cell r="A5">
            <v>45352</v>
          </cell>
          <cell r="B5" t="str">
            <v>for me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A6">
            <v>45352</v>
          </cell>
          <cell r="B6" t="str">
            <v>Party</v>
          </cell>
          <cell r="C6">
            <v>0</v>
          </cell>
          <cell r="D6">
            <v>1450</v>
          </cell>
          <cell r="E6">
            <v>0</v>
          </cell>
          <cell r="F6">
            <v>0</v>
          </cell>
        </row>
        <row r="7">
          <cell r="A7">
            <v>45352</v>
          </cell>
          <cell r="B7" t="str">
            <v>Kleidung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</row>
        <row r="8">
          <cell r="A8">
            <v>45352</v>
          </cell>
          <cell r="B8" t="str">
            <v>none</v>
          </cell>
          <cell r="C8">
            <v>0</v>
          </cell>
          <cell r="D8">
            <v>9000</v>
          </cell>
          <cell r="E8">
            <v>9000</v>
          </cell>
          <cell r="F8">
            <v>0</v>
          </cell>
        </row>
        <row r="9">
          <cell r="A9">
            <v>45353</v>
          </cell>
          <cell r="B9" t="str">
            <v>LM</v>
          </cell>
          <cell r="C9">
            <v>0</v>
          </cell>
          <cell r="D9">
            <v>404.97</v>
          </cell>
          <cell r="E9">
            <v>0</v>
          </cell>
          <cell r="F9">
            <v>0</v>
          </cell>
        </row>
        <row r="10">
          <cell r="A10">
            <v>45353</v>
          </cell>
          <cell r="B10" t="str">
            <v>Rauchen</v>
          </cell>
          <cell r="C10">
            <v>0</v>
          </cell>
          <cell r="D10">
            <v>140</v>
          </cell>
          <cell r="E10">
            <v>0</v>
          </cell>
          <cell r="F10">
            <v>0</v>
          </cell>
        </row>
        <row r="16">
          <cell r="A16">
            <v>45354</v>
          </cell>
          <cell r="B16" t="str">
            <v>Andere</v>
          </cell>
          <cell r="C16">
            <v>0</v>
          </cell>
          <cell r="D16">
            <v>559</v>
          </cell>
          <cell r="E16">
            <v>0</v>
          </cell>
          <cell r="F16">
            <v>0</v>
          </cell>
        </row>
        <row r="17">
          <cell r="A17">
            <v>45354</v>
          </cell>
          <cell r="B17" t="str">
            <v>VM</v>
          </cell>
          <cell r="C17">
            <v>0</v>
          </cell>
          <cell r="D17">
            <v>61</v>
          </cell>
          <cell r="E17">
            <v>0</v>
          </cell>
          <cell r="F17">
            <v>0</v>
          </cell>
        </row>
        <row r="18">
          <cell r="A18">
            <v>45354</v>
          </cell>
          <cell r="B18" t="str">
            <v>LM</v>
          </cell>
          <cell r="C18">
            <v>0</v>
          </cell>
          <cell r="D18">
            <v>778.95</v>
          </cell>
          <cell r="E18">
            <v>0</v>
          </cell>
          <cell r="F18">
            <v>0</v>
          </cell>
        </row>
        <row r="19">
          <cell r="A19">
            <v>45354</v>
          </cell>
          <cell r="B19" t="str">
            <v>Rauchen</v>
          </cell>
          <cell r="C19">
            <v>0</v>
          </cell>
          <cell r="D19">
            <v>140</v>
          </cell>
          <cell r="E19">
            <v>0</v>
          </cell>
          <cell r="F19">
            <v>0</v>
          </cell>
        </row>
        <row r="23">
          <cell r="A23">
            <v>45355</v>
          </cell>
          <cell r="B23" t="str">
            <v>Party</v>
          </cell>
          <cell r="C23">
            <v>0</v>
          </cell>
          <cell r="D23">
            <v>4910</v>
          </cell>
          <cell r="E23">
            <v>0</v>
          </cell>
          <cell r="F23">
            <v>0</v>
          </cell>
        </row>
        <row r="24">
          <cell r="A24">
            <v>45355</v>
          </cell>
          <cell r="B24" t="str">
            <v>LM</v>
          </cell>
          <cell r="C24">
            <v>0</v>
          </cell>
          <cell r="D24">
            <v>1307</v>
          </cell>
          <cell r="E24">
            <v>0</v>
          </cell>
          <cell r="F24">
            <v>0</v>
          </cell>
        </row>
        <row r="25">
          <cell r="A25">
            <v>45355</v>
          </cell>
          <cell r="B25" t="str">
            <v>LM</v>
          </cell>
          <cell r="C25">
            <v>0</v>
          </cell>
          <cell r="D25">
            <v>98</v>
          </cell>
          <cell r="E25">
            <v>0</v>
          </cell>
          <cell r="F25">
            <v>0</v>
          </cell>
        </row>
        <row r="26">
          <cell r="A26">
            <v>45355</v>
          </cell>
          <cell r="B26" t="str">
            <v>Andere</v>
          </cell>
          <cell r="C26">
            <v>0</v>
          </cell>
          <cell r="D26">
            <v>800</v>
          </cell>
          <cell r="E26">
            <v>0</v>
          </cell>
          <cell r="F26">
            <v>0</v>
          </cell>
        </row>
        <row r="27">
          <cell r="A27">
            <v>45355</v>
          </cell>
          <cell r="B27" t="str">
            <v>Andere</v>
          </cell>
          <cell r="C27">
            <v>0</v>
          </cell>
          <cell r="D27">
            <v>1000</v>
          </cell>
          <cell r="E27">
            <v>0</v>
          </cell>
          <cell r="F27">
            <v>0</v>
          </cell>
        </row>
        <row r="28">
          <cell r="A28">
            <v>45355</v>
          </cell>
          <cell r="B28" t="str">
            <v>VM</v>
          </cell>
          <cell r="C28">
            <v>0</v>
          </cell>
          <cell r="D28">
            <v>1171</v>
          </cell>
          <cell r="E28">
            <v>0</v>
          </cell>
          <cell r="F28">
            <v>0</v>
          </cell>
        </row>
        <row r="30">
          <cell r="A30">
            <v>45356</v>
          </cell>
          <cell r="B30" t="str">
            <v>LM</v>
          </cell>
          <cell r="C30">
            <v>0</v>
          </cell>
          <cell r="D30">
            <v>896</v>
          </cell>
          <cell r="E30">
            <v>0</v>
          </cell>
          <cell r="F30">
            <v>0</v>
          </cell>
        </row>
        <row r="37">
          <cell r="A37">
            <v>45357</v>
          </cell>
          <cell r="B37" t="str">
            <v>VM</v>
          </cell>
          <cell r="C37">
            <v>0</v>
          </cell>
          <cell r="D37">
            <v>61</v>
          </cell>
          <cell r="E37">
            <v>0</v>
          </cell>
          <cell r="F37">
            <v>0</v>
          </cell>
        </row>
        <row r="38">
          <cell r="A38">
            <v>45357</v>
          </cell>
          <cell r="B38" t="str">
            <v>Rauchen</v>
          </cell>
          <cell r="C38">
            <v>0</v>
          </cell>
          <cell r="D38">
            <v>1349</v>
          </cell>
          <cell r="E38">
            <v>0</v>
          </cell>
          <cell r="F38">
            <v>0</v>
          </cell>
        </row>
        <row r="39">
          <cell r="A39">
            <v>45357</v>
          </cell>
          <cell r="B39" t="str">
            <v>LM</v>
          </cell>
          <cell r="C39">
            <v>0</v>
          </cell>
          <cell r="D39">
            <v>1284</v>
          </cell>
          <cell r="E39">
            <v>0</v>
          </cell>
          <cell r="F39">
            <v>0</v>
          </cell>
        </row>
        <row r="44">
          <cell r="A44">
            <v>45358</v>
          </cell>
          <cell r="B44" t="str">
            <v>Frauen</v>
          </cell>
          <cell r="C44">
            <v>0</v>
          </cell>
          <cell r="D44">
            <v>1960</v>
          </cell>
          <cell r="E44">
            <v>0</v>
          </cell>
          <cell r="F44">
            <v>0</v>
          </cell>
        </row>
        <row r="45">
          <cell r="A45">
            <v>45358</v>
          </cell>
          <cell r="B45" t="str">
            <v>Refill</v>
          </cell>
          <cell r="C45">
            <v>287873</v>
          </cell>
          <cell r="D45">
            <v>0</v>
          </cell>
          <cell r="E45">
            <v>0</v>
          </cell>
          <cell r="F45">
            <v>0</v>
          </cell>
        </row>
        <row r="46">
          <cell r="A46">
            <v>45358</v>
          </cell>
          <cell r="B46" t="str">
            <v>VM</v>
          </cell>
          <cell r="C46">
            <v>0</v>
          </cell>
          <cell r="D46">
            <v>672</v>
          </cell>
          <cell r="E46">
            <v>0</v>
          </cell>
          <cell r="F46">
            <v>0</v>
          </cell>
        </row>
        <row r="47">
          <cell r="A47">
            <v>45358</v>
          </cell>
          <cell r="B47" t="str">
            <v>LM</v>
          </cell>
          <cell r="C47">
            <v>0</v>
          </cell>
          <cell r="D47">
            <v>874.97</v>
          </cell>
          <cell r="E47">
            <v>0</v>
          </cell>
          <cell r="F47">
            <v>0</v>
          </cell>
        </row>
        <row r="48">
          <cell r="A48">
            <v>45358</v>
          </cell>
          <cell r="B48" t="str">
            <v>none</v>
          </cell>
          <cell r="C48">
            <v>0</v>
          </cell>
          <cell r="D48">
            <v>2500</v>
          </cell>
          <cell r="E48">
            <v>2500</v>
          </cell>
          <cell r="F48">
            <v>0</v>
          </cell>
        </row>
        <row r="51">
          <cell r="A51">
            <v>45359</v>
          </cell>
          <cell r="B51" t="str">
            <v>LM</v>
          </cell>
          <cell r="C51">
            <v>0</v>
          </cell>
          <cell r="D51">
            <v>1196.44</v>
          </cell>
          <cell r="E51">
            <v>0</v>
          </cell>
          <cell r="F51">
            <v>0</v>
          </cell>
        </row>
        <row r="52">
          <cell r="A52">
            <v>45359</v>
          </cell>
          <cell r="B52" t="str">
            <v>VM</v>
          </cell>
          <cell r="C52">
            <v>0</v>
          </cell>
          <cell r="D52">
            <v>639</v>
          </cell>
          <cell r="E52">
            <v>0</v>
          </cell>
          <cell r="F52">
            <v>0</v>
          </cell>
        </row>
        <row r="53">
          <cell r="A53">
            <v>45359</v>
          </cell>
          <cell r="B53" t="str">
            <v>Frauen</v>
          </cell>
          <cell r="C53">
            <v>0</v>
          </cell>
          <cell r="D53">
            <v>690</v>
          </cell>
          <cell r="E53">
            <v>0</v>
          </cell>
          <cell r="F53">
            <v>0</v>
          </cell>
        </row>
        <row r="54">
          <cell r="A54">
            <v>45359</v>
          </cell>
          <cell r="B54" t="str">
            <v>Kleidung</v>
          </cell>
          <cell r="C54">
            <v>0</v>
          </cell>
          <cell r="D54">
            <v>3599</v>
          </cell>
          <cell r="E54">
            <v>0</v>
          </cell>
          <cell r="F54">
            <v>0</v>
          </cell>
        </row>
        <row r="58">
          <cell r="A58">
            <v>45360</v>
          </cell>
          <cell r="B58" t="str">
            <v>VM</v>
          </cell>
          <cell r="C58">
            <v>0</v>
          </cell>
          <cell r="D58">
            <v>61</v>
          </cell>
          <cell r="E58">
            <v>0</v>
          </cell>
          <cell r="F58">
            <v>0</v>
          </cell>
        </row>
        <row r="59">
          <cell r="A59">
            <v>45360</v>
          </cell>
          <cell r="B59" t="str">
            <v>Frauen</v>
          </cell>
          <cell r="C59">
            <v>0</v>
          </cell>
          <cell r="D59">
            <v>5500</v>
          </cell>
          <cell r="E59">
            <v>0</v>
          </cell>
          <cell r="F59">
            <v>0</v>
          </cell>
        </row>
        <row r="60">
          <cell r="A60">
            <v>45360</v>
          </cell>
          <cell r="B60" t="str">
            <v>Frauen</v>
          </cell>
          <cell r="C60">
            <v>0</v>
          </cell>
          <cell r="D60">
            <v>640</v>
          </cell>
          <cell r="E60">
            <v>0</v>
          </cell>
          <cell r="F60">
            <v>0</v>
          </cell>
        </row>
        <row r="61">
          <cell r="A61">
            <v>45360</v>
          </cell>
          <cell r="B61" t="str">
            <v>for me</v>
          </cell>
          <cell r="C61">
            <v>0</v>
          </cell>
          <cell r="D61">
            <v>2240</v>
          </cell>
          <cell r="E61">
            <v>0</v>
          </cell>
          <cell r="F61">
            <v>0</v>
          </cell>
        </row>
        <row r="62">
          <cell r="A62">
            <v>45360</v>
          </cell>
          <cell r="B62" t="str">
            <v>LM</v>
          </cell>
          <cell r="C62">
            <v>0</v>
          </cell>
          <cell r="D62">
            <v>453.99</v>
          </cell>
          <cell r="E62">
            <v>0</v>
          </cell>
          <cell r="F62">
            <v>0</v>
          </cell>
        </row>
        <row r="63">
          <cell r="A63">
            <v>45360</v>
          </cell>
          <cell r="B63" t="str">
            <v>Andere</v>
          </cell>
          <cell r="C63">
            <v>0</v>
          </cell>
          <cell r="D63">
            <v>720</v>
          </cell>
          <cell r="E63">
            <v>0</v>
          </cell>
          <cell r="F63">
            <v>0</v>
          </cell>
        </row>
        <row r="65">
          <cell r="A65">
            <v>45361</v>
          </cell>
          <cell r="B65" t="str">
            <v>VM</v>
          </cell>
          <cell r="C65">
            <v>0</v>
          </cell>
          <cell r="D65">
            <v>636</v>
          </cell>
          <cell r="E65">
            <v>0</v>
          </cell>
          <cell r="F65">
            <v>0</v>
          </cell>
        </row>
        <row r="66">
          <cell r="A66">
            <v>45361</v>
          </cell>
          <cell r="B66" t="str">
            <v>LM</v>
          </cell>
          <cell r="C66">
            <v>0</v>
          </cell>
          <cell r="D66">
            <v>1954</v>
          </cell>
          <cell r="E66">
            <v>0</v>
          </cell>
          <cell r="F66">
            <v>0</v>
          </cell>
        </row>
        <row r="67">
          <cell r="A67">
            <v>45361</v>
          </cell>
          <cell r="B67" t="str">
            <v>VM</v>
          </cell>
          <cell r="C67">
            <v>0</v>
          </cell>
          <cell r="D67">
            <v>183</v>
          </cell>
          <cell r="E67">
            <v>0</v>
          </cell>
          <cell r="F67">
            <v>0</v>
          </cell>
        </row>
        <row r="72">
          <cell r="A72">
            <v>45362</v>
          </cell>
          <cell r="B72" t="str">
            <v>VM</v>
          </cell>
          <cell r="C72">
            <v>0</v>
          </cell>
          <cell r="D72">
            <v>792</v>
          </cell>
          <cell r="E72">
            <v>0</v>
          </cell>
          <cell r="F72">
            <v>0</v>
          </cell>
        </row>
        <row r="73">
          <cell r="A73">
            <v>45362</v>
          </cell>
          <cell r="B73" t="str">
            <v>LM</v>
          </cell>
          <cell r="C73">
            <v>0</v>
          </cell>
          <cell r="D73">
            <v>840.41</v>
          </cell>
          <cell r="E73">
            <v>0</v>
          </cell>
          <cell r="F73">
            <v>130</v>
          </cell>
        </row>
        <row r="79">
          <cell r="A79">
            <v>45363</v>
          </cell>
          <cell r="B79" t="str">
            <v>Kleidung</v>
          </cell>
          <cell r="C79">
            <v>0</v>
          </cell>
          <cell r="D79">
            <v>12900</v>
          </cell>
          <cell r="E79">
            <v>0</v>
          </cell>
          <cell r="F79">
            <v>0</v>
          </cell>
        </row>
        <row r="80">
          <cell r="A80">
            <v>45363</v>
          </cell>
          <cell r="B80" t="str">
            <v>Andere</v>
          </cell>
          <cell r="C80">
            <v>0</v>
          </cell>
          <cell r="D80">
            <v>5000</v>
          </cell>
          <cell r="E80">
            <v>0</v>
          </cell>
          <cell r="F80">
            <v>0</v>
          </cell>
        </row>
        <row r="81">
          <cell r="A81">
            <v>45363</v>
          </cell>
          <cell r="B81" t="str">
            <v>VM</v>
          </cell>
          <cell r="C81">
            <v>0</v>
          </cell>
          <cell r="D81">
            <v>376</v>
          </cell>
          <cell r="E81">
            <v>0</v>
          </cell>
          <cell r="F81">
            <v>0</v>
          </cell>
        </row>
        <row r="82">
          <cell r="A82">
            <v>45363</v>
          </cell>
          <cell r="B82" t="str">
            <v>none</v>
          </cell>
          <cell r="C82">
            <v>0</v>
          </cell>
          <cell r="D82">
            <v>5000</v>
          </cell>
          <cell r="E82">
            <v>5000</v>
          </cell>
          <cell r="F82">
            <v>0</v>
          </cell>
        </row>
        <row r="86">
          <cell r="A86">
            <v>45364</v>
          </cell>
          <cell r="B86" t="str">
            <v>Andere</v>
          </cell>
          <cell r="C86">
            <v>0</v>
          </cell>
          <cell r="D86">
            <v>2277</v>
          </cell>
          <cell r="E86">
            <v>0</v>
          </cell>
          <cell r="F86">
            <v>0</v>
          </cell>
        </row>
        <row r="87">
          <cell r="A87">
            <v>45364</v>
          </cell>
          <cell r="B87" t="str">
            <v>LM</v>
          </cell>
          <cell r="C87">
            <v>0</v>
          </cell>
          <cell r="D87">
            <v>1204</v>
          </cell>
          <cell r="E87">
            <v>0</v>
          </cell>
          <cell r="F87">
            <v>0</v>
          </cell>
        </row>
        <row r="93">
          <cell r="A93">
            <v>45365</v>
          </cell>
          <cell r="B93" t="str">
            <v>VM</v>
          </cell>
          <cell r="C93">
            <v>0</v>
          </cell>
          <cell r="D93">
            <v>21684</v>
          </cell>
          <cell r="E93">
            <v>0</v>
          </cell>
          <cell r="F93">
            <v>0</v>
          </cell>
        </row>
        <row r="94">
          <cell r="A94">
            <v>45365</v>
          </cell>
          <cell r="B94" t="str">
            <v>Frauen</v>
          </cell>
          <cell r="C94">
            <v>0</v>
          </cell>
          <cell r="D94">
            <v>2009</v>
          </cell>
          <cell r="E94">
            <v>0</v>
          </cell>
          <cell r="F94">
            <v>0</v>
          </cell>
        </row>
        <row r="95">
          <cell r="A95">
            <v>45365</v>
          </cell>
          <cell r="B95" t="str">
            <v>none</v>
          </cell>
          <cell r="C95">
            <v>0</v>
          </cell>
          <cell r="D95">
            <v>18250</v>
          </cell>
          <cell r="E95">
            <v>18250</v>
          </cell>
          <cell r="F95">
            <v>0</v>
          </cell>
        </row>
        <row r="107">
          <cell r="A107">
            <v>45367</v>
          </cell>
          <cell r="B107" t="str">
            <v>LM</v>
          </cell>
          <cell r="C107">
            <v>0</v>
          </cell>
          <cell r="D107">
            <v>1805.72</v>
          </cell>
          <cell r="E107">
            <v>0</v>
          </cell>
          <cell r="F107">
            <v>0</v>
          </cell>
        </row>
        <row r="114">
          <cell r="A114">
            <v>45368</v>
          </cell>
          <cell r="B114" t="str">
            <v>Frauen</v>
          </cell>
          <cell r="C114">
            <v>0</v>
          </cell>
          <cell r="D114">
            <v>807</v>
          </cell>
          <cell r="E114">
            <v>0</v>
          </cell>
          <cell r="F114">
            <v>0</v>
          </cell>
        </row>
        <row r="115">
          <cell r="A115">
            <v>45368</v>
          </cell>
          <cell r="B115" t="str">
            <v>rent</v>
          </cell>
          <cell r="C115">
            <v>0</v>
          </cell>
          <cell r="D115">
            <v>0</v>
          </cell>
          <cell r="E115">
            <v>0</v>
          </cell>
          <cell r="F115">
            <v>55052.800000000003</v>
          </cell>
        </row>
        <row r="116">
          <cell r="A116">
            <v>45368</v>
          </cell>
          <cell r="B116" t="str">
            <v>none</v>
          </cell>
          <cell r="C116">
            <v>0</v>
          </cell>
          <cell r="D116">
            <v>20000</v>
          </cell>
          <cell r="E116">
            <v>20000</v>
          </cell>
          <cell r="F116">
            <v>0</v>
          </cell>
        </row>
        <row r="117">
          <cell r="A117">
            <v>45368</v>
          </cell>
          <cell r="B117" t="str">
            <v>Rauchen</v>
          </cell>
          <cell r="C117">
            <v>0</v>
          </cell>
          <cell r="D117">
            <v>1600</v>
          </cell>
          <cell r="E117">
            <v>0</v>
          </cell>
          <cell r="F117">
            <v>0</v>
          </cell>
        </row>
        <row r="118">
          <cell r="A118">
            <v>45368</v>
          </cell>
          <cell r="B118" t="str">
            <v>LM</v>
          </cell>
          <cell r="C118">
            <v>0</v>
          </cell>
          <cell r="D118">
            <v>1429.98</v>
          </cell>
          <cell r="E118">
            <v>0</v>
          </cell>
          <cell r="F118">
            <v>0</v>
          </cell>
        </row>
        <row r="121">
          <cell r="A121">
            <v>45369</v>
          </cell>
          <cell r="B121" t="str">
            <v>Andere</v>
          </cell>
          <cell r="C121">
            <v>0</v>
          </cell>
          <cell r="D121">
            <v>250</v>
          </cell>
          <cell r="E121">
            <v>0</v>
          </cell>
          <cell r="F121">
            <v>0</v>
          </cell>
        </row>
        <row r="122">
          <cell r="A122">
            <v>45369</v>
          </cell>
          <cell r="B122" t="str">
            <v>Frauen</v>
          </cell>
          <cell r="C122">
            <v>0</v>
          </cell>
          <cell r="D122">
            <v>250</v>
          </cell>
          <cell r="E122">
            <v>0</v>
          </cell>
          <cell r="F122">
            <v>0</v>
          </cell>
        </row>
        <row r="123">
          <cell r="A123">
            <v>45369</v>
          </cell>
          <cell r="B123" t="str">
            <v>VM</v>
          </cell>
          <cell r="C123">
            <v>0</v>
          </cell>
          <cell r="D123">
            <v>122</v>
          </cell>
          <cell r="E123">
            <v>0</v>
          </cell>
          <cell r="F123">
            <v>0</v>
          </cell>
        </row>
        <row r="124">
          <cell r="A124">
            <v>45369</v>
          </cell>
          <cell r="B124" t="str">
            <v>LM</v>
          </cell>
          <cell r="C124">
            <v>0</v>
          </cell>
          <cell r="D124">
            <v>480</v>
          </cell>
          <cell r="E124">
            <v>0</v>
          </cell>
          <cell r="F124">
            <v>0</v>
          </cell>
        </row>
        <row r="125">
          <cell r="A125">
            <v>45369</v>
          </cell>
          <cell r="B125" t="str">
            <v>none</v>
          </cell>
          <cell r="C125">
            <v>0</v>
          </cell>
          <cell r="D125">
            <v>250</v>
          </cell>
          <cell r="E125">
            <v>250</v>
          </cell>
          <cell r="F125">
            <v>0</v>
          </cell>
        </row>
        <row r="128">
          <cell r="A128">
            <v>45370</v>
          </cell>
          <cell r="B128" t="str">
            <v>LM</v>
          </cell>
          <cell r="C128">
            <v>0</v>
          </cell>
          <cell r="D128">
            <v>659</v>
          </cell>
          <cell r="E128">
            <v>0</v>
          </cell>
          <cell r="F128">
            <v>0</v>
          </cell>
        </row>
        <row r="129">
          <cell r="A129">
            <v>45370</v>
          </cell>
          <cell r="B129" t="str">
            <v>Andere</v>
          </cell>
          <cell r="C129">
            <v>0</v>
          </cell>
          <cell r="D129">
            <v>421</v>
          </cell>
          <cell r="E129">
            <v>0</v>
          </cell>
          <cell r="F129">
            <v>0</v>
          </cell>
        </row>
        <row r="135">
          <cell r="A135">
            <v>45371</v>
          </cell>
          <cell r="B135" t="str">
            <v>LM</v>
          </cell>
          <cell r="C135">
            <v>0</v>
          </cell>
          <cell r="D135">
            <v>1140</v>
          </cell>
          <cell r="E135">
            <v>0</v>
          </cell>
          <cell r="F135">
            <v>0</v>
          </cell>
        </row>
        <row r="136">
          <cell r="A136">
            <v>45371</v>
          </cell>
          <cell r="B136" t="str">
            <v>for me</v>
          </cell>
          <cell r="C136">
            <v>0</v>
          </cell>
          <cell r="D136">
            <v>800</v>
          </cell>
          <cell r="E136">
            <v>0</v>
          </cell>
          <cell r="F136">
            <v>0</v>
          </cell>
        </row>
        <row r="142">
          <cell r="A142">
            <v>45372</v>
          </cell>
          <cell r="B142" t="str">
            <v>LM</v>
          </cell>
          <cell r="C142">
            <v>0</v>
          </cell>
          <cell r="D142">
            <v>900</v>
          </cell>
          <cell r="E142">
            <v>0</v>
          </cell>
          <cell r="F142">
            <v>0</v>
          </cell>
        </row>
        <row r="143">
          <cell r="A143">
            <v>45372</v>
          </cell>
          <cell r="B143" t="str">
            <v>VM</v>
          </cell>
          <cell r="C143">
            <v>0</v>
          </cell>
          <cell r="D143">
            <v>122</v>
          </cell>
          <cell r="E143">
            <v>0</v>
          </cell>
          <cell r="F143">
            <v>0</v>
          </cell>
        </row>
        <row r="144">
          <cell r="A144">
            <v>45372</v>
          </cell>
          <cell r="B144" t="str">
            <v>LM</v>
          </cell>
          <cell r="C144">
            <v>0</v>
          </cell>
          <cell r="D144">
            <v>89</v>
          </cell>
          <cell r="E144">
            <v>0</v>
          </cell>
          <cell r="F144">
            <v>0</v>
          </cell>
        </row>
        <row r="145">
          <cell r="A145">
            <v>45372</v>
          </cell>
          <cell r="B145" t="str">
            <v>Andere</v>
          </cell>
          <cell r="C145">
            <v>0</v>
          </cell>
          <cell r="D145">
            <v>3100</v>
          </cell>
          <cell r="E145">
            <v>0</v>
          </cell>
          <cell r="F145">
            <v>0</v>
          </cell>
        </row>
        <row r="149">
          <cell r="A149">
            <v>45373</v>
          </cell>
          <cell r="B149" t="str">
            <v>Refill</v>
          </cell>
          <cell r="C149">
            <v>53287</v>
          </cell>
          <cell r="D149">
            <v>0</v>
          </cell>
          <cell r="E149">
            <v>0</v>
          </cell>
          <cell r="F149">
            <v>0</v>
          </cell>
        </row>
        <row r="150">
          <cell r="A150">
            <v>45373</v>
          </cell>
          <cell r="B150" t="str">
            <v>VM</v>
          </cell>
          <cell r="C150">
            <v>0</v>
          </cell>
          <cell r="D150">
            <v>61</v>
          </cell>
          <cell r="E150">
            <v>0</v>
          </cell>
          <cell r="F150">
            <v>0</v>
          </cell>
        </row>
        <row r="151">
          <cell r="A151">
            <v>45373</v>
          </cell>
          <cell r="B151" t="str">
            <v>LM</v>
          </cell>
          <cell r="C151">
            <v>0</v>
          </cell>
          <cell r="D151">
            <v>270</v>
          </cell>
          <cell r="E151">
            <v>0</v>
          </cell>
          <cell r="F151">
            <v>0</v>
          </cell>
        </row>
        <row r="156">
          <cell r="A156">
            <v>45374</v>
          </cell>
          <cell r="B156" t="str">
            <v>VM</v>
          </cell>
          <cell r="C156">
            <v>0</v>
          </cell>
          <cell r="D156">
            <v>1756</v>
          </cell>
          <cell r="E156">
            <v>0</v>
          </cell>
          <cell r="F156">
            <v>0</v>
          </cell>
        </row>
        <row r="157">
          <cell r="A157">
            <v>45374</v>
          </cell>
          <cell r="B157" t="str">
            <v>LM</v>
          </cell>
          <cell r="C157">
            <v>0</v>
          </cell>
          <cell r="D157">
            <v>634.13</v>
          </cell>
          <cell r="E157">
            <v>0</v>
          </cell>
          <cell r="F157">
            <v>0</v>
          </cell>
        </row>
        <row r="158">
          <cell r="A158">
            <v>45374</v>
          </cell>
          <cell r="B158" t="str">
            <v>VM</v>
          </cell>
          <cell r="C158">
            <v>0</v>
          </cell>
          <cell r="D158">
            <v>122</v>
          </cell>
          <cell r="E158">
            <v>0</v>
          </cell>
          <cell r="F158">
            <v>0</v>
          </cell>
        </row>
        <row r="163">
          <cell r="A163">
            <v>45375</v>
          </cell>
          <cell r="B163" t="str">
            <v>LM</v>
          </cell>
          <cell r="C163">
            <v>0</v>
          </cell>
          <cell r="D163">
            <v>756</v>
          </cell>
          <cell r="E163">
            <v>0</v>
          </cell>
          <cell r="F163">
            <v>0</v>
          </cell>
        </row>
        <row r="170">
          <cell r="A170">
            <v>45376</v>
          </cell>
          <cell r="B170" t="str">
            <v>for me</v>
          </cell>
          <cell r="C170">
            <v>0</v>
          </cell>
          <cell r="D170">
            <v>1370</v>
          </cell>
          <cell r="E170">
            <v>0</v>
          </cell>
          <cell r="F170">
            <v>0</v>
          </cell>
        </row>
        <row r="171">
          <cell r="A171">
            <v>45376</v>
          </cell>
          <cell r="B171" t="str">
            <v>Frauen</v>
          </cell>
          <cell r="C171">
            <v>0</v>
          </cell>
          <cell r="D171">
            <v>3145</v>
          </cell>
          <cell r="E171">
            <v>0</v>
          </cell>
          <cell r="F171">
            <v>0</v>
          </cell>
        </row>
        <row r="177">
          <cell r="A177">
            <v>45377</v>
          </cell>
          <cell r="B177" t="str">
            <v>LM</v>
          </cell>
          <cell r="C177">
            <v>0</v>
          </cell>
          <cell r="D177">
            <v>406.3</v>
          </cell>
          <cell r="E177">
            <v>0</v>
          </cell>
          <cell r="F177">
            <v>0</v>
          </cell>
        </row>
        <row r="178">
          <cell r="A178">
            <v>45377</v>
          </cell>
          <cell r="B178" t="str">
            <v>VM</v>
          </cell>
          <cell r="C178">
            <v>0</v>
          </cell>
          <cell r="D178">
            <v>351</v>
          </cell>
          <cell r="E178">
            <v>0</v>
          </cell>
          <cell r="F178">
            <v>0</v>
          </cell>
        </row>
        <row r="179">
          <cell r="A179">
            <v>45377</v>
          </cell>
          <cell r="B179" t="str">
            <v>LM</v>
          </cell>
          <cell r="C179">
            <v>0</v>
          </cell>
          <cell r="D179">
            <v>465</v>
          </cell>
          <cell r="E179">
            <v>0</v>
          </cell>
          <cell r="F179">
            <v>0</v>
          </cell>
        </row>
        <row r="180">
          <cell r="A180">
            <v>45377</v>
          </cell>
          <cell r="B180" t="str">
            <v>Andere</v>
          </cell>
          <cell r="C180">
            <v>0</v>
          </cell>
          <cell r="D180">
            <v>374</v>
          </cell>
          <cell r="E180">
            <v>0</v>
          </cell>
          <cell r="F180">
            <v>0</v>
          </cell>
        </row>
        <row r="181">
          <cell r="A181">
            <v>45377</v>
          </cell>
          <cell r="B181" t="str">
            <v>VM</v>
          </cell>
          <cell r="C181">
            <v>0</v>
          </cell>
          <cell r="D181">
            <v>351</v>
          </cell>
          <cell r="E181">
            <v>0</v>
          </cell>
          <cell r="F181">
            <v>0</v>
          </cell>
        </row>
        <row r="184">
          <cell r="A184">
            <v>45378</v>
          </cell>
          <cell r="B184" t="str">
            <v>none</v>
          </cell>
          <cell r="C184">
            <v>4</v>
          </cell>
          <cell r="D184">
            <v>0</v>
          </cell>
          <cell r="E184">
            <v>0</v>
          </cell>
          <cell r="F184">
            <v>0</v>
          </cell>
        </row>
        <row r="185">
          <cell r="A185">
            <v>45378</v>
          </cell>
          <cell r="B185" t="str">
            <v>LM</v>
          </cell>
          <cell r="C185">
            <v>0</v>
          </cell>
          <cell r="D185">
            <v>1470</v>
          </cell>
          <cell r="E185">
            <v>0</v>
          </cell>
          <cell r="F185">
            <v>0</v>
          </cell>
        </row>
        <row r="191">
          <cell r="A191">
            <v>45379</v>
          </cell>
          <cell r="B191" t="str">
            <v>VM</v>
          </cell>
          <cell r="C191">
            <v>0</v>
          </cell>
          <cell r="D191">
            <v>5055</v>
          </cell>
          <cell r="E191">
            <v>0</v>
          </cell>
          <cell r="F191">
            <v>0</v>
          </cell>
        </row>
        <row r="192">
          <cell r="A192">
            <v>45379</v>
          </cell>
          <cell r="B192" t="str">
            <v>Andere</v>
          </cell>
          <cell r="C192">
            <v>0</v>
          </cell>
          <cell r="D192">
            <v>1502</v>
          </cell>
          <cell r="E192">
            <v>0</v>
          </cell>
          <cell r="F192">
            <v>0</v>
          </cell>
        </row>
        <row r="193">
          <cell r="A193">
            <v>45379</v>
          </cell>
          <cell r="B193" t="str">
            <v>LM</v>
          </cell>
          <cell r="C193">
            <v>0</v>
          </cell>
          <cell r="D193">
            <v>35.99</v>
          </cell>
          <cell r="E193">
            <v>0</v>
          </cell>
          <cell r="F193">
            <v>0</v>
          </cell>
        </row>
        <row r="198">
          <cell r="A198">
            <v>45380</v>
          </cell>
          <cell r="B198" t="str">
            <v>Rauchen</v>
          </cell>
          <cell r="C198">
            <v>0</v>
          </cell>
          <cell r="D198">
            <v>1349</v>
          </cell>
          <cell r="E198">
            <v>0</v>
          </cell>
          <cell r="F198">
            <v>0</v>
          </cell>
        </row>
        <row r="199">
          <cell r="A199">
            <v>45380</v>
          </cell>
          <cell r="B199" t="str">
            <v>VM</v>
          </cell>
          <cell r="C199">
            <v>0</v>
          </cell>
          <cell r="D199">
            <v>550</v>
          </cell>
          <cell r="E199">
            <v>0</v>
          </cell>
          <cell r="F199">
            <v>0</v>
          </cell>
        </row>
        <row r="200">
          <cell r="A200">
            <v>45380</v>
          </cell>
          <cell r="B200" t="str">
            <v>LM</v>
          </cell>
          <cell r="C200">
            <v>0</v>
          </cell>
          <cell r="D200">
            <v>350</v>
          </cell>
          <cell r="E200">
            <v>0</v>
          </cell>
          <cell r="F200">
            <v>0</v>
          </cell>
        </row>
        <row r="205">
          <cell r="A205">
            <v>45381</v>
          </cell>
          <cell r="B205" t="str">
            <v>LM</v>
          </cell>
          <cell r="C205">
            <v>0</v>
          </cell>
          <cell r="D205">
            <v>3378</v>
          </cell>
          <cell r="E205">
            <v>0</v>
          </cell>
          <cell r="F205">
            <v>0</v>
          </cell>
        </row>
        <row r="206">
          <cell r="A206">
            <v>45381</v>
          </cell>
          <cell r="B206" t="str">
            <v>VM</v>
          </cell>
          <cell r="C206">
            <v>0</v>
          </cell>
          <cell r="D206">
            <v>61</v>
          </cell>
          <cell r="E206">
            <v>0</v>
          </cell>
          <cell r="F206">
            <v>0</v>
          </cell>
        </row>
        <row r="207">
          <cell r="A207">
            <v>45381</v>
          </cell>
          <cell r="B207" t="str">
            <v>VM</v>
          </cell>
          <cell r="C207">
            <v>0</v>
          </cell>
          <cell r="D207">
            <v>790</v>
          </cell>
          <cell r="E207">
            <v>0</v>
          </cell>
          <cell r="F207">
            <v>0</v>
          </cell>
        </row>
        <row r="212">
          <cell r="A212">
            <v>45382</v>
          </cell>
          <cell r="B212" t="str">
            <v>Party</v>
          </cell>
          <cell r="C212">
            <v>0</v>
          </cell>
          <cell r="D212">
            <v>4950</v>
          </cell>
          <cell r="E212">
            <v>0</v>
          </cell>
          <cell r="F212">
            <v>0</v>
          </cell>
        </row>
        <row r="213">
          <cell r="A213">
            <v>45382</v>
          </cell>
          <cell r="B213" t="str">
            <v>VM</v>
          </cell>
          <cell r="C213">
            <v>0</v>
          </cell>
          <cell r="D213">
            <v>1493</v>
          </cell>
          <cell r="E213">
            <v>0</v>
          </cell>
          <cell r="F213">
            <v>0</v>
          </cell>
        </row>
        <row r="214">
          <cell r="A214">
            <v>45382</v>
          </cell>
          <cell r="B214" t="str">
            <v>LM</v>
          </cell>
          <cell r="C214">
            <v>0</v>
          </cell>
          <cell r="D214">
            <v>300</v>
          </cell>
          <cell r="E214">
            <v>0</v>
          </cell>
          <cell r="F214">
            <v>0</v>
          </cell>
        </row>
        <row r="215">
          <cell r="A215">
            <v>45382</v>
          </cell>
          <cell r="B215" t="str">
            <v>LM</v>
          </cell>
          <cell r="C215">
            <v>0</v>
          </cell>
          <cell r="D215">
            <v>119.99</v>
          </cell>
          <cell r="E215">
            <v>0</v>
          </cell>
          <cell r="F215">
            <v>0</v>
          </cell>
        </row>
        <row r="216">
          <cell r="A216">
            <v>45382</v>
          </cell>
          <cell r="B216" t="str">
            <v>Refill</v>
          </cell>
          <cell r="C216">
            <v>2375.8200000000002</v>
          </cell>
          <cell r="D216">
            <v>0</v>
          </cell>
          <cell r="E216">
            <v>0</v>
          </cell>
          <cell r="F216">
            <v>0</v>
          </cell>
        </row>
        <row r="217">
          <cell r="A217">
            <v>45382</v>
          </cell>
          <cell r="B217" t="str">
            <v>none</v>
          </cell>
          <cell r="C217">
            <v>0</v>
          </cell>
          <cell r="D217">
            <v>1000</v>
          </cell>
          <cell r="E217">
            <v>1000</v>
          </cell>
          <cell r="F217">
            <v>0</v>
          </cell>
        </row>
      </sheetData>
      <sheetData sheetId="42">
        <row r="2">
          <cell r="A2">
            <v>45383</v>
          </cell>
          <cell r="B2" t="str">
            <v>LM</v>
          </cell>
          <cell r="C2">
            <v>0</v>
          </cell>
          <cell r="D2">
            <v>806</v>
          </cell>
          <cell r="E2">
            <v>0</v>
          </cell>
          <cell r="F2">
            <v>0</v>
          </cell>
        </row>
        <row r="3">
          <cell r="A3">
            <v>45383</v>
          </cell>
          <cell r="B3" t="str">
            <v>VM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A4">
            <v>45383</v>
          </cell>
          <cell r="B4" t="str">
            <v>Andere</v>
          </cell>
          <cell r="C4">
            <v>0</v>
          </cell>
          <cell r="D4">
            <v>2000</v>
          </cell>
          <cell r="E4">
            <v>0</v>
          </cell>
          <cell r="F4">
            <v>0</v>
          </cell>
        </row>
        <row r="5">
          <cell r="A5">
            <v>45383</v>
          </cell>
          <cell r="B5" t="str">
            <v>for me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A6">
            <v>45383</v>
          </cell>
          <cell r="B6" t="str">
            <v>Party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</row>
        <row r="7">
          <cell r="A7">
            <v>45383</v>
          </cell>
          <cell r="B7" t="str">
            <v>Kleidung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</row>
        <row r="9">
          <cell r="A9">
            <v>45384</v>
          </cell>
          <cell r="B9" t="str">
            <v>LM</v>
          </cell>
          <cell r="C9">
            <v>0</v>
          </cell>
          <cell r="D9">
            <v>700</v>
          </cell>
          <cell r="E9">
            <v>0</v>
          </cell>
          <cell r="F9">
            <v>0</v>
          </cell>
        </row>
        <row r="10">
          <cell r="A10">
            <v>45384</v>
          </cell>
          <cell r="B10" t="str">
            <v>LM</v>
          </cell>
          <cell r="C10">
            <v>0</v>
          </cell>
          <cell r="D10">
            <v>1466</v>
          </cell>
          <cell r="E10">
            <v>0</v>
          </cell>
          <cell r="F10">
            <v>0</v>
          </cell>
        </row>
        <row r="16">
          <cell r="A16">
            <v>45385</v>
          </cell>
          <cell r="B16" t="str">
            <v>LM</v>
          </cell>
          <cell r="C16">
            <v>0</v>
          </cell>
          <cell r="D16">
            <v>980</v>
          </cell>
          <cell r="E16">
            <v>0</v>
          </cell>
          <cell r="F16">
            <v>0</v>
          </cell>
        </row>
        <row r="17">
          <cell r="A17">
            <v>45385</v>
          </cell>
          <cell r="B17" t="str">
            <v>VM</v>
          </cell>
          <cell r="C17">
            <v>0</v>
          </cell>
          <cell r="D17">
            <v>122</v>
          </cell>
          <cell r="E17">
            <v>0</v>
          </cell>
          <cell r="F17">
            <v>0</v>
          </cell>
        </row>
        <row r="23">
          <cell r="A23">
            <v>45386</v>
          </cell>
          <cell r="B23" t="str">
            <v>LM</v>
          </cell>
          <cell r="C23">
            <v>0</v>
          </cell>
          <cell r="D23">
            <v>1057.18</v>
          </cell>
          <cell r="E23">
            <v>0</v>
          </cell>
          <cell r="F23">
            <v>0</v>
          </cell>
        </row>
        <row r="30">
          <cell r="A30">
            <v>45387</v>
          </cell>
          <cell r="B30" t="str">
            <v>LM</v>
          </cell>
          <cell r="C30">
            <v>0</v>
          </cell>
          <cell r="D30">
            <v>1028</v>
          </cell>
          <cell r="E30">
            <v>0</v>
          </cell>
          <cell r="F30">
            <v>0</v>
          </cell>
        </row>
        <row r="37">
          <cell r="A37">
            <v>45388</v>
          </cell>
          <cell r="B37" t="str">
            <v>VM</v>
          </cell>
          <cell r="C37">
            <v>0</v>
          </cell>
          <cell r="D37">
            <v>1228</v>
          </cell>
          <cell r="E37">
            <v>0</v>
          </cell>
          <cell r="F37">
            <v>0</v>
          </cell>
        </row>
        <row r="38">
          <cell r="A38">
            <v>45388</v>
          </cell>
          <cell r="B38" t="str">
            <v>Party</v>
          </cell>
          <cell r="C38">
            <v>0</v>
          </cell>
          <cell r="D38">
            <v>420</v>
          </cell>
          <cell r="E38">
            <v>0</v>
          </cell>
          <cell r="F38">
            <v>0</v>
          </cell>
        </row>
        <row r="39">
          <cell r="A39">
            <v>45388</v>
          </cell>
          <cell r="B39" t="str">
            <v>Rauchen</v>
          </cell>
          <cell r="C39">
            <v>0</v>
          </cell>
          <cell r="D39">
            <v>249</v>
          </cell>
          <cell r="E39">
            <v>0</v>
          </cell>
          <cell r="F39">
            <v>0</v>
          </cell>
        </row>
        <row r="41">
          <cell r="A41">
            <v>45388</v>
          </cell>
          <cell r="B41" t="str">
            <v>Party</v>
          </cell>
          <cell r="C41">
            <v>0</v>
          </cell>
          <cell r="D41">
            <v>5550</v>
          </cell>
          <cell r="E41">
            <v>0</v>
          </cell>
          <cell r="F41">
            <v>0</v>
          </cell>
        </row>
        <row r="44">
          <cell r="A44">
            <v>45389</v>
          </cell>
          <cell r="B44" t="str">
            <v>VM</v>
          </cell>
          <cell r="C44">
            <v>0</v>
          </cell>
          <cell r="D44">
            <v>1616</v>
          </cell>
          <cell r="E44">
            <v>0</v>
          </cell>
          <cell r="F44">
            <v>0</v>
          </cell>
        </row>
        <row r="45">
          <cell r="A45">
            <v>45389</v>
          </cell>
          <cell r="B45" t="str">
            <v>Refill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</row>
        <row r="46">
          <cell r="A46">
            <v>45389</v>
          </cell>
          <cell r="B46" t="str">
            <v>Andere</v>
          </cell>
          <cell r="C46">
            <v>0</v>
          </cell>
          <cell r="D46">
            <v>169</v>
          </cell>
          <cell r="E46">
            <v>0</v>
          </cell>
          <cell r="F46">
            <v>0</v>
          </cell>
        </row>
        <row r="47">
          <cell r="A47">
            <v>45389</v>
          </cell>
          <cell r="B47" t="str">
            <v>Kleidung</v>
          </cell>
          <cell r="C47">
            <v>0</v>
          </cell>
          <cell r="D47">
            <v>3935</v>
          </cell>
          <cell r="E47">
            <v>0</v>
          </cell>
          <cell r="F47">
            <v>0</v>
          </cell>
        </row>
        <row r="48">
          <cell r="A48">
            <v>45389</v>
          </cell>
          <cell r="B48" t="str">
            <v>LM</v>
          </cell>
          <cell r="C48">
            <v>0</v>
          </cell>
          <cell r="D48">
            <v>795</v>
          </cell>
          <cell r="E48">
            <v>0</v>
          </cell>
          <cell r="F48">
            <v>0</v>
          </cell>
        </row>
        <row r="49">
          <cell r="A49">
            <v>45389</v>
          </cell>
          <cell r="B49" t="str">
            <v>VM</v>
          </cell>
          <cell r="C49">
            <v>0</v>
          </cell>
          <cell r="D49">
            <v>61</v>
          </cell>
          <cell r="E49">
            <v>0</v>
          </cell>
          <cell r="F49">
            <v>0</v>
          </cell>
        </row>
        <row r="51">
          <cell r="A51">
            <v>45390</v>
          </cell>
          <cell r="B51" t="str">
            <v>VM</v>
          </cell>
          <cell r="C51">
            <v>0</v>
          </cell>
          <cell r="D51">
            <v>61</v>
          </cell>
          <cell r="E51">
            <v>0</v>
          </cell>
          <cell r="F51">
            <v>0</v>
          </cell>
        </row>
        <row r="52">
          <cell r="A52">
            <v>45390</v>
          </cell>
          <cell r="B52" t="str">
            <v>LM</v>
          </cell>
          <cell r="C52">
            <v>0</v>
          </cell>
          <cell r="D52">
            <v>768</v>
          </cell>
          <cell r="E52">
            <v>0</v>
          </cell>
          <cell r="F52">
            <v>0</v>
          </cell>
        </row>
        <row r="58">
          <cell r="A58">
            <v>45391</v>
          </cell>
          <cell r="B58" t="str">
            <v>Refill</v>
          </cell>
          <cell r="C58">
            <v>63728</v>
          </cell>
          <cell r="D58">
            <v>0</v>
          </cell>
          <cell r="E58">
            <v>0</v>
          </cell>
          <cell r="F58">
            <v>0</v>
          </cell>
        </row>
        <row r="59">
          <cell r="A59">
            <v>45391</v>
          </cell>
          <cell r="B59" t="str">
            <v>VM</v>
          </cell>
          <cell r="C59">
            <v>0</v>
          </cell>
          <cell r="D59">
            <v>1160</v>
          </cell>
          <cell r="E59">
            <v>0</v>
          </cell>
          <cell r="F59">
            <v>0</v>
          </cell>
        </row>
        <row r="60">
          <cell r="A60">
            <v>45391</v>
          </cell>
          <cell r="B60" t="str">
            <v>VM</v>
          </cell>
          <cell r="C60">
            <v>0</v>
          </cell>
          <cell r="D60">
            <v>122</v>
          </cell>
          <cell r="E60">
            <v>0</v>
          </cell>
          <cell r="F60">
            <v>0</v>
          </cell>
        </row>
        <row r="65">
          <cell r="A65">
            <v>45392</v>
          </cell>
          <cell r="B65" t="str">
            <v>Andere</v>
          </cell>
          <cell r="C65">
            <v>0</v>
          </cell>
          <cell r="D65">
            <v>3086</v>
          </cell>
          <cell r="E65">
            <v>0</v>
          </cell>
          <cell r="F65">
            <v>0</v>
          </cell>
        </row>
        <row r="66">
          <cell r="A66">
            <v>45392</v>
          </cell>
          <cell r="B66" t="str">
            <v>LM</v>
          </cell>
          <cell r="C66">
            <v>0</v>
          </cell>
          <cell r="D66">
            <v>1526</v>
          </cell>
          <cell r="E66">
            <v>0</v>
          </cell>
          <cell r="F66">
            <v>0</v>
          </cell>
        </row>
        <row r="67">
          <cell r="A67">
            <v>45392</v>
          </cell>
          <cell r="B67" t="str">
            <v>VM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</row>
        <row r="72">
          <cell r="A72">
            <v>45393</v>
          </cell>
          <cell r="B72" t="str">
            <v>VM</v>
          </cell>
          <cell r="C72">
            <v>0</v>
          </cell>
          <cell r="D72">
            <v>122</v>
          </cell>
          <cell r="E72">
            <v>0</v>
          </cell>
          <cell r="F72">
            <v>0</v>
          </cell>
        </row>
        <row r="73">
          <cell r="A73">
            <v>45393</v>
          </cell>
          <cell r="B73" t="str">
            <v>LM</v>
          </cell>
          <cell r="C73">
            <v>0</v>
          </cell>
          <cell r="D73">
            <v>746</v>
          </cell>
          <cell r="E73">
            <v>0</v>
          </cell>
          <cell r="F73">
            <v>0</v>
          </cell>
        </row>
        <row r="79">
          <cell r="A79">
            <v>45394</v>
          </cell>
          <cell r="B79" t="str">
            <v>VM</v>
          </cell>
          <cell r="C79">
            <v>0</v>
          </cell>
          <cell r="D79">
            <v>1012</v>
          </cell>
          <cell r="E79">
            <v>0</v>
          </cell>
          <cell r="F79">
            <v>0</v>
          </cell>
        </row>
        <row r="80">
          <cell r="A80">
            <v>45394</v>
          </cell>
          <cell r="B80" t="str">
            <v>Andere</v>
          </cell>
          <cell r="C80">
            <v>0</v>
          </cell>
          <cell r="D80">
            <v>2000</v>
          </cell>
          <cell r="E80">
            <v>0</v>
          </cell>
          <cell r="F80">
            <v>0</v>
          </cell>
        </row>
        <row r="81">
          <cell r="A81">
            <v>45394</v>
          </cell>
          <cell r="B81" t="str">
            <v>LM</v>
          </cell>
          <cell r="C81">
            <v>0</v>
          </cell>
          <cell r="D81">
            <v>348</v>
          </cell>
          <cell r="E81">
            <v>0</v>
          </cell>
          <cell r="F81">
            <v>0</v>
          </cell>
        </row>
        <row r="86">
          <cell r="A86">
            <v>45395</v>
          </cell>
          <cell r="B86" t="str">
            <v>Party</v>
          </cell>
          <cell r="C86">
            <v>0</v>
          </cell>
          <cell r="D86">
            <v>5470</v>
          </cell>
          <cell r="E86">
            <v>0</v>
          </cell>
          <cell r="F86">
            <v>0</v>
          </cell>
        </row>
        <row r="87">
          <cell r="A87">
            <v>45395</v>
          </cell>
          <cell r="B87" t="str">
            <v>LM</v>
          </cell>
          <cell r="C87">
            <v>0</v>
          </cell>
          <cell r="D87">
            <v>728</v>
          </cell>
          <cell r="E87">
            <v>0</v>
          </cell>
          <cell r="F87">
            <v>0</v>
          </cell>
        </row>
        <row r="93">
          <cell r="A93">
            <v>45396</v>
          </cell>
          <cell r="B93" t="str">
            <v>VM</v>
          </cell>
          <cell r="C93">
            <v>0</v>
          </cell>
          <cell r="D93">
            <v>61</v>
          </cell>
          <cell r="E93">
            <v>0</v>
          </cell>
          <cell r="F93">
            <v>127</v>
          </cell>
        </row>
        <row r="94">
          <cell r="A94">
            <v>45396</v>
          </cell>
          <cell r="B94" t="str">
            <v>Frauen</v>
          </cell>
          <cell r="C94">
            <v>0</v>
          </cell>
          <cell r="D94">
            <v>2295</v>
          </cell>
          <cell r="E94">
            <v>0</v>
          </cell>
          <cell r="F94">
            <v>0</v>
          </cell>
        </row>
        <row r="95">
          <cell r="A95">
            <v>45396</v>
          </cell>
          <cell r="B95" t="str">
            <v>LM</v>
          </cell>
          <cell r="C95">
            <v>0</v>
          </cell>
          <cell r="D95">
            <v>864.85</v>
          </cell>
          <cell r="E95">
            <v>0</v>
          </cell>
          <cell r="F95">
            <v>0</v>
          </cell>
        </row>
        <row r="100">
          <cell r="A100">
            <v>45397</v>
          </cell>
          <cell r="B100" t="str">
            <v>LM</v>
          </cell>
          <cell r="C100">
            <v>0</v>
          </cell>
          <cell r="D100">
            <v>1218</v>
          </cell>
          <cell r="E100">
            <v>0</v>
          </cell>
          <cell r="F100">
            <v>0</v>
          </cell>
        </row>
        <row r="101">
          <cell r="A101">
            <v>45397</v>
          </cell>
          <cell r="B101" t="str">
            <v>VM</v>
          </cell>
          <cell r="C101">
            <v>0</v>
          </cell>
          <cell r="D101">
            <v>183</v>
          </cell>
          <cell r="E101">
            <v>0</v>
          </cell>
          <cell r="F101">
            <v>0</v>
          </cell>
        </row>
        <row r="107">
          <cell r="A107">
            <v>45398</v>
          </cell>
          <cell r="B107" t="str">
            <v>LM</v>
          </cell>
          <cell r="C107">
            <v>0</v>
          </cell>
          <cell r="D107">
            <v>1500.95</v>
          </cell>
          <cell r="E107">
            <v>0</v>
          </cell>
          <cell r="F107">
            <v>0</v>
          </cell>
        </row>
        <row r="108">
          <cell r="A108">
            <v>45398</v>
          </cell>
          <cell r="B108" t="str">
            <v>VM</v>
          </cell>
          <cell r="C108">
            <v>0</v>
          </cell>
          <cell r="D108">
            <v>122</v>
          </cell>
          <cell r="E108">
            <v>0</v>
          </cell>
          <cell r="F108">
            <v>0</v>
          </cell>
        </row>
        <row r="114">
          <cell r="A114">
            <v>45399</v>
          </cell>
          <cell r="B114" t="str">
            <v>LM</v>
          </cell>
          <cell r="C114">
            <v>0</v>
          </cell>
          <cell r="D114">
            <v>982.97</v>
          </cell>
          <cell r="E114">
            <v>0</v>
          </cell>
          <cell r="F114">
            <v>0</v>
          </cell>
        </row>
        <row r="115">
          <cell r="A115">
            <v>45399</v>
          </cell>
          <cell r="B115" t="str">
            <v>VM</v>
          </cell>
          <cell r="C115">
            <v>0</v>
          </cell>
          <cell r="D115">
            <v>244</v>
          </cell>
          <cell r="E115">
            <v>0</v>
          </cell>
          <cell r="F115">
            <v>0</v>
          </cell>
        </row>
        <row r="116">
          <cell r="A116">
            <v>45399</v>
          </cell>
          <cell r="B116" t="str">
            <v>none</v>
          </cell>
          <cell r="C116">
            <v>0</v>
          </cell>
          <cell r="D116">
            <v>55000</v>
          </cell>
          <cell r="E116">
            <v>55000</v>
          </cell>
          <cell r="F116">
            <v>0</v>
          </cell>
        </row>
        <row r="117">
          <cell r="A117">
            <v>45399</v>
          </cell>
          <cell r="B117" t="str">
            <v>rent</v>
          </cell>
          <cell r="C117">
            <v>0</v>
          </cell>
          <cell r="D117">
            <v>0</v>
          </cell>
          <cell r="E117">
            <v>0</v>
          </cell>
          <cell r="F117">
            <v>55050</v>
          </cell>
        </row>
        <row r="121">
          <cell r="A121">
            <v>45400</v>
          </cell>
          <cell r="B121" t="str">
            <v>LM</v>
          </cell>
          <cell r="C121">
            <v>0</v>
          </cell>
          <cell r="D121">
            <v>1459</v>
          </cell>
          <cell r="E121">
            <v>0</v>
          </cell>
          <cell r="F121">
            <v>0</v>
          </cell>
        </row>
        <row r="122">
          <cell r="A122">
            <v>45400</v>
          </cell>
          <cell r="B122" t="str">
            <v>VM</v>
          </cell>
          <cell r="C122">
            <v>0</v>
          </cell>
          <cell r="D122">
            <v>122</v>
          </cell>
          <cell r="E122">
            <v>0</v>
          </cell>
          <cell r="F122">
            <v>50.97</v>
          </cell>
        </row>
        <row r="128">
          <cell r="A128">
            <v>45401</v>
          </cell>
          <cell r="B128" t="str">
            <v>Rauchen</v>
          </cell>
          <cell r="C128">
            <v>0</v>
          </cell>
          <cell r="D128">
            <v>1600</v>
          </cell>
          <cell r="E128">
            <v>0</v>
          </cell>
          <cell r="F128">
            <v>0</v>
          </cell>
        </row>
        <row r="129">
          <cell r="A129">
            <v>45401</v>
          </cell>
          <cell r="B129" t="str">
            <v>Party</v>
          </cell>
          <cell r="C129">
            <v>0</v>
          </cell>
          <cell r="D129">
            <v>600</v>
          </cell>
          <cell r="E129">
            <v>0</v>
          </cell>
          <cell r="F129">
            <v>0</v>
          </cell>
        </row>
        <row r="130">
          <cell r="A130">
            <v>45401</v>
          </cell>
          <cell r="B130" t="str">
            <v>none</v>
          </cell>
          <cell r="C130">
            <v>0</v>
          </cell>
          <cell r="D130">
            <v>1000</v>
          </cell>
          <cell r="E130">
            <v>1000</v>
          </cell>
          <cell r="F130">
            <v>0</v>
          </cell>
        </row>
        <row r="135">
          <cell r="A135">
            <v>45402</v>
          </cell>
          <cell r="B135" t="str">
            <v>VM</v>
          </cell>
          <cell r="C135">
            <v>0</v>
          </cell>
          <cell r="D135">
            <v>1439</v>
          </cell>
          <cell r="E135">
            <v>0</v>
          </cell>
          <cell r="F135">
            <v>0</v>
          </cell>
        </row>
        <row r="136">
          <cell r="A136">
            <v>45402</v>
          </cell>
          <cell r="B136" t="str">
            <v>LM</v>
          </cell>
          <cell r="C136">
            <v>0</v>
          </cell>
          <cell r="D136">
            <v>1405.67</v>
          </cell>
          <cell r="E136">
            <v>0</v>
          </cell>
          <cell r="F136">
            <v>0</v>
          </cell>
        </row>
        <row r="142">
          <cell r="A142">
            <v>45403</v>
          </cell>
          <cell r="B142" t="str">
            <v>for me</v>
          </cell>
          <cell r="C142">
            <v>0</v>
          </cell>
          <cell r="D142">
            <v>1000</v>
          </cell>
          <cell r="E142">
            <v>0</v>
          </cell>
          <cell r="F142">
            <v>0</v>
          </cell>
        </row>
        <row r="143">
          <cell r="A143">
            <v>45403</v>
          </cell>
          <cell r="B143" t="str">
            <v>VM</v>
          </cell>
          <cell r="C143">
            <v>0</v>
          </cell>
          <cell r="D143">
            <v>122</v>
          </cell>
          <cell r="E143">
            <v>0</v>
          </cell>
          <cell r="F143">
            <v>0</v>
          </cell>
        </row>
        <row r="149">
          <cell r="A149">
            <v>45404</v>
          </cell>
          <cell r="B149" t="str">
            <v>LM</v>
          </cell>
          <cell r="C149">
            <v>0</v>
          </cell>
          <cell r="D149">
            <v>3070</v>
          </cell>
          <cell r="E149">
            <v>0</v>
          </cell>
          <cell r="F149">
            <v>0</v>
          </cell>
        </row>
        <row r="156">
          <cell r="A156">
            <v>45405</v>
          </cell>
          <cell r="B156" t="str">
            <v>Andere</v>
          </cell>
          <cell r="C156">
            <v>0</v>
          </cell>
          <cell r="D156">
            <v>1461</v>
          </cell>
          <cell r="E156">
            <v>0</v>
          </cell>
          <cell r="F156">
            <v>0</v>
          </cell>
        </row>
        <row r="157">
          <cell r="A157">
            <v>45405</v>
          </cell>
          <cell r="B157" t="str">
            <v>VM</v>
          </cell>
          <cell r="C157">
            <v>0</v>
          </cell>
          <cell r="D157">
            <v>3275</v>
          </cell>
          <cell r="E157">
            <v>0</v>
          </cell>
          <cell r="F157">
            <v>0</v>
          </cell>
        </row>
        <row r="158">
          <cell r="A158">
            <v>45405</v>
          </cell>
          <cell r="B158" t="str">
            <v>LM</v>
          </cell>
          <cell r="C158">
            <v>0</v>
          </cell>
          <cell r="D158">
            <v>673</v>
          </cell>
          <cell r="E158">
            <v>0</v>
          </cell>
          <cell r="F158">
            <v>0</v>
          </cell>
        </row>
        <row r="159">
          <cell r="A159">
            <v>45405</v>
          </cell>
          <cell r="B159" t="str">
            <v>VM</v>
          </cell>
          <cell r="C159">
            <v>0</v>
          </cell>
          <cell r="D159">
            <v>122</v>
          </cell>
          <cell r="E159">
            <v>0</v>
          </cell>
          <cell r="F159">
            <v>0</v>
          </cell>
        </row>
        <row r="163">
          <cell r="A163">
            <v>45406</v>
          </cell>
          <cell r="B163" t="str">
            <v>VM</v>
          </cell>
          <cell r="C163">
            <v>0</v>
          </cell>
          <cell r="D163">
            <v>891</v>
          </cell>
          <cell r="E163">
            <v>0</v>
          </cell>
          <cell r="F163">
            <v>0</v>
          </cell>
        </row>
        <row r="164">
          <cell r="A164">
            <v>45406</v>
          </cell>
          <cell r="B164" t="str">
            <v>LM</v>
          </cell>
          <cell r="C164">
            <v>0</v>
          </cell>
          <cell r="D164">
            <v>2774</v>
          </cell>
          <cell r="E164">
            <v>0</v>
          </cell>
          <cell r="F164">
            <v>0</v>
          </cell>
        </row>
        <row r="165">
          <cell r="A165">
            <v>45406</v>
          </cell>
          <cell r="B165" t="str">
            <v>VM</v>
          </cell>
          <cell r="C165">
            <v>0</v>
          </cell>
          <cell r="D165">
            <v>61</v>
          </cell>
          <cell r="E165">
            <v>0</v>
          </cell>
          <cell r="F165">
            <v>0</v>
          </cell>
        </row>
        <row r="166">
          <cell r="A166">
            <v>45406</v>
          </cell>
          <cell r="B166" t="str">
            <v>Refill</v>
          </cell>
          <cell r="C166">
            <v>63298.14</v>
          </cell>
          <cell r="D166">
            <v>0</v>
          </cell>
          <cell r="E166">
            <v>0</v>
          </cell>
          <cell r="F166">
            <v>0</v>
          </cell>
        </row>
        <row r="170">
          <cell r="A170">
            <v>45407</v>
          </cell>
          <cell r="B170" t="str">
            <v>VM</v>
          </cell>
          <cell r="C170">
            <v>0</v>
          </cell>
          <cell r="D170">
            <v>727</v>
          </cell>
          <cell r="E170">
            <v>0</v>
          </cell>
          <cell r="F170">
            <v>81.5</v>
          </cell>
        </row>
        <row r="171">
          <cell r="A171">
            <v>45407</v>
          </cell>
          <cell r="B171" t="str">
            <v>LM</v>
          </cell>
          <cell r="C171">
            <v>0</v>
          </cell>
          <cell r="D171">
            <v>823</v>
          </cell>
          <cell r="E171">
            <v>0</v>
          </cell>
          <cell r="F171">
            <v>0</v>
          </cell>
        </row>
        <row r="172">
          <cell r="A172">
            <v>45407</v>
          </cell>
          <cell r="B172" t="str">
            <v>Refill</v>
          </cell>
          <cell r="C172">
            <v>7844.2</v>
          </cell>
          <cell r="D172">
            <v>0</v>
          </cell>
          <cell r="E172">
            <v>0</v>
          </cell>
          <cell r="F172">
            <v>0</v>
          </cell>
        </row>
        <row r="173">
          <cell r="A173">
            <v>45407</v>
          </cell>
          <cell r="B173" t="str">
            <v>Rauchen</v>
          </cell>
          <cell r="C173">
            <v>0</v>
          </cell>
          <cell r="D173">
            <v>1499</v>
          </cell>
          <cell r="E173">
            <v>0</v>
          </cell>
          <cell r="F173">
            <v>0</v>
          </cell>
        </row>
        <row r="174">
          <cell r="A174">
            <v>45407</v>
          </cell>
          <cell r="B174" t="str">
            <v>Andere</v>
          </cell>
          <cell r="C174">
            <v>0</v>
          </cell>
          <cell r="D174">
            <v>800</v>
          </cell>
          <cell r="E174">
            <v>0</v>
          </cell>
          <cell r="F174">
            <v>0</v>
          </cell>
        </row>
        <row r="177">
          <cell r="A177">
            <v>45408</v>
          </cell>
          <cell r="B177" t="str">
            <v>LM</v>
          </cell>
          <cell r="C177">
            <v>0</v>
          </cell>
          <cell r="D177">
            <v>2476</v>
          </cell>
          <cell r="E177">
            <v>0</v>
          </cell>
          <cell r="F177">
            <v>0</v>
          </cell>
        </row>
        <row r="178">
          <cell r="A178">
            <v>45408</v>
          </cell>
          <cell r="B178" t="str">
            <v>VM</v>
          </cell>
          <cell r="C178">
            <v>0</v>
          </cell>
          <cell r="D178">
            <v>61</v>
          </cell>
          <cell r="E178">
            <v>0</v>
          </cell>
          <cell r="F178">
            <v>72</v>
          </cell>
        </row>
        <row r="179">
          <cell r="A179">
            <v>45408</v>
          </cell>
          <cell r="B179" t="str">
            <v>Frauen</v>
          </cell>
          <cell r="C179">
            <v>0</v>
          </cell>
          <cell r="D179">
            <v>3780</v>
          </cell>
          <cell r="E179">
            <v>0</v>
          </cell>
          <cell r="F179">
            <v>0</v>
          </cell>
        </row>
        <row r="184">
          <cell r="A184">
            <v>45409</v>
          </cell>
          <cell r="B184" t="str">
            <v>Andere</v>
          </cell>
          <cell r="C184">
            <v>0</v>
          </cell>
          <cell r="D184">
            <v>299</v>
          </cell>
          <cell r="E184">
            <v>0</v>
          </cell>
          <cell r="F184">
            <v>0</v>
          </cell>
        </row>
        <row r="185">
          <cell r="A185">
            <v>45409</v>
          </cell>
          <cell r="B185" t="str">
            <v>VM</v>
          </cell>
          <cell r="C185">
            <v>0</v>
          </cell>
          <cell r="D185">
            <v>61</v>
          </cell>
          <cell r="E185">
            <v>0</v>
          </cell>
          <cell r="F185">
            <v>0</v>
          </cell>
        </row>
        <row r="186">
          <cell r="A186">
            <v>45409</v>
          </cell>
          <cell r="B186" t="str">
            <v>LM</v>
          </cell>
          <cell r="C186">
            <v>0</v>
          </cell>
          <cell r="D186">
            <v>701</v>
          </cell>
          <cell r="E186">
            <v>0</v>
          </cell>
          <cell r="F186">
            <v>0</v>
          </cell>
        </row>
        <row r="191">
          <cell r="A191">
            <v>45410</v>
          </cell>
          <cell r="B191" t="str">
            <v>LM</v>
          </cell>
          <cell r="C191">
            <v>0</v>
          </cell>
          <cell r="D191">
            <v>360</v>
          </cell>
          <cell r="E191">
            <v>0</v>
          </cell>
          <cell r="F191">
            <v>0</v>
          </cell>
        </row>
        <row r="192">
          <cell r="A192">
            <v>45410</v>
          </cell>
          <cell r="B192" t="str">
            <v>LM</v>
          </cell>
          <cell r="C192">
            <v>0</v>
          </cell>
          <cell r="D192">
            <v>373.95</v>
          </cell>
          <cell r="E192">
            <v>0</v>
          </cell>
          <cell r="F192">
            <v>0</v>
          </cell>
        </row>
        <row r="193">
          <cell r="A193">
            <v>45410</v>
          </cell>
          <cell r="B193" t="str">
            <v>Frauen</v>
          </cell>
          <cell r="C193">
            <v>0</v>
          </cell>
          <cell r="D193">
            <v>0</v>
          </cell>
          <cell r="E193">
            <v>0</v>
          </cell>
          <cell r="F193">
            <v>2000</v>
          </cell>
        </row>
        <row r="198">
          <cell r="A198">
            <v>45411</v>
          </cell>
          <cell r="B198" t="str">
            <v>LM</v>
          </cell>
          <cell r="C198">
            <v>0</v>
          </cell>
          <cell r="D198">
            <v>5184.95</v>
          </cell>
          <cell r="E198">
            <v>0</v>
          </cell>
          <cell r="F198">
            <v>0</v>
          </cell>
        </row>
        <row r="199">
          <cell r="A199">
            <v>45411</v>
          </cell>
          <cell r="B199" t="str">
            <v>Kleidung</v>
          </cell>
          <cell r="C199">
            <v>0</v>
          </cell>
          <cell r="D199">
            <v>1294</v>
          </cell>
          <cell r="E199">
            <v>0</v>
          </cell>
          <cell r="F199">
            <v>0</v>
          </cell>
        </row>
        <row r="200">
          <cell r="A200">
            <v>45411</v>
          </cell>
          <cell r="B200" t="str">
            <v>Frauen</v>
          </cell>
          <cell r="C200">
            <v>0</v>
          </cell>
          <cell r="D200">
            <v>740</v>
          </cell>
          <cell r="E200">
            <v>0</v>
          </cell>
          <cell r="F200">
            <v>0</v>
          </cell>
        </row>
        <row r="201">
          <cell r="A201">
            <v>45411</v>
          </cell>
          <cell r="B201" t="str">
            <v>LM</v>
          </cell>
          <cell r="C201">
            <v>0</v>
          </cell>
          <cell r="D201">
            <v>380</v>
          </cell>
          <cell r="E201">
            <v>0</v>
          </cell>
          <cell r="F201">
            <v>0</v>
          </cell>
        </row>
        <row r="202">
          <cell r="A202">
            <v>45411</v>
          </cell>
          <cell r="B202" t="str">
            <v>Andere</v>
          </cell>
          <cell r="C202">
            <v>0</v>
          </cell>
          <cell r="D202">
            <v>8000</v>
          </cell>
          <cell r="E202">
            <v>0</v>
          </cell>
          <cell r="F202">
            <v>0</v>
          </cell>
        </row>
        <row r="203">
          <cell r="A203">
            <v>45411</v>
          </cell>
          <cell r="B203" t="str">
            <v>VM</v>
          </cell>
          <cell r="C203">
            <v>0</v>
          </cell>
          <cell r="D203">
            <v>0</v>
          </cell>
          <cell r="E203">
            <v>0</v>
          </cell>
          <cell r="F203">
            <v>94.94</v>
          </cell>
        </row>
        <row r="204">
          <cell r="A204">
            <v>45411</v>
          </cell>
          <cell r="B204" t="str">
            <v>none</v>
          </cell>
          <cell r="C204">
            <v>0</v>
          </cell>
          <cell r="D204">
            <v>1700</v>
          </cell>
          <cell r="E204">
            <v>1700</v>
          </cell>
          <cell r="F204">
            <v>0</v>
          </cell>
        </row>
        <row r="205">
          <cell r="A205">
            <v>45412</v>
          </cell>
          <cell r="B205" t="str">
            <v>none</v>
          </cell>
          <cell r="C205">
            <v>0</v>
          </cell>
          <cell r="D205">
            <v>4000</v>
          </cell>
          <cell r="E205">
            <v>4000</v>
          </cell>
          <cell r="F205">
            <v>0</v>
          </cell>
        </row>
        <row r="206">
          <cell r="A206">
            <v>45412</v>
          </cell>
          <cell r="B206" t="str">
            <v>Rauchen</v>
          </cell>
          <cell r="C206">
            <v>0</v>
          </cell>
          <cell r="D206">
            <v>1600</v>
          </cell>
          <cell r="E206">
            <v>0</v>
          </cell>
          <cell r="F206">
            <v>0</v>
          </cell>
        </row>
        <row r="207">
          <cell r="A207">
            <v>45412</v>
          </cell>
          <cell r="B207" t="str">
            <v>VM</v>
          </cell>
          <cell r="C207">
            <v>0</v>
          </cell>
          <cell r="D207">
            <v>2339</v>
          </cell>
          <cell r="E207">
            <v>0</v>
          </cell>
          <cell r="F207">
            <v>72</v>
          </cell>
        </row>
        <row r="208">
          <cell r="A208">
            <v>45412</v>
          </cell>
          <cell r="B208" t="str">
            <v>LM</v>
          </cell>
          <cell r="C208">
            <v>0</v>
          </cell>
          <cell r="D208">
            <v>1120</v>
          </cell>
          <cell r="E208">
            <v>0</v>
          </cell>
          <cell r="F208">
            <v>0</v>
          </cell>
        </row>
        <row r="209">
          <cell r="A209">
            <v>45412</v>
          </cell>
          <cell r="B209" t="str">
            <v>Andere</v>
          </cell>
          <cell r="C209">
            <v>0</v>
          </cell>
          <cell r="D209">
            <v>2040</v>
          </cell>
          <cell r="E209">
            <v>0</v>
          </cell>
          <cell r="F209">
            <v>3939</v>
          </cell>
        </row>
        <row r="210">
          <cell r="A210">
            <v>45412</v>
          </cell>
          <cell r="B210" t="str">
            <v>Refill</v>
          </cell>
          <cell r="C210">
            <v>3381.1499999999996</v>
          </cell>
          <cell r="D210">
            <v>0</v>
          </cell>
          <cell r="E210">
            <v>0</v>
          </cell>
          <cell r="F210">
            <v>0</v>
          </cell>
        </row>
      </sheetData>
      <sheetData sheetId="43">
        <row r="2">
          <cell r="A2">
            <v>45413</v>
          </cell>
          <cell r="B2" t="str">
            <v>LM</v>
          </cell>
          <cell r="C2">
            <v>0</v>
          </cell>
          <cell r="D2">
            <v>730</v>
          </cell>
          <cell r="E2">
            <v>0</v>
          </cell>
          <cell r="F2">
            <v>7300</v>
          </cell>
        </row>
        <row r="3">
          <cell r="A3">
            <v>45413</v>
          </cell>
          <cell r="B3" t="str">
            <v>VM</v>
          </cell>
          <cell r="C3">
            <v>0</v>
          </cell>
          <cell r="D3">
            <v>61</v>
          </cell>
          <cell r="E3">
            <v>0</v>
          </cell>
          <cell r="F3">
            <v>0</v>
          </cell>
        </row>
        <row r="4">
          <cell r="A4">
            <v>45413</v>
          </cell>
          <cell r="B4" t="str">
            <v>Andere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</row>
        <row r="5">
          <cell r="A5">
            <v>45413</v>
          </cell>
          <cell r="B5" t="str">
            <v>for me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A6">
            <v>45413</v>
          </cell>
          <cell r="B6" t="str">
            <v>Party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</row>
        <row r="7">
          <cell r="A7">
            <v>45413</v>
          </cell>
          <cell r="B7" t="str">
            <v>Kleidung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</row>
        <row r="8">
          <cell r="A8">
            <v>45413</v>
          </cell>
          <cell r="B8" t="str">
            <v>none</v>
          </cell>
          <cell r="C8">
            <v>0</v>
          </cell>
          <cell r="D8">
            <v>10000</v>
          </cell>
          <cell r="E8">
            <v>10000</v>
          </cell>
          <cell r="F8">
            <v>0</v>
          </cell>
        </row>
        <row r="9">
          <cell r="A9">
            <v>45414</v>
          </cell>
          <cell r="B9" t="str">
            <v>LM</v>
          </cell>
          <cell r="C9">
            <v>0</v>
          </cell>
          <cell r="D9">
            <v>300</v>
          </cell>
          <cell r="E9">
            <v>0</v>
          </cell>
          <cell r="F9">
            <v>0</v>
          </cell>
        </row>
        <row r="10">
          <cell r="A10">
            <v>45414</v>
          </cell>
          <cell r="B10" t="str">
            <v>Refill</v>
          </cell>
          <cell r="C10">
            <v>3922.1</v>
          </cell>
          <cell r="D10">
            <v>0</v>
          </cell>
          <cell r="E10">
            <v>0</v>
          </cell>
          <cell r="F10">
            <v>0</v>
          </cell>
        </row>
        <row r="16">
          <cell r="A16">
            <v>45415</v>
          </cell>
          <cell r="B16" t="str">
            <v>Frauen</v>
          </cell>
          <cell r="C16">
            <v>0</v>
          </cell>
          <cell r="D16">
            <v>100</v>
          </cell>
          <cell r="E16">
            <v>0</v>
          </cell>
          <cell r="F16">
            <v>0</v>
          </cell>
        </row>
        <row r="17">
          <cell r="A17">
            <v>45415</v>
          </cell>
          <cell r="B17" t="str">
            <v>for me</v>
          </cell>
          <cell r="C17">
            <v>0</v>
          </cell>
          <cell r="D17">
            <v>24000</v>
          </cell>
          <cell r="E17">
            <v>0</v>
          </cell>
          <cell r="F17">
            <v>0</v>
          </cell>
        </row>
        <row r="23">
          <cell r="A23">
            <v>45416</v>
          </cell>
          <cell r="B23" t="str">
            <v>LM</v>
          </cell>
          <cell r="C23">
            <v>0</v>
          </cell>
          <cell r="D23">
            <v>800</v>
          </cell>
          <cell r="E23">
            <v>0</v>
          </cell>
          <cell r="F23">
            <v>0</v>
          </cell>
        </row>
        <row r="24">
          <cell r="A24">
            <v>45416</v>
          </cell>
          <cell r="B24" t="str">
            <v>none</v>
          </cell>
          <cell r="C24">
            <v>3500</v>
          </cell>
          <cell r="D24">
            <v>0</v>
          </cell>
          <cell r="E24">
            <v>0</v>
          </cell>
          <cell r="F24">
            <v>0</v>
          </cell>
        </row>
        <row r="30">
          <cell r="A30">
            <v>45417</v>
          </cell>
          <cell r="B30" t="str">
            <v>LM</v>
          </cell>
          <cell r="C30">
            <v>0</v>
          </cell>
          <cell r="D30">
            <v>-2588</v>
          </cell>
          <cell r="E30">
            <v>0</v>
          </cell>
          <cell r="F30">
            <v>0</v>
          </cell>
        </row>
        <row r="31">
          <cell r="A31">
            <v>45417</v>
          </cell>
          <cell r="B31" t="str">
            <v>Andere</v>
          </cell>
          <cell r="C31">
            <v>0</v>
          </cell>
          <cell r="D31">
            <v>2200</v>
          </cell>
          <cell r="E31">
            <v>0</v>
          </cell>
          <cell r="F31">
            <v>0</v>
          </cell>
        </row>
        <row r="37">
          <cell r="A37">
            <v>45418</v>
          </cell>
          <cell r="B37" t="str">
            <v>LM</v>
          </cell>
          <cell r="C37">
            <v>0</v>
          </cell>
          <cell r="D37">
            <v>5132</v>
          </cell>
          <cell r="E37">
            <v>0</v>
          </cell>
          <cell r="F37">
            <v>0</v>
          </cell>
        </row>
        <row r="38">
          <cell r="A38">
            <v>45418</v>
          </cell>
          <cell r="B38" t="str">
            <v>Andere</v>
          </cell>
          <cell r="C38">
            <v>0</v>
          </cell>
          <cell r="D38">
            <v>2000</v>
          </cell>
          <cell r="E38">
            <v>0</v>
          </cell>
          <cell r="F38">
            <v>0</v>
          </cell>
        </row>
        <row r="39">
          <cell r="A39">
            <v>45418</v>
          </cell>
          <cell r="B39" t="str">
            <v>VM</v>
          </cell>
          <cell r="C39">
            <v>0</v>
          </cell>
          <cell r="D39">
            <v>2597</v>
          </cell>
          <cell r="E39">
            <v>0</v>
          </cell>
          <cell r="F39">
            <v>0</v>
          </cell>
        </row>
        <row r="44">
          <cell r="A44">
            <v>45419</v>
          </cell>
          <cell r="B44" t="str">
            <v>LM</v>
          </cell>
          <cell r="C44">
            <v>0</v>
          </cell>
          <cell r="D44">
            <v>1437.94</v>
          </cell>
          <cell r="E44">
            <v>0</v>
          </cell>
          <cell r="F44">
            <v>0</v>
          </cell>
        </row>
        <row r="45">
          <cell r="A45">
            <v>45419</v>
          </cell>
          <cell r="B45" t="str">
            <v>Refill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</row>
        <row r="51">
          <cell r="A51">
            <v>45420</v>
          </cell>
          <cell r="B51" t="str">
            <v>LM</v>
          </cell>
          <cell r="C51">
            <v>0</v>
          </cell>
          <cell r="D51">
            <v>1124</v>
          </cell>
          <cell r="E51">
            <v>0</v>
          </cell>
          <cell r="F51">
            <v>0</v>
          </cell>
        </row>
        <row r="52">
          <cell r="A52">
            <v>45420</v>
          </cell>
          <cell r="B52" t="str">
            <v>Refill</v>
          </cell>
          <cell r="C52">
            <v>67983.86</v>
          </cell>
          <cell r="D52">
            <v>0</v>
          </cell>
          <cell r="E52">
            <v>0</v>
          </cell>
          <cell r="F52">
            <v>0</v>
          </cell>
        </row>
        <row r="58">
          <cell r="A58">
            <v>45421</v>
          </cell>
          <cell r="B58" t="str">
            <v>LM</v>
          </cell>
          <cell r="C58">
            <v>0</v>
          </cell>
          <cell r="D58">
            <v>4430.3799999999992</v>
          </cell>
          <cell r="E58">
            <v>0</v>
          </cell>
          <cell r="F58">
            <v>0</v>
          </cell>
        </row>
        <row r="59">
          <cell r="A59">
            <v>45421</v>
          </cell>
          <cell r="B59" t="str">
            <v>for me</v>
          </cell>
          <cell r="C59">
            <v>0</v>
          </cell>
          <cell r="D59">
            <v>1352</v>
          </cell>
          <cell r="E59">
            <v>0</v>
          </cell>
          <cell r="F59">
            <v>0</v>
          </cell>
        </row>
        <row r="65">
          <cell r="A65">
            <v>45422</v>
          </cell>
          <cell r="B65" t="str">
            <v>VM</v>
          </cell>
          <cell r="C65">
            <v>0</v>
          </cell>
          <cell r="D65">
            <v>122</v>
          </cell>
          <cell r="E65">
            <v>0</v>
          </cell>
          <cell r="F65">
            <v>0</v>
          </cell>
        </row>
        <row r="72">
          <cell r="A72">
            <v>45423</v>
          </cell>
          <cell r="B72" t="str">
            <v>LM</v>
          </cell>
          <cell r="C72">
            <v>0</v>
          </cell>
          <cell r="D72">
            <v>459.99</v>
          </cell>
          <cell r="E72">
            <v>0</v>
          </cell>
          <cell r="F72">
            <v>0</v>
          </cell>
        </row>
        <row r="73">
          <cell r="A73">
            <v>45423</v>
          </cell>
          <cell r="B73" t="str">
            <v>none</v>
          </cell>
          <cell r="C73">
            <v>0</v>
          </cell>
          <cell r="D73">
            <v>50000</v>
          </cell>
          <cell r="E73">
            <v>0</v>
          </cell>
          <cell r="F73">
            <v>0</v>
          </cell>
        </row>
        <row r="79">
          <cell r="A79">
            <v>45424</v>
          </cell>
          <cell r="B79" t="str">
            <v>Andere</v>
          </cell>
          <cell r="C79">
            <v>0</v>
          </cell>
          <cell r="D79">
            <v>1900</v>
          </cell>
          <cell r="E79">
            <v>0</v>
          </cell>
          <cell r="F79">
            <v>0</v>
          </cell>
        </row>
        <row r="80">
          <cell r="A80">
            <v>45424</v>
          </cell>
          <cell r="B80" t="str">
            <v>VM</v>
          </cell>
          <cell r="C80">
            <v>0</v>
          </cell>
          <cell r="D80">
            <v>779</v>
          </cell>
          <cell r="E80">
            <v>0</v>
          </cell>
          <cell r="F80">
            <v>0</v>
          </cell>
        </row>
        <row r="86">
          <cell r="A86">
            <v>45425</v>
          </cell>
          <cell r="B86" t="str">
            <v>Andere</v>
          </cell>
          <cell r="C86">
            <v>0</v>
          </cell>
          <cell r="D86">
            <v>3910</v>
          </cell>
          <cell r="E86">
            <v>0</v>
          </cell>
          <cell r="F86">
            <v>0</v>
          </cell>
        </row>
        <row r="87">
          <cell r="A87">
            <v>45425</v>
          </cell>
          <cell r="B87" t="str">
            <v>VM</v>
          </cell>
          <cell r="C87">
            <v>0</v>
          </cell>
          <cell r="D87">
            <v>655</v>
          </cell>
          <cell r="E87">
            <v>0</v>
          </cell>
          <cell r="F87">
            <v>0</v>
          </cell>
        </row>
        <row r="88">
          <cell r="A88">
            <v>45425</v>
          </cell>
          <cell r="B88" t="str">
            <v>Andere</v>
          </cell>
          <cell r="C88">
            <v>0</v>
          </cell>
          <cell r="D88">
            <v>1000</v>
          </cell>
          <cell r="E88">
            <v>0</v>
          </cell>
          <cell r="F88">
            <v>0</v>
          </cell>
        </row>
        <row r="89">
          <cell r="A89">
            <v>45425</v>
          </cell>
          <cell r="B89" t="str">
            <v>LM</v>
          </cell>
          <cell r="C89">
            <v>0</v>
          </cell>
          <cell r="D89">
            <v>517.96</v>
          </cell>
          <cell r="E89">
            <v>0</v>
          </cell>
          <cell r="F89">
            <v>0</v>
          </cell>
        </row>
        <row r="93">
          <cell r="A93">
            <v>45426</v>
          </cell>
          <cell r="B93" t="str">
            <v>for me</v>
          </cell>
          <cell r="C93">
            <v>0</v>
          </cell>
          <cell r="D93">
            <v>7623</v>
          </cell>
          <cell r="E93">
            <v>0</v>
          </cell>
          <cell r="F93">
            <v>0</v>
          </cell>
        </row>
        <row r="100">
          <cell r="A100">
            <v>45427</v>
          </cell>
          <cell r="B100" t="str">
            <v>LM</v>
          </cell>
          <cell r="C100">
            <v>0</v>
          </cell>
          <cell r="D100">
            <v>821.98</v>
          </cell>
          <cell r="E100">
            <v>0</v>
          </cell>
          <cell r="F100">
            <v>0</v>
          </cell>
        </row>
        <row r="107">
          <cell r="A107">
            <v>45428</v>
          </cell>
          <cell r="B107" t="str">
            <v>LM</v>
          </cell>
          <cell r="C107">
            <v>0</v>
          </cell>
          <cell r="D107">
            <v>1561.95</v>
          </cell>
          <cell r="E107">
            <v>0</v>
          </cell>
          <cell r="F107">
            <v>0</v>
          </cell>
        </row>
        <row r="108">
          <cell r="A108">
            <v>45428</v>
          </cell>
          <cell r="B108" t="str">
            <v>VM</v>
          </cell>
          <cell r="C108">
            <v>0</v>
          </cell>
          <cell r="D108">
            <v>122</v>
          </cell>
          <cell r="E108">
            <v>0</v>
          </cell>
          <cell r="F108">
            <v>0</v>
          </cell>
        </row>
        <row r="114">
          <cell r="A114">
            <v>45429</v>
          </cell>
          <cell r="B114" t="str">
            <v>VM</v>
          </cell>
          <cell r="C114">
            <v>0</v>
          </cell>
          <cell r="D114">
            <v>12546</v>
          </cell>
          <cell r="E114">
            <v>0</v>
          </cell>
          <cell r="F114">
            <v>0</v>
          </cell>
        </row>
        <row r="115">
          <cell r="A115">
            <v>45429</v>
          </cell>
          <cell r="B115" t="str">
            <v>LM</v>
          </cell>
          <cell r="C115">
            <v>0</v>
          </cell>
          <cell r="D115">
            <v>1938</v>
          </cell>
          <cell r="E115">
            <v>0</v>
          </cell>
          <cell r="F115">
            <v>0</v>
          </cell>
        </row>
        <row r="116">
          <cell r="A116">
            <v>45429</v>
          </cell>
          <cell r="B116" t="str">
            <v>Andere</v>
          </cell>
          <cell r="C116">
            <v>0</v>
          </cell>
          <cell r="D116">
            <v>1349</v>
          </cell>
          <cell r="E116">
            <v>0</v>
          </cell>
          <cell r="F116">
            <v>0</v>
          </cell>
        </row>
        <row r="117">
          <cell r="A117">
            <v>45429</v>
          </cell>
          <cell r="B117" t="str">
            <v>none</v>
          </cell>
          <cell r="C117">
            <v>0</v>
          </cell>
          <cell r="D117">
            <v>55000</v>
          </cell>
          <cell r="E117">
            <v>55000</v>
          </cell>
          <cell r="F117">
            <v>0</v>
          </cell>
        </row>
        <row r="118">
          <cell r="A118">
            <v>45429</v>
          </cell>
          <cell r="B118" t="str">
            <v>rent</v>
          </cell>
          <cell r="C118">
            <v>0</v>
          </cell>
          <cell r="D118">
            <v>0</v>
          </cell>
          <cell r="E118">
            <v>0</v>
          </cell>
          <cell r="F118">
            <v>55138</v>
          </cell>
        </row>
        <row r="121">
          <cell r="A121">
            <v>45430</v>
          </cell>
          <cell r="B121" t="str">
            <v>LM</v>
          </cell>
          <cell r="C121">
            <v>0</v>
          </cell>
          <cell r="D121">
            <v>3171.99</v>
          </cell>
          <cell r="E121">
            <v>0</v>
          </cell>
          <cell r="F121">
            <v>0</v>
          </cell>
        </row>
        <row r="122">
          <cell r="A122">
            <v>45430</v>
          </cell>
          <cell r="B122" t="str">
            <v>VM</v>
          </cell>
          <cell r="C122">
            <v>0</v>
          </cell>
          <cell r="D122">
            <v>122</v>
          </cell>
          <cell r="E122">
            <v>0</v>
          </cell>
          <cell r="F122">
            <v>72</v>
          </cell>
        </row>
        <row r="128">
          <cell r="A128">
            <v>45431</v>
          </cell>
          <cell r="B128" t="str">
            <v>Frauen</v>
          </cell>
          <cell r="C128">
            <v>0</v>
          </cell>
          <cell r="D128">
            <v>1458.6</v>
          </cell>
          <cell r="E128">
            <v>0</v>
          </cell>
          <cell r="F128">
            <v>0</v>
          </cell>
        </row>
        <row r="129">
          <cell r="A129">
            <v>45431</v>
          </cell>
          <cell r="B129" t="str">
            <v>VM</v>
          </cell>
          <cell r="C129">
            <v>0</v>
          </cell>
          <cell r="D129">
            <v>1853</v>
          </cell>
          <cell r="E129">
            <v>0</v>
          </cell>
          <cell r="F129">
            <v>0</v>
          </cell>
        </row>
        <row r="130">
          <cell r="A130">
            <v>45431</v>
          </cell>
          <cell r="B130" t="str">
            <v>LM</v>
          </cell>
          <cell r="C130">
            <v>0</v>
          </cell>
          <cell r="D130">
            <v>250</v>
          </cell>
          <cell r="E130">
            <v>0</v>
          </cell>
          <cell r="F130">
            <v>0</v>
          </cell>
        </row>
        <row r="135">
          <cell r="A135">
            <v>45432</v>
          </cell>
          <cell r="B135" t="str">
            <v>VM</v>
          </cell>
          <cell r="C135">
            <v>0</v>
          </cell>
          <cell r="D135">
            <v>1590.7</v>
          </cell>
          <cell r="E135">
            <v>0</v>
          </cell>
          <cell r="F135">
            <v>0</v>
          </cell>
        </row>
        <row r="136">
          <cell r="A136">
            <v>45432</v>
          </cell>
          <cell r="B136" t="str">
            <v>VM</v>
          </cell>
          <cell r="C136">
            <v>0</v>
          </cell>
          <cell r="D136">
            <v>3894</v>
          </cell>
          <cell r="E136">
            <v>0</v>
          </cell>
          <cell r="F136">
            <v>0</v>
          </cell>
        </row>
        <row r="142">
          <cell r="A142">
            <v>45433</v>
          </cell>
          <cell r="B142" t="str">
            <v>VM</v>
          </cell>
          <cell r="C142">
            <v>0</v>
          </cell>
          <cell r="D142">
            <v>313.48</v>
          </cell>
          <cell r="E142">
            <v>0</v>
          </cell>
          <cell r="F142">
            <v>0</v>
          </cell>
        </row>
        <row r="149">
          <cell r="A149">
            <v>45434</v>
          </cell>
          <cell r="B149" t="str">
            <v>Andere</v>
          </cell>
          <cell r="C149">
            <v>0</v>
          </cell>
          <cell r="D149">
            <v>770</v>
          </cell>
          <cell r="E149">
            <v>0</v>
          </cell>
          <cell r="F149">
            <v>100</v>
          </cell>
        </row>
        <row r="150">
          <cell r="A150">
            <v>45434</v>
          </cell>
          <cell r="B150" t="str">
            <v>VM</v>
          </cell>
          <cell r="C150">
            <v>0</v>
          </cell>
          <cell r="D150">
            <v>0</v>
          </cell>
          <cell r="E150">
            <v>0</v>
          </cell>
          <cell r="F150">
            <v>76</v>
          </cell>
        </row>
        <row r="156">
          <cell r="A156">
            <v>45435</v>
          </cell>
          <cell r="B156" t="str">
            <v>Andere</v>
          </cell>
          <cell r="C156">
            <v>0</v>
          </cell>
          <cell r="D156">
            <v>20883.48</v>
          </cell>
          <cell r="E156">
            <v>0</v>
          </cell>
          <cell r="F156">
            <v>0</v>
          </cell>
        </row>
        <row r="163">
          <cell r="A163">
            <v>45436</v>
          </cell>
          <cell r="B163" t="str">
            <v>Andere</v>
          </cell>
          <cell r="C163">
            <v>0</v>
          </cell>
          <cell r="D163">
            <v>1100</v>
          </cell>
          <cell r="E163">
            <v>0</v>
          </cell>
          <cell r="F163">
            <v>0</v>
          </cell>
        </row>
        <row r="164">
          <cell r="A164">
            <v>45436</v>
          </cell>
          <cell r="B164" t="str">
            <v>LM</v>
          </cell>
          <cell r="C164">
            <v>0</v>
          </cell>
          <cell r="D164">
            <v>812.92000000000007</v>
          </cell>
          <cell r="E164">
            <v>0</v>
          </cell>
          <cell r="F164">
            <v>0</v>
          </cell>
        </row>
        <row r="165">
          <cell r="A165">
            <v>45436</v>
          </cell>
          <cell r="B165" t="str">
            <v>Refill</v>
          </cell>
          <cell r="C165">
            <v>30211</v>
          </cell>
          <cell r="D165">
            <v>0</v>
          </cell>
          <cell r="E165">
            <v>0</v>
          </cell>
          <cell r="F165">
            <v>0</v>
          </cell>
        </row>
        <row r="170">
          <cell r="A170">
            <v>45437</v>
          </cell>
          <cell r="B170" t="str">
            <v>LM</v>
          </cell>
          <cell r="C170">
            <v>0</v>
          </cell>
          <cell r="D170">
            <v>2260</v>
          </cell>
          <cell r="E170">
            <v>0</v>
          </cell>
          <cell r="F170">
            <v>0</v>
          </cell>
        </row>
        <row r="171">
          <cell r="A171">
            <v>45437</v>
          </cell>
          <cell r="B171" t="str">
            <v>VM</v>
          </cell>
          <cell r="C171">
            <v>0</v>
          </cell>
          <cell r="D171">
            <v>550</v>
          </cell>
          <cell r="E171">
            <v>0</v>
          </cell>
          <cell r="F171">
            <v>157.88</v>
          </cell>
        </row>
        <row r="172">
          <cell r="A172">
            <v>45437</v>
          </cell>
          <cell r="B172" t="str">
            <v>Kleidung</v>
          </cell>
          <cell r="C172">
            <v>0</v>
          </cell>
          <cell r="D172">
            <v>3443</v>
          </cell>
          <cell r="E172">
            <v>0</v>
          </cell>
          <cell r="F172">
            <v>0</v>
          </cell>
        </row>
        <row r="177">
          <cell r="A177">
            <v>45438</v>
          </cell>
          <cell r="B177" t="str">
            <v>LM</v>
          </cell>
          <cell r="C177">
            <v>0</v>
          </cell>
          <cell r="D177">
            <v>3731.96</v>
          </cell>
          <cell r="E177">
            <v>0</v>
          </cell>
          <cell r="F177">
            <v>0</v>
          </cell>
        </row>
        <row r="178">
          <cell r="A178">
            <v>45438</v>
          </cell>
          <cell r="B178" t="str">
            <v>Andere</v>
          </cell>
          <cell r="C178">
            <v>0</v>
          </cell>
          <cell r="D178">
            <v>2030</v>
          </cell>
          <cell r="E178">
            <v>0</v>
          </cell>
          <cell r="F178">
            <v>0</v>
          </cell>
        </row>
        <row r="184">
          <cell r="A184">
            <v>45439</v>
          </cell>
          <cell r="B184" t="str">
            <v>LM</v>
          </cell>
          <cell r="C184">
            <v>0</v>
          </cell>
          <cell r="D184">
            <v>3123</v>
          </cell>
          <cell r="E184">
            <v>0</v>
          </cell>
          <cell r="F184">
            <v>0</v>
          </cell>
        </row>
        <row r="185">
          <cell r="A185">
            <v>45439</v>
          </cell>
          <cell r="B185" t="str">
            <v>Andere</v>
          </cell>
          <cell r="C185">
            <v>0</v>
          </cell>
          <cell r="D185">
            <v>299</v>
          </cell>
          <cell r="E185">
            <v>0</v>
          </cell>
          <cell r="F185">
            <v>0</v>
          </cell>
        </row>
        <row r="191">
          <cell r="A191">
            <v>45440</v>
          </cell>
          <cell r="B191" t="str">
            <v>VM</v>
          </cell>
          <cell r="C191">
            <v>0</v>
          </cell>
          <cell r="D191">
            <v>1053</v>
          </cell>
          <cell r="E191">
            <v>0</v>
          </cell>
          <cell r="F191">
            <v>65.98</v>
          </cell>
        </row>
        <row r="192">
          <cell r="A192">
            <v>45440</v>
          </cell>
          <cell r="B192" t="str">
            <v>LM</v>
          </cell>
          <cell r="C192">
            <v>0</v>
          </cell>
          <cell r="D192">
            <v>6789.8</v>
          </cell>
          <cell r="E192">
            <v>0</v>
          </cell>
          <cell r="F192">
            <v>0</v>
          </cell>
        </row>
        <row r="198">
          <cell r="A198">
            <v>45441</v>
          </cell>
          <cell r="B198" t="str">
            <v>VM</v>
          </cell>
          <cell r="C198">
            <v>0</v>
          </cell>
          <cell r="D198">
            <v>876</v>
          </cell>
          <cell r="E198">
            <v>0</v>
          </cell>
          <cell r="F198">
            <v>174</v>
          </cell>
        </row>
        <row r="199">
          <cell r="A199">
            <v>45441</v>
          </cell>
          <cell r="B199" t="str">
            <v>Andere</v>
          </cell>
          <cell r="C199">
            <v>0</v>
          </cell>
          <cell r="D199">
            <v>215</v>
          </cell>
          <cell r="E199">
            <v>0</v>
          </cell>
          <cell r="F199">
            <v>0</v>
          </cell>
        </row>
        <row r="200">
          <cell r="A200">
            <v>45441</v>
          </cell>
          <cell r="B200" t="str">
            <v>LM</v>
          </cell>
          <cell r="C200">
            <v>0</v>
          </cell>
          <cell r="D200">
            <v>949</v>
          </cell>
          <cell r="E200">
            <v>0</v>
          </cell>
          <cell r="F200">
            <v>0</v>
          </cell>
        </row>
        <row r="201">
          <cell r="A201">
            <v>45441</v>
          </cell>
          <cell r="B201" t="str">
            <v>for me</v>
          </cell>
          <cell r="C201">
            <v>0</v>
          </cell>
          <cell r="D201">
            <v>900</v>
          </cell>
          <cell r="E201">
            <v>0</v>
          </cell>
          <cell r="F201">
            <v>0</v>
          </cell>
        </row>
        <row r="205">
          <cell r="A205">
            <v>45442</v>
          </cell>
          <cell r="B205" t="str">
            <v>Andere</v>
          </cell>
          <cell r="C205">
            <v>0</v>
          </cell>
          <cell r="D205">
            <v>3000</v>
          </cell>
          <cell r="E205">
            <v>0</v>
          </cell>
          <cell r="F205">
            <v>0</v>
          </cell>
        </row>
        <row r="206">
          <cell r="A206">
            <v>45442</v>
          </cell>
          <cell r="B206" t="str">
            <v>Andere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</row>
        <row r="207">
          <cell r="A207">
            <v>45442</v>
          </cell>
          <cell r="B207" t="str">
            <v>LM</v>
          </cell>
          <cell r="C207">
            <v>0</v>
          </cell>
          <cell r="D207">
            <v>1529</v>
          </cell>
          <cell r="E207">
            <v>0</v>
          </cell>
          <cell r="F207">
            <v>0</v>
          </cell>
        </row>
        <row r="208">
          <cell r="A208">
            <v>45442</v>
          </cell>
          <cell r="B208" t="str">
            <v>Kleidung</v>
          </cell>
          <cell r="C208">
            <v>0</v>
          </cell>
          <cell r="D208">
            <v>1799</v>
          </cell>
          <cell r="E208">
            <v>0</v>
          </cell>
          <cell r="F208">
            <v>0</v>
          </cell>
        </row>
        <row r="209">
          <cell r="A209">
            <v>45442</v>
          </cell>
          <cell r="B209" t="str">
            <v>VM</v>
          </cell>
          <cell r="C209">
            <v>0</v>
          </cell>
          <cell r="D209">
            <v>0</v>
          </cell>
          <cell r="E209">
            <v>0</v>
          </cell>
          <cell r="F209">
            <v>72</v>
          </cell>
        </row>
        <row r="210">
          <cell r="A210">
            <v>45442</v>
          </cell>
          <cell r="B210" t="str">
            <v>none</v>
          </cell>
          <cell r="C210">
            <v>0</v>
          </cell>
          <cell r="D210">
            <v>9131</v>
          </cell>
          <cell r="E210">
            <v>2443</v>
          </cell>
          <cell r="F210">
            <v>0</v>
          </cell>
        </row>
        <row r="212">
          <cell r="A212">
            <v>45443</v>
          </cell>
          <cell r="B212" t="str">
            <v>VM</v>
          </cell>
          <cell r="C212">
            <v>0</v>
          </cell>
          <cell r="D212">
            <v>192</v>
          </cell>
          <cell r="E212">
            <v>0</v>
          </cell>
          <cell r="F212">
            <v>17</v>
          </cell>
        </row>
        <row r="213">
          <cell r="A213">
            <v>45443</v>
          </cell>
          <cell r="B213" t="str">
            <v>LM</v>
          </cell>
          <cell r="C213">
            <v>0</v>
          </cell>
          <cell r="D213">
            <v>2760</v>
          </cell>
          <cell r="E213">
            <v>0</v>
          </cell>
          <cell r="F213">
            <v>0</v>
          </cell>
        </row>
        <row r="214">
          <cell r="A214">
            <v>45443</v>
          </cell>
          <cell r="B214" t="str">
            <v>Andere</v>
          </cell>
          <cell r="C214">
            <v>0</v>
          </cell>
          <cell r="D214">
            <v>6690</v>
          </cell>
          <cell r="E214">
            <v>0</v>
          </cell>
          <cell r="F214">
            <v>0</v>
          </cell>
        </row>
        <row r="215">
          <cell r="A215">
            <v>45443</v>
          </cell>
          <cell r="B215" t="str">
            <v>Refill</v>
          </cell>
          <cell r="C215">
            <v>308704.41000000003</v>
          </cell>
          <cell r="D215">
            <v>0</v>
          </cell>
          <cell r="E215">
            <v>0</v>
          </cell>
          <cell r="F215">
            <v>0</v>
          </cell>
        </row>
        <row r="216">
          <cell r="A216">
            <v>45443</v>
          </cell>
          <cell r="B216" t="str">
            <v>none</v>
          </cell>
          <cell r="C216">
            <v>0</v>
          </cell>
          <cell r="D216">
            <v>2500</v>
          </cell>
          <cell r="E216">
            <v>2500</v>
          </cell>
          <cell r="F216">
            <v>0</v>
          </cell>
        </row>
      </sheetData>
      <sheetData sheetId="44">
        <row r="2">
          <cell r="A2">
            <v>45444</v>
          </cell>
          <cell r="B2" t="str">
            <v>LM</v>
          </cell>
          <cell r="C2">
            <v>0</v>
          </cell>
          <cell r="D2">
            <v>11211</v>
          </cell>
          <cell r="E2">
            <v>0</v>
          </cell>
          <cell r="F2">
            <v>0</v>
          </cell>
        </row>
        <row r="3">
          <cell r="A3">
            <v>45444</v>
          </cell>
          <cell r="B3" t="str">
            <v>VM</v>
          </cell>
          <cell r="C3">
            <v>0</v>
          </cell>
          <cell r="D3">
            <v>128</v>
          </cell>
          <cell r="E3">
            <v>0</v>
          </cell>
          <cell r="F3">
            <v>85</v>
          </cell>
        </row>
        <row r="4">
          <cell r="A4">
            <v>45444</v>
          </cell>
          <cell r="B4" t="str">
            <v>Andere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</row>
        <row r="5">
          <cell r="A5">
            <v>45444</v>
          </cell>
          <cell r="B5" t="str">
            <v>for me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A6">
            <v>45444</v>
          </cell>
          <cell r="B6" t="str">
            <v>Party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</row>
        <row r="7">
          <cell r="A7">
            <v>45444</v>
          </cell>
          <cell r="B7" t="str">
            <v>Kleidung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</row>
        <row r="9">
          <cell r="A9">
            <v>45445</v>
          </cell>
          <cell r="B9" t="str">
            <v>LM</v>
          </cell>
          <cell r="C9">
            <v>0</v>
          </cell>
          <cell r="D9">
            <v>806.99</v>
          </cell>
          <cell r="E9">
            <v>0</v>
          </cell>
          <cell r="F9">
            <v>0</v>
          </cell>
        </row>
        <row r="10">
          <cell r="A10">
            <v>45445</v>
          </cell>
          <cell r="B10" t="str">
            <v>Rauchen</v>
          </cell>
          <cell r="C10">
            <v>0</v>
          </cell>
          <cell r="D10">
            <v>1600</v>
          </cell>
          <cell r="E10">
            <v>0</v>
          </cell>
          <cell r="F10">
            <v>0</v>
          </cell>
        </row>
        <row r="11">
          <cell r="A11">
            <v>45445</v>
          </cell>
          <cell r="B11" t="str">
            <v>VM</v>
          </cell>
          <cell r="C11">
            <v>0</v>
          </cell>
          <cell r="D11">
            <v>0</v>
          </cell>
          <cell r="E11">
            <v>0</v>
          </cell>
          <cell r="F11">
            <v>9</v>
          </cell>
        </row>
        <row r="12">
          <cell r="A12">
            <v>45445</v>
          </cell>
          <cell r="B12" t="str">
            <v>none</v>
          </cell>
          <cell r="C12">
            <v>0</v>
          </cell>
          <cell r="D12">
            <v>0</v>
          </cell>
          <cell r="E12">
            <v>700</v>
          </cell>
          <cell r="F12">
            <v>0</v>
          </cell>
        </row>
        <row r="16">
          <cell r="A16">
            <v>45446</v>
          </cell>
          <cell r="B16" t="str">
            <v>VM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</row>
        <row r="17">
          <cell r="A17">
            <v>45446</v>
          </cell>
          <cell r="B17" t="str">
            <v>LM</v>
          </cell>
          <cell r="C17">
            <v>0</v>
          </cell>
          <cell r="D17">
            <v>775</v>
          </cell>
          <cell r="E17">
            <v>0</v>
          </cell>
          <cell r="F17">
            <v>0</v>
          </cell>
        </row>
        <row r="18">
          <cell r="A18">
            <v>45446</v>
          </cell>
          <cell r="B18" t="str">
            <v>VM</v>
          </cell>
          <cell r="C18">
            <v>0</v>
          </cell>
          <cell r="D18">
            <v>128</v>
          </cell>
          <cell r="E18">
            <v>0</v>
          </cell>
          <cell r="F18">
            <v>0</v>
          </cell>
        </row>
        <row r="23">
          <cell r="A23">
            <v>45447</v>
          </cell>
          <cell r="B23" t="str">
            <v>Andere</v>
          </cell>
          <cell r="C23">
            <v>0</v>
          </cell>
          <cell r="D23">
            <v>217.61999999999898</v>
          </cell>
          <cell r="E23">
            <v>0</v>
          </cell>
          <cell r="F23">
            <v>0</v>
          </cell>
        </row>
        <row r="45">
          <cell r="A45">
            <v>45450</v>
          </cell>
          <cell r="B45" t="str">
            <v>Refill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</row>
        <row r="51">
          <cell r="A51">
            <v>45451</v>
          </cell>
          <cell r="B51" t="str">
            <v>LM</v>
          </cell>
          <cell r="C51">
            <v>0</v>
          </cell>
          <cell r="D51">
            <v>13688.77</v>
          </cell>
          <cell r="E51">
            <v>0</v>
          </cell>
          <cell r="F51">
            <v>0</v>
          </cell>
        </row>
        <row r="79">
          <cell r="A79">
            <v>45455</v>
          </cell>
          <cell r="B79" t="str">
            <v>Kleidung</v>
          </cell>
          <cell r="C79">
            <v>0</v>
          </cell>
          <cell r="D79">
            <v>4506</v>
          </cell>
          <cell r="E79">
            <v>0</v>
          </cell>
          <cell r="F79">
            <v>0</v>
          </cell>
        </row>
        <row r="80">
          <cell r="A80">
            <v>45455</v>
          </cell>
          <cell r="B80" t="str">
            <v>Andere</v>
          </cell>
          <cell r="C80">
            <v>0</v>
          </cell>
          <cell r="D80">
            <v>100</v>
          </cell>
          <cell r="E80">
            <v>0</v>
          </cell>
          <cell r="F80">
            <v>0</v>
          </cell>
        </row>
        <row r="93">
          <cell r="A93">
            <v>45457</v>
          </cell>
          <cell r="B93" t="str">
            <v>Kleidung</v>
          </cell>
          <cell r="C93">
            <v>0</v>
          </cell>
          <cell r="D93">
            <v>7038</v>
          </cell>
          <cell r="E93">
            <v>0</v>
          </cell>
          <cell r="F93">
            <v>0</v>
          </cell>
        </row>
        <row r="94">
          <cell r="A94">
            <v>45457</v>
          </cell>
          <cell r="B94" t="str">
            <v>Andere</v>
          </cell>
          <cell r="C94">
            <v>0</v>
          </cell>
          <cell r="D94">
            <v>699</v>
          </cell>
          <cell r="E94">
            <v>0</v>
          </cell>
          <cell r="F94">
            <v>0</v>
          </cell>
        </row>
        <row r="114">
          <cell r="A114">
            <v>45460</v>
          </cell>
          <cell r="B114" t="str">
            <v>none</v>
          </cell>
          <cell r="C114">
            <v>0</v>
          </cell>
          <cell r="D114">
            <v>55000</v>
          </cell>
          <cell r="E114">
            <v>55000</v>
          </cell>
          <cell r="F114">
            <v>0</v>
          </cell>
        </row>
        <row r="115">
          <cell r="A115">
            <v>45460</v>
          </cell>
          <cell r="B115" t="str">
            <v>rent</v>
          </cell>
          <cell r="C115">
            <v>0</v>
          </cell>
          <cell r="D115">
            <v>0</v>
          </cell>
          <cell r="E115">
            <v>0</v>
          </cell>
          <cell r="F115">
            <v>55050</v>
          </cell>
        </row>
        <row r="128">
          <cell r="A128">
            <v>45462</v>
          </cell>
          <cell r="B128" t="str">
            <v>Frauen</v>
          </cell>
          <cell r="C128">
            <v>0</v>
          </cell>
          <cell r="D128">
            <v>500</v>
          </cell>
          <cell r="E128">
            <v>0</v>
          </cell>
          <cell r="F128">
            <v>0</v>
          </cell>
        </row>
        <row r="143">
          <cell r="A143">
            <v>45464</v>
          </cell>
          <cell r="B143" t="str">
            <v>none</v>
          </cell>
          <cell r="C143">
            <v>0</v>
          </cell>
          <cell r="D143">
            <v>21031</v>
          </cell>
          <cell r="E143">
            <v>0</v>
          </cell>
          <cell r="F143">
            <v>0</v>
          </cell>
        </row>
        <row r="156">
          <cell r="A156">
            <v>45466</v>
          </cell>
          <cell r="B156" t="str">
            <v>LM</v>
          </cell>
          <cell r="C156">
            <v>0</v>
          </cell>
          <cell r="D156">
            <v>11809.59</v>
          </cell>
          <cell r="E156">
            <v>0</v>
          </cell>
          <cell r="F156">
            <v>0</v>
          </cell>
        </row>
        <row r="157">
          <cell r="A157">
            <v>45466</v>
          </cell>
          <cell r="B157" t="str">
            <v>Andere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</row>
        <row r="170">
          <cell r="A170">
            <v>45468</v>
          </cell>
          <cell r="B170" t="str">
            <v>Andere</v>
          </cell>
          <cell r="C170">
            <v>0</v>
          </cell>
          <cell r="D170">
            <v>1</v>
          </cell>
          <cell r="E170">
            <v>0</v>
          </cell>
          <cell r="F170">
            <v>0</v>
          </cell>
        </row>
        <row r="177">
          <cell r="A177">
            <v>45469</v>
          </cell>
          <cell r="B177" t="str">
            <v>Andere</v>
          </cell>
          <cell r="C177">
            <v>0</v>
          </cell>
          <cell r="D177">
            <v>299</v>
          </cell>
          <cell r="E177">
            <v>0</v>
          </cell>
          <cell r="F177">
            <v>0</v>
          </cell>
        </row>
        <row r="184">
          <cell r="A184">
            <v>45470</v>
          </cell>
          <cell r="B184" t="str">
            <v>Andere</v>
          </cell>
          <cell r="C184">
            <v>0</v>
          </cell>
          <cell r="D184">
            <v>14.7</v>
          </cell>
          <cell r="E184">
            <v>0</v>
          </cell>
          <cell r="F184">
            <v>0</v>
          </cell>
        </row>
        <row r="205">
          <cell r="A205">
            <v>45473</v>
          </cell>
          <cell r="B205" t="str">
            <v>Refill</v>
          </cell>
          <cell r="C205">
            <v>3327.05</v>
          </cell>
          <cell r="D205">
            <v>0</v>
          </cell>
          <cell r="E205">
            <v>0</v>
          </cell>
          <cell r="F205">
            <v>0</v>
          </cell>
        </row>
      </sheetData>
      <sheetData sheetId="45">
        <row r="4">
          <cell r="A4">
            <v>45474</v>
          </cell>
          <cell r="B4" t="str">
            <v>Andere</v>
          </cell>
          <cell r="C4">
            <v>0</v>
          </cell>
          <cell r="D4">
            <v>1000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</row>
        <row r="9">
          <cell r="A9">
            <v>45475</v>
          </cell>
          <cell r="B9" t="str">
            <v>Andere</v>
          </cell>
          <cell r="C9">
            <v>0</v>
          </cell>
          <cell r="D9">
            <v>4000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23">
          <cell r="A23">
            <v>45477</v>
          </cell>
          <cell r="B23" t="str">
            <v>LM</v>
          </cell>
          <cell r="C23">
            <v>0</v>
          </cell>
          <cell r="D23">
            <v>10033.19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37">
          <cell r="A37">
            <v>45479</v>
          </cell>
          <cell r="B37" t="str">
            <v>Andere</v>
          </cell>
          <cell r="C37">
            <v>0</v>
          </cell>
          <cell r="D37">
            <v>6000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A38">
            <v>45479</v>
          </cell>
          <cell r="B38" t="str">
            <v>none</v>
          </cell>
          <cell r="C38">
            <v>0</v>
          </cell>
          <cell r="D38">
            <v>0</v>
          </cell>
          <cell r="E38">
            <v>1700</v>
          </cell>
          <cell r="F38">
            <v>0</v>
          </cell>
          <cell r="G38">
            <v>0</v>
          </cell>
          <cell r="H38">
            <v>0</v>
          </cell>
        </row>
        <row r="58">
          <cell r="A58">
            <v>45482</v>
          </cell>
          <cell r="B58" t="str">
            <v>VM</v>
          </cell>
          <cell r="C58">
            <v>0</v>
          </cell>
          <cell r="D58">
            <v>5000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>
            <v>45482</v>
          </cell>
          <cell r="B59" t="str">
            <v>LM</v>
          </cell>
          <cell r="C59">
            <v>0</v>
          </cell>
          <cell r="D59">
            <v>1187.97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1">
          <cell r="A61">
            <v>45482</v>
          </cell>
          <cell r="B61" t="str">
            <v>none</v>
          </cell>
          <cell r="C61">
            <v>0</v>
          </cell>
          <cell r="D61">
            <v>12000</v>
          </cell>
          <cell r="E61">
            <v>12000</v>
          </cell>
          <cell r="F61">
            <v>0</v>
          </cell>
          <cell r="G61">
            <v>0</v>
          </cell>
          <cell r="H61">
            <v>0</v>
          </cell>
        </row>
        <row r="62">
          <cell r="A62">
            <v>45482</v>
          </cell>
          <cell r="B62" t="str">
            <v>none</v>
          </cell>
          <cell r="C62">
            <v>0</v>
          </cell>
          <cell r="D62">
            <v>11968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5">
          <cell r="A65">
            <v>45483</v>
          </cell>
          <cell r="B65" t="str">
            <v>Refill</v>
          </cell>
          <cell r="C65">
            <v>220110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79">
          <cell r="A79">
            <v>45485</v>
          </cell>
          <cell r="B79" t="str">
            <v>Andere</v>
          </cell>
          <cell r="C79">
            <v>0</v>
          </cell>
          <cell r="D79">
            <v>18100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A80">
            <v>45485</v>
          </cell>
          <cell r="B80" t="str">
            <v>VM</v>
          </cell>
          <cell r="C80">
            <v>0</v>
          </cell>
          <cell r="D80">
            <v>5000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</row>
        <row r="81">
          <cell r="A81">
            <v>45485</v>
          </cell>
          <cell r="B81" t="str">
            <v>Andere</v>
          </cell>
          <cell r="C81">
            <v>0</v>
          </cell>
          <cell r="D81">
            <v>100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</row>
        <row r="93">
          <cell r="A93">
            <v>45487</v>
          </cell>
          <cell r="B93" t="str">
            <v>VM</v>
          </cell>
          <cell r="C93">
            <v>0</v>
          </cell>
          <cell r="D93">
            <v>630.57999999999993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A94">
            <v>45487</v>
          </cell>
          <cell r="B94" t="str">
            <v>Andere</v>
          </cell>
          <cell r="C94">
            <v>0</v>
          </cell>
          <cell r="D94">
            <v>163.85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</row>
        <row r="100">
          <cell r="A100">
            <v>45488</v>
          </cell>
          <cell r="B100" t="str">
            <v>VM</v>
          </cell>
          <cell r="C100">
            <v>0</v>
          </cell>
          <cell r="D100">
            <v>905.01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</row>
        <row r="101">
          <cell r="A101">
            <v>45488</v>
          </cell>
          <cell r="B101" t="str">
            <v>none</v>
          </cell>
          <cell r="C101">
            <v>0</v>
          </cell>
          <cell r="D101">
            <v>16075.25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</row>
        <row r="102">
          <cell r="A102">
            <v>45488</v>
          </cell>
          <cell r="B102" t="str">
            <v>Frauen</v>
          </cell>
          <cell r="C102">
            <v>0</v>
          </cell>
          <cell r="D102">
            <v>1309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</row>
        <row r="107">
          <cell r="A107">
            <v>45489</v>
          </cell>
          <cell r="B107" t="str">
            <v>VM</v>
          </cell>
          <cell r="C107">
            <v>0</v>
          </cell>
          <cell r="D107">
            <v>1578.76</v>
          </cell>
          <cell r="E107">
            <v>0</v>
          </cell>
          <cell r="F107">
            <v>337.9</v>
          </cell>
          <cell r="G107">
            <v>0</v>
          </cell>
          <cell r="H107">
            <v>0</v>
          </cell>
        </row>
        <row r="108">
          <cell r="A108">
            <v>45489</v>
          </cell>
          <cell r="B108" t="str">
            <v>none</v>
          </cell>
          <cell r="C108">
            <v>0</v>
          </cell>
          <cell r="D108">
            <v>10100</v>
          </cell>
          <cell r="E108">
            <v>0</v>
          </cell>
          <cell r="F108">
            <v>0</v>
          </cell>
          <cell r="G108">
            <v>10100</v>
          </cell>
          <cell r="H108">
            <v>0</v>
          </cell>
        </row>
        <row r="109">
          <cell r="A109">
            <v>45489</v>
          </cell>
          <cell r="B109" t="str">
            <v>Kleidung</v>
          </cell>
          <cell r="C109">
            <v>0</v>
          </cell>
          <cell r="D109">
            <v>4387</v>
          </cell>
          <cell r="E109">
            <v>0</v>
          </cell>
          <cell r="F109">
            <v>0</v>
          </cell>
          <cell r="G109">
            <v>0</v>
          </cell>
          <cell r="H109">
            <v>5624</v>
          </cell>
        </row>
        <row r="110">
          <cell r="A110">
            <v>45489</v>
          </cell>
          <cell r="B110" t="str">
            <v>LM</v>
          </cell>
          <cell r="C110">
            <v>0</v>
          </cell>
          <cell r="D110">
            <v>3870</v>
          </cell>
          <cell r="E110">
            <v>0</v>
          </cell>
          <cell r="F110">
            <v>0</v>
          </cell>
          <cell r="G110">
            <v>0</v>
          </cell>
          <cell r="H110">
            <v>1014</v>
          </cell>
        </row>
        <row r="111">
          <cell r="A111">
            <v>45489</v>
          </cell>
          <cell r="B111" t="str">
            <v>VM</v>
          </cell>
          <cell r="C111">
            <v>0</v>
          </cell>
          <cell r="D111">
            <v>128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4">
          <cell r="A114">
            <v>45490</v>
          </cell>
          <cell r="B114" t="str">
            <v>rent</v>
          </cell>
          <cell r="C114">
            <v>0</v>
          </cell>
          <cell r="D114">
            <v>0</v>
          </cell>
          <cell r="E114">
            <v>0</v>
          </cell>
          <cell r="F114">
            <v>55050</v>
          </cell>
          <cell r="G114">
            <v>0</v>
          </cell>
          <cell r="H114">
            <v>0</v>
          </cell>
        </row>
        <row r="115">
          <cell r="A115">
            <v>45490</v>
          </cell>
          <cell r="B115" t="str">
            <v>none</v>
          </cell>
          <cell r="C115">
            <v>1050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1048.5</v>
          </cell>
        </row>
        <row r="116">
          <cell r="A116">
            <v>45490</v>
          </cell>
          <cell r="B116" t="str">
            <v>none</v>
          </cell>
          <cell r="C116">
            <v>0</v>
          </cell>
          <cell r="D116">
            <v>55000</v>
          </cell>
          <cell r="E116">
            <v>55000</v>
          </cell>
          <cell r="F116">
            <v>0</v>
          </cell>
          <cell r="G116">
            <v>0</v>
          </cell>
          <cell r="H116">
            <v>0</v>
          </cell>
        </row>
        <row r="117">
          <cell r="A117">
            <v>45490</v>
          </cell>
          <cell r="B117" t="str">
            <v>Kleidung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6999</v>
          </cell>
        </row>
        <row r="118">
          <cell r="A118">
            <v>45490</v>
          </cell>
          <cell r="B118" t="str">
            <v>none</v>
          </cell>
          <cell r="C118">
            <v>0</v>
          </cell>
          <cell r="D118">
            <v>410000</v>
          </cell>
          <cell r="E118">
            <v>0</v>
          </cell>
          <cell r="F118">
            <v>0</v>
          </cell>
          <cell r="G118">
            <v>410000</v>
          </cell>
          <cell r="H118">
            <v>0</v>
          </cell>
        </row>
        <row r="119">
          <cell r="A119">
            <v>45490</v>
          </cell>
          <cell r="B119" t="str">
            <v>LM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3147</v>
          </cell>
        </row>
        <row r="120">
          <cell r="A120">
            <v>45490</v>
          </cell>
          <cell r="B120" t="str">
            <v>VM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1077</v>
          </cell>
        </row>
        <row r="121">
          <cell r="A121">
            <v>45491</v>
          </cell>
          <cell r="B121" t="str">
            <v>none</v>
          </cell>
          <cell r="C121">
            <v>0</v>
          </cell>
          <cell r="D121">
            <v>8000</v>
          </cell>
          <cell r="E121">
            <v>0</v>
          </cell>
          <cell r="F121">
            <v>0</v>
          </cell>
          <cell r="G121">
            <v>8000</v>
          </cell>
          <cell r="H121">
            <v>0</v>
          </cell>
        </row>
        <row r="122">
          <cell r="A122">
            <v>45491</v>
          </cell>
          <cell r="B122" t="str">
            <v>Andere</v>
          </cell>
          <cell r="C122">
            <v>0</v>
          </cell>
          <cell r="D122">
            <v>15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A123">
            <v>45491</v>
          </cell>
          <cell r="B123" t="str">
            <v>LM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255</v>
          </cell>
        </row>
        <row r="124">
          <cell r="A124">
            <v>45491</v>
          </cell>
          <cell r="B124" t="str">
            <v>for me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1290</v>
          </cell>
        </row>
        <row r="125">
          <cell r="A125">
            <v>45491</v>
          </cell>
          <cell r="B125" t="str">
            <v>none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500</v>
          </cell>
        </row>
        <row r="126">
          <cell r="A126">
            <v>45491</v>
          </cell>
          <cell r="B126" t="str">
            <v>LM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898</v>
          </cell>
        </row>
        <row r="127">
          <cell r="A127">
            <v>45491</v>
          </cell>
          <cell r="B127" t="str">
            <v>VM</v>
          </cell>
          <cell r="C127">
            <v>0</v>
          </cell>
          <cell r="D127">
            <v>0</v>
          </cell>
          <cell r="E127">
            <v>0</v>
          </cell>
          <cell r="F127">
            <v>28.8</v>
          </cell>
          <cell r="G127">
            <v>0</v>
          </cell>
          <cell r="H127">
            <v>0</v>
          </cell>
        </row>
        <row r="128">
          <cell r="A128">
            <v>45492</v>
          </cell>
          <cell r="B128" t="str">
            <v>LM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680</v>
          </cell>
        </row>
        <row r="129">
          <cell r="A129">
            <v>45492</v>
          </cell>
          <cell r="B129" t="str">
            <v>LM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466</v>
          </cell>
        </row>
        <row r="130">
          <cell r="A130">
            <v>45492</v>
          </cell>
          <cell r="B130" t="str">
            <v>LM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2020</v>
          </cell>
        </row>
        <row r="132">
          <cell r="A132">
            <v>45492</v>
          </cell>
          <cell r="B132" t="str">
            <v>none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1400</v>
          </cell>
        </row>
        <row r="135">
          <cell r="A135">
            <v>45493</v>
          </cell>
          <cell r="B135" t="str">
            <v>LM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890</v>
          </cell>
        </row>
        <row r="136">
          <cell r="A136">
            <v>45493</v>
          </cell>
          <cell r="B136" t="str">
            <v>Andere</v>
          </cell>
          <cell r="C136">
            <v>0</v>
          </cell>
          <cell r="D136">
            <v>10000</v>
          </cell>
          <cell r="E136">
            <v>0</v>
          </cell>
          <cell r="F136">
            <v>0</v>
          </cell>
          <cell r="G136">
            <v>0</v>
          </cell>
          <cell r="H136">
            <v>600</v>
          </cell>
        </row>
        <row r="137">
          <cell r="A137">
            <v>45493</v>
          </cell>
          <cell r="B137" t="str">
            <v>none</v>
          </cell>
          <cell r="C137">
            <v>1200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1200</v>
          </cell>
        </row>
        <row r="138">
          <cell r="A138">
            <v>45493</v>
          </cell>
          <cell r="B138" t="str">
            <v>none</v>
          </cell>
          <cell r="C138">
            <v>1200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1200</v>
          </cell>
        </row>
        <row r="142">
          <cell r="A142">
            <v>45494</v>
          </cell>
          <cell r="B142" t="str">
            <v>LM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2235</v>
          </cell>
        </row>
        <row r="143">
          <cell r="A143">
            <v>45494</v>
          </cell>
          <cell r="B143" t="str">
            <v>LM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6935</v>
          </cell>
        </row>
        <row r="144">
          <cell r="A144">
            <v>45494</v>
          </cell>
          <cell r="B144" t="str">
            <v>Andere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300</v>
          </cell>
        </row>
        <row r="149">
          <cell r="A149">
            <v>45495</v>
          </cell>
          <cell r="B149" t="str">
            <v>LM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1022</v>
          </cell>
        </row>
        <row r="150">
          <cell r="A150">
            <v>45495</v>
          </cell>
          <cell r="B150" t="str">
            <v>LM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1000</v>
          </cell>
        </row>
        <row r="151">
          <cell r="A151">
            <v>45495</v>
          </cell>
          <cell r="B151" t="str">
            <v>Andere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684</v>
          </cell>
        </row>
        <row r="156">
          <cell r="A156">
            <v>45496</v>
          </cell>
          <cell r="B156" t="str">
            <v>VM</v>
          </cell>
          <cell r="C156">
            <v>0</v>
          </cell>
          <cell r="D156">
            <v>0</v>
          </cell>
          <cell r="E156">
            <v>0</v>
          </cell>
          <cell r="F156">
            <v>284.2</v>
          </cell>
          <cell r="G156">
            <v>0</v>
          </cell>
          <cell r="H156">
            <v>0</v>
          </cell>
        </row>
        <row r="157">
          <cell r="A157">
            <v>45496</v>
          </cell>
          <cell r="B157" t="str">
            <v>for me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269.99</v>
          </cell>
        </row>
        <row r="158">
          <cell r="A158">
            <v>45496</v>
          </cell>
          <cell r="B158" t="str">
            <v>Rauchen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255</v>
          </cell>
        </row>
        <row r="159">
          <cell r="A159">
            <v>45496</v>
          </cell>
          <cell r="B159" t="str">
            <v>LM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70</v>
          </cell>
        </row>
        <row r="160">
          <cell r="A160">
            <v>45496</v>
          </cell>
          <cell r="B160" t="str">
            <v>VM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64</v>
          </cell>
        </row>
        <row r="163">
          <cell r="A163">
            <v>45497</v>
          </cell>
          <cell r="B163" t="str">
            <v>VM</v>
          </cell>
          <cell r="C163">
            <v>0</v>
          </cell>
          <cell r="D163">
            <v>0</v>
          </cell>
          <cell r="E163">
            <v>0</v>
          </cell>
          <cell r="F163">
            <v>26.4</v>
          </cell>
          <cell r="G163">
            <v>0</v>
          </cell>
          <cell r="H163">
            <v>1659</v>
          </cell>
        </row>
        <row r="165">
          <cell r="A165">
            <v>45497</v>
          </cell>
          <cell r="B165" t="str">
            <v>LM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2000</v>
          </cell>
        </row>
        <row r="166">
          <cell r="A166">
            <v>45497</v>
          </cell>
          <cell r="B166" t="str">
            <v>Andere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600</v>
          </cell>
        </row>
        <row r="167">
          <cell r="A167">
            <v>45497</v>
          </cell>
          <cell r="B167" t="str">
            <v>LM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660</v>
          </cell>
        </row>
        <row r="168">
          <cell r="A168">
            <v>45497</v>
          </cell>
          <cell r="B168" t="str">
            <v>LM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3800</v>
          </cell>
        </row>
        <row r="170">
          <cell r="A170">
            <v>45498</v>
          </cell>
          <cell r="B170" t="str">
            <v>Refill</v>
          </cell>
          <cell r="C170">
            <v>106399</v>
          </cell>
          <cell r="D170">
            <v>0</v>
          </cell>
          <cell r="E170">
            <v>0</v>
          </cell>
          <cell r="F170">
            <v>0</v>
          </cell>
          <cell r="G170">
            <v>933.2</v>
          </cell>
          <cell r="H170">
            <v>0</v>
          </cell>
        </row>
        <row r="171">
          <cell r="A171">
            <v>45498</v>
          </cell>
          <cell r="B171" t="str">
            <v>none</v>
          </cell>
          <cell r="C171">
            <v>0</v>
          </cell>
          <cell r="D171">
            <v>150000</v>
          </cell>
          <cell r="E171">
            <v>0</v>
          </cell>
          <cell r="F171">
            <v>0</v>
          </cell>
          <cell r="G171">
            <v>150000</v>
          </cell>
          <cell r="H171">
            <v>0</v>
          </cell>
        </row>
        <row r="172">
          <cell r="A172">
            <v>45498</v>
          </cell>
          <cell r="B172" t="str">
            <v>LM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841</v>
          </cell>
        </row>
        <row r="173">
          <cell r="A173">
            <v>45498</v>
          </cell>
          <cell r="B173" t="str">
            <v>none</v>
          </cell>
          <cell r="C173">
            <v>584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584</v>
          </cell>
        </row>
        <row r="174">
          <cell r="A174">
            <v>45498</v>
          </cell>
          <cell r="B174" t="str">
            <v>VM</v>
          </cell>
          <cell r="C174">
            <v>0</v>
          </cell>
          <cell r="D174">
            <v>0</v>
          </cell>
          <cell r="E174">
            <v>0</v>
          </cell>
          <cell r="F174">
            <v>95.7</v>
          </cell>
          <cell r="G174">
            <v>0</v>
          </cell>
          <cell r="H174">
            <v>1105</v>
          </cell>
        </row>
        <row r="177">
          <cell r="A177">
            <v>45499</v>
          </cell>
          <cell r="B177" t="str">
            <v>Frauen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1000</v>
          </cell>
        </row>
        <row r="178">
          <cell r="A178">
            <v>45499</v>
          </cell>
          <cell r="B178" t="str">
            <v>Andere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1660</v>
          </cell>
        </row>
        <row r="179">
          <cell r="A179">
            <v>45499</v>
          </cell>
          <cell r="B179" t="str">
            <v>LM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537</v>
          </cell>
        </row>
        <row r="180">
          <cell r="A180">
            <v>45499</v>
          </cell>
          <cell r="B180" t="str">
            <v>none</v>
          </cell>
          <cell r="C180">
            <v>2500</v>
          </cell>
          <cell r="D180">
            <v>3000</v>
          </cell>
          <cell r="E180">
            <v>0</v>
          </cell>
          <cell r="F180">
            <v>0</v>
          </cell>
          <cell r="G180">
            <v>3000</v>
          </cell>
          <cell r="H180">
            <v>0</v>
          </cell>
        </row>
        <row r="181">
          <cell r="A181">
            <v>45499</v>
          </cell>
          <cell r="B181" t="str">
            <v>VM</v>
          </cell>
          <cell r="C181">
            <v>0</v>
          </cell>
          <cell r="D181">
            <v>0</v>
          </cell>
          <cell r="E181">
            <v>0</v>
          </cell>
          <cell r="F181">
            <v>26.4</v>
          </cell>
          <cell r="G181">
            <v>0</v>
          </cell>
          <cell r="H181">
            <v>0</v>
          </cell>
        </row>
        <row r="184">
          <cell r="A184">
            <v>45500</v>
          </cell>
          <cell r="B184" t="str">
            <v>Andere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7252.52</v>
          </cell>
        </row>
        <row r="185">
          <cell r="A185">
            <v>45500</v>
          </cell>
          <cell r="B185" t="str">
            <v>none</v>
          </cell>
          <cell r="C185">
            <v>1000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1000</v>
          </cell>
        </row>
        <row r="186">
          <cell r="A186">
            <v>45500</v>
          </cell>
          <cell r="B186" t="str">
            <v>none</v>
          </cell>
          <cell r="C186">
            <v>1000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1000</v>
          </cell>
        </row>
        <row r="192">
          <cell r="A192">
            <v>45501</v>
          </cell>
          <cell r="B192" t="str">
            <v>VM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128</v>
          </cell>
        </row>
        <row r="193">
          <cell r="A193">
            <v>45501</v>
          </cell>
          <cell r="B193" t="str">
            <v>LM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3115.6800000000003</v>
          </cell>
        </row>
        <row r="194">
          <cell r="A194">
            <v>45501</v>
          </cell>
          <cell r="B194" t="str">
            <v>Rauchen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179.99</v>
          </cell>
        </row>
        <row r="195">
          <cell r="A195">
            <v>45501</v>
          </cell>
          <cell r="B195" t="str">
            <v>VM</v>
          </cell>
          <cell r="C195">
            <v>0</v>
          </cell>
          <cell r="D195">
            <v>0</v>
          </cell>
          <cell r="E195">
            <v>0</v>
          </cell>
          <cell r="F195">
            <v>35.200000000000003</v>
          </cell>
          <cell r="G195">
            <v>0</v>
          </cell>
          <cell r="H195">
            <v>554</v>
          </cell>
        </row>
        <row r="199">
          <cell r="A199">
            <v>45502</v>
          </cell>
          <cell r="B199" t="str">
            <v>none</v>
          </cell>
          <cell r="C199">
            <v>25999.29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>
            <v>45502</v>
          </cell>
          <cell r="B200" t="str">
            <v>none</v>
          </cell>
          <cell r="C200">
            <v>0</v>
          </cell>
          <cell r="D200">
            <v>27000</v>
          </cell>
          <cell r="E200">
            <v>0</v>
          </cell>
          <cell r="F200">
            <v>0</v>
          </cell>
          <cell r="G200">
            <v>27000</v>
          </cell>
          <cell r="H200">
            <v>0</v>
          </cell>
        </row>
        <row r="201">
          <cell r="A201">
            <v>45502</v>
          </cell>
          <cell r="B201" t="str">
            <v>none</v>
          </cell>
          <cell r="C201">
            <v>0</v>
          </cell>
          <cell r="D201">
            <v>0</v>
          </cell>
          <cell r="E201">
            <v>0</v>
          </cell>
          <cell r="F201">
            <v>15000</v>
          </cell>
          <cell r="G201">
            <v>15000</v>
          </cell>
          <cell r="H201">
            <v>0</v>
          </cell>
        </row>
        <row r="203">
          <cell r="A203">
            <v>45502</v>
          </cell>
          <cell r="B203" t="str">
            <v>LM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2218</v>
          </cell>
        </row>
        <row r="205">
          <cell r="A205">
            <v>45503</v>
          </cell>
          <cell r="B205" t="str">
            <v>LM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1818.07</v>
          </cell>
        </row>
        <row r="212">
          <cell r="A212">
            <v>45504</v>
          </cell>
          <cell r="B212" t="str">
            <v>none</v>
          </cell>
          <cell r="C212">
            <v>500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</row>
        <row r="213">
          <cell r="A213">
            <v>45504</v>
          </cell>
          <cell r="B213" t="str">
            <v>Rauchen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350</v>
          </cell>
        </row>
        <row r="214">
          <cell r="A214">
            <v>45504</v>
          </cell>
          <cell r="B214" t="str">
            <v>VM</v>
          </cell>
          <cell r="C214">
            <v>0</v>
          </cell>
          <cell r="D214">
            <v>0</v>
          </cell>
          <cell r="E214">
            <v>0</v>
          </cell>
          <cell r="F214">
            <v>28.5</v>
          </cell>
          <cell r="G214">
            <v>0</v>
          </cell>
          <cell r="H214">
            <v>64</v>
          </cell>
        </row>
        <row r="215">
          <cell r="A215">
            <v>45504</v>
          </cell>
          <cell r="B215" t="str">
            <v>LM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530</v>
          </cell>
        </row>
      </sheetData>
      <sheetData sheetId="46">
        <row r="3">
          <cell r="A3">
            <v>45505</v>
          </cell>
          <cell r="B3" t="str">
            <v>VM</v>
          </cell>
          <cell r="C3">
            <v>0</v>
          </cell>
          <cell r="D3">
            <v>0</v>
          </cell>
          <cell r="E3">
            <v>0</v>
          </cell>
          <cell r="F3">
            <v>54.9</v>
          </cell>
          <cell r="G3">
            <v>0</v>
          </cell>
          <cell r="H3">
            <v>128</v>
          </cell>
        </row>
        <row r="4">
          <cell r="A4">
            <v>45505</v>
          </cell>
          <cell r="B4" t="str">
            <v>Andere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3145</v>
          </cell>
        </row>
        <row r="6">
          <cell r="A6">
            <v>45505</v>
          </cell>
          <cell r="B6" t="str">
            <v>Party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5700</v>
          </cell>
        </row>
        <row r="9">
          <cell r="A9">
            <v>45506</v>
          </cell>
          <cell r="B9" t="str">
            <v>VM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504</v>
          </cell>
        </row>
        <row r="10">
          <cell r="A10">
            <v>45506</v>
          </cell>
          <cell r="B10" t="str">
            <v>Frauen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600</v>
          </cell>
        </row>
        <row r="11">
          <cell r="A11">
            <v>45506</v>
          </cell>
          <cell r="B11" t="str">
            <v>LM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1257</v>
          </cell>
        </row>
        <row r="16">
          <cell r="A16">
            <v>45507</v>
          </cell>
          <cell r="B16" t="str">
            <v>VM</v>
          </cell>
          <cell r="C16">
            <v>0</v>
          </cell>
          <cell r="D16">
            <v>0</v>
          </cell>
          <cell r="E16">
            <v>0</v>
          </cell>
          <cell r="F16">
            <v>27.6</v>
          </cell>
          <cell r="G16">
            <v>0</v>
          </cell>
          <cell r="H16">
            <v>839</v>
          </cell>
        </row>
        <row r="17">
          <cell r="A17">
            <v>45507</v>
          </cell>
          <cell r="B17" t="str">
            <v>LM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1455.99</v>
          </cell>
        </row>
        <row r="18">
          <cell r="A18">
            <v>45507</v>
          </cell>
          <cell r="B18" t="str">
            <v>Frauen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3172</v>
          </cell>
        </row>
        <row r="19">
          <cell r="A19">
            <v>45507</v>
          </cell>
          <cell r="B19" t="str">
            <v>Rauchen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180</v>
          </cell>
        </row>
        <row r="20">
          <cell r="A20">
            <v>45507</v>
          </cell>
          <cell r="B20" t="str">
            <v>none</v>
          </cell>
          <cell r="C20">
            <v>0</v>
          </cell>
          <cell r="D20">
            <v>3000</v>
          </cell>
          <cell r="E20">
            <v>0</v>
          </cell>
          <cell r="F20">
            <v>0</v>
          </cell>
          <cell r="G20">
            <v>3000</v>
          </cell>
          <cell r="H20">
            <v>0</v>
          </cell>
        </row>
        <row r="23">
          <cell r="A23">
            <v>45508</v>
          </cell>
          <cell r="B23" t="str">
            <v>for me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1290</v>
          </cell>
        </row>
        <row r="24">
          <cell r="A24">
            <v>45508</v>
          </cell>
          <cell r="B24" t="str">
            <v>Rauchen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254</v>
          </cell>
        </row>
        <row r="25">
          <cell r="A25">
            <v>45508</v>
          </cell>
          <cell r="B25" t="str">
            <v>LM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357.98</v>
          </cell>
        </row>
        <row r="26">
          <cell r="A26">
            <v>45508</v>
          </cell>
          <cell r="B26" t="str">
            <v>VM</v>
          </cell>
          <cell r="C26">
            <v>0</v>
          </cell>
          <cell r="D26">
            <v>0</v>
          </cell>
          <cell r="E26">
            <v>0</v>
          </cell>
          <cell r="F26">
            <v>27.9</v>
          </cell>
          <cell r="G26">
            <v>0</v>
          </cell>
          <cell r="H26">
            <v>0</v>
          </cell>
        </row>
        <row r="30">
          <cell r="A30">
            <v>45509</v>
          </cell>
          <cell r="B30" t="str">
            <v>Andere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1000</v>
          </cell>
        </row>
        <row r="31">
          <cell r="A31">
            <v>45509</v>
          </cell>
          <cell r="B31" t="str">
            <v>none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500</v>
          </cell>
        </row>
        <row r="58">
          <cell r="A58">
            <v>45513</v>
          </cell>
          <cell r="B58" t="str">
            <v>Party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2000</v>
          </cell>
        </row>
        <row r="59">
          <cell r="A59">
            <v>45513</v>
          </cell>
          <cell r="B59" t="str">
            <v>Refill</v>
          </cell>
          <cell r="C59">
            <v>220110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72">
          <cell r="A72">
            <v>45515</v>
          </cell>
          <cell r="B72" t="str">
            <v>LM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1000</v>
          </cell>
        </row>
        <row r="73">
          <cell r="A73">
            <v>45515</v>
          </cell>
          <cell r="B73" t="str">
            <v>Andere</v>
          </cell>
          <cell r="C73">
            <v>0</v>
          </cell>
          <cell r="D73">
            <v>100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9">
          <cell r="A79">
            <v>45516</v>
          </cell>
          <cell r="B79" t="str">
            <v>none</v>
          </cell>
          <cell r="C79">
            <v>0</v>
          </cell>
          <cell r="D79">
            <v>220000</v>
          </cell>
          <cell r="E79">
            <v>0</v>
          </cell>
          <cell r="F79">
            <v>0</v>
          </cell>
          <cell r="G79">
            <v>220000</v>
          </cell>
          <cell r="H79">
            <v>0</v>
          </cell>
        </row>
        <row r="81">
          <cell r="A81">
            <v>45516</v>
          </cell>
          <cell r="B81" t="str">
            <v>Andere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303</v>
          </cell>
        </row>
        <row r="86">
          <cell r="A86">
            <v>45517</v>
          </cell>
          <cell r="B86" t="str">
            <v>Andere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25783</v>
          </cell>
        </row>
        <row r="107">
          <cell r="A107">
            <v>45520</v>
          </cell>
          <cell r="B107" t="str">
            <v>LM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2000</v>
          </cell>
        </row>
        <row r="108">
          <cell r="A108">
            <v>45520</v>
          </cell>
          <cell r="B108" t="str">
            <v>Frauen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4000</v>
          </cell>
        </row>
        <row r="109">
          <cell r="A109">
            <v>45520</v>
          </cell>
          <cell r="B109" t="str">
            <v>for me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2856.0200000000004</v>
          </cell>
        </row>
        <row r="110">
          <cell r="A110">
            <v>45520</v>
          </cell>
          <cell r="B110" t="str">
            <v>LM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971</v>
          </cell>
        </row>
        <row r="111">
          <cell r="A111">
            <v>45520</v>
          </cell>
          <cell r="B111" t="str">
            <v>VM</v>
          </cell>
          <cell r="C111">
            <v>0</v>
          </cell>
          <cell r="D111">
            <v>0</v>
          </cell>
          <cell r="E111">
            <v>0</v>
          </cell>
          <cell r="F111">
            <v>28.8</v>
          </cell>
          <cell r="G111">
            <v>0</v>
          </cell>
          <cell r="H111">
            <v>0</v>
          </cell>
        </row>
        <row r="114">
          <cell r="A114">
            <v>45521</v>
          </cell>
          <cell r="B114" t="str">
            <v>none</v>
          </cell>
          <cell r="C114">
            <v>0</v>
          </cell>
          <cell r="D114">
            <v>0</v>
          </cell>
          <cell r="E114">
            <v>55000</v>
          </cell>
          <cell r="F114">
            <v>0</v>
          </cell>
          <cell r="G114">
            <v>0</v>
          </cell>
          <cell r="H114">
            <v>55000</v>
          </cell>
        </row>
        <row r="115">
          <cell r="A115">
            <v>45521</v>
          </cell>
          <cell r="B115" t="str">
            <v>LM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1355</v>
          </cell>
        </row>
        <row r="116">
          <cell r="A116">
            <v>45521</v>
          </cell>
          <cell r="B116" t="str">
            <v>Andere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1974</v>
          </cell>
        </row>
        <row r="117">
          <cell r="A117">
            <v>45521</v>
          </cell>
          <cell r="B117" t="str">
            <v>rent</v>
          </cell>
          <cell r="C117">
            <v>0</v>
          </cell>
          <cell r="D117">
            <v>0</v>
          </cell>
          <cell r="E117">
            <v>0</v>
          </cell>
          <cell r="F117">
            <v>59183.93</v>
          </cell>
          <cell r="G117">
            <v>0</v>
          </cell>
          <cell r="H117">
            <v>0</v>
          </cell>
        </row>
        <row r="118">
          <cell r="A118">
            <v>45521</v>
          </cell>
          <cell r="B118" t="str">
            <v>VM</v>
          </cell>
          <cell r="C118">
            <v>0</v>
          </cell>
          <cell r="D118">
            <v>0</v>
          </cell>
          <cell r="E118">
            <v>0</v>
          </cell>
          <cell r="F118">
            <v>18</v>
          </cell>
          <cell r="G118">
            <v>0</v>
          </cell>
          <cell r="H118">
            <v>0</v>
          </cell>
        </row>
        <row r="121">
          <cell r="A121">
            <v>45522</v>
          </cell>
          <cell r="B121" t="str">
            <v>Andere</v>
          </cell>
          <cell r="C121">
            <v>0</v>
          </cell>
          <cell r="D121">
            <v>100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A122">
            <v>45522</v>
          </cell>
          <cell r="B122" t="str">
            <v>Kleidung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15924</v>
          </cell>
        </row>
        <row r="123">
          <cell r="A123">
            <v>45522</v>
          </cell>
          <cell r="B123" t="str">
            <v>LM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1155</v>
          </cell>
        </row>
        <row r="124">
          <cell r="A124">
            <v>45522</v>
          </cell>
          <cell r="B124" t="str">
            <v>VM</v>
          </cell>
          <cell r="C124">
            <v>0</v>
          </cell>
          <cell r="D124">
            <v>0</v>
          </cell>
          <cell r="E124">
            <v>0</v>
          </cell>
          <cell r="F124">
            <v>64.5</v>
          </cell>
          <cell r="G124">
            <v>0</v>
          </cell>
          <cell r="H124">
            <v>0</v>
          </cell>
        </row>
        <row r="128">
          <cell r="A128">
            <v>45523</v>
          </cell>
          <cell r="B128" t="str">
            <v>VM</v>
          </cell>
          <cell r="C128">
            <v>0</v>
          </cell>
          <cell r="D128">
            <v>0</v>
          </cell>
          <cell r="E128">
            <v>0</v>
          </cell>
          <cell r="F128">
            <v>198.76</v>
          </cell>
          <cell r="G128">
            <v>0</v>
          </cell>
          <cell r="H128">
            <v>1458</v>
          </cell>
        </row>
        <row r="129">
          <cell r="A129">
            <v>45523</v>
          </cell>
          <cell r="B129" t="str">
            <v>LM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1296.8600000000001</v>
          </cell>
        </row>
        <row r="135">
          <cell r="A135">
            <v>45524</v>
          </cell>
          <cell r="B135" t="str">
            <v>VM</v>
          </cell>
          <cell r="C135">
            <v>0</v>
          </cell>
          <cell r="D135">
            <v>0</v>
          </cell>
          <cell r="E135">
            <v>0</v>
          </cell>
          <cell r="F135">
            <v>26.1</v>
          </cell>
          <cell r="G135">
            <v>0</v>
          </cell>
          <cell r="H135">
            <v>383</v>
          </cell>
        </row>
        <row r="136">
          <cell r="A136">
            <v>45524</v>
          </cell>
          <cell r="B136" t="str">
            <v>LM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269.97000000000003</v>
          </cell>
        </row>
        <row r="142">
          <cell r="A142">
            <v>45525</v>
          </cell>
          <cell r="B142" t="str">
            <v>VM</v>
          </cell>
          <cell r="C142">
            <v>0</v>
          </cell>
          <cell r="D142">
            <v>0</v>
          </cell>
          <cell r="E142">
            <v>0</v>
          </cell>
          <cell r="F142">
            <v>83.4</v>
          </cell>
          <cell r="G142">
            <v>0</v>
          </cell>
          <cell r="H142">
            <v>978</v>
          </cell>
        </row>
        <row r="143">
          <cell r="A143">
            <v>45525</v>
          </cell>
          <cell r="B143" t="str">
            <v>LM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824.97</v>
          </cell>
        </row>
        <row r="149">
          <cell r="A149">
            <v>45526</v>
          </cell>
          <cell r="B149" t="str">
            <v>LM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284</v>
          </cell>
        </row>
        <row r="150">
          <cell r="A150">
            <v>45526</v>
          </cell>
          <cell r="B150" t="str">
            <v>VM</v>
          </cell>
          <cell r="C150">
            <v>0</v>
          </cell>
          <cell r="D150">
            <v>0</v>
          </cell>
          <cell r="E150">
            <v>0</v>
          </cell>
          <cell r="F150">
            <v>27</v>
          </cell>
          <cell r="G150">
            <v>0</v>
          </cell>
          <cell r="H150">
            <v>1000</v>
          </cell>
        </row>
        <row r="151">
          <cell r="A151">
            <v>45526</v>
          </cell>
          <cell r="B151" t="str">
            <v>VM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932</v>
          </cell>
        </row>
        <row r="152">
          <cell r="A152">
            <v>45526</v>
          </cell>
          <cell r="B152" t="str">
            <v>Frauen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3870</v>
          </cell>
        </row>
        <row r="156">
          <cell r="A156">
            <v>45527</v>
          </cell>
          <cell r="B156" t="str">
            <v>Rauchen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190</v>
          </cell>
        </row>
        <row r="157">
          <cell r="A157">
            <v>45527</v>
          </cell>
          <cell r="B157" t="str">
            <v>LM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499.98</v>
          </cell>
        </row>
        <row r="158">
          <cell r="A158">
            <v>45527</v>
          </cell>
          <cell r="B158" t="str">
            <v>VM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64</v>
          </cell>
        </row>
        <row r="159">
          <cell r="A159">
            <v>45527</v>
          </cell>
          <cell r="B159" t="str">
            <v>Refill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26400</v>
          </cell>
          <cell r="H159">
            <v>0</v>
          </cell>
        </row>
        <row r="163">
          <cell r="A163">
            <v>45528</v>
          </cell>
          <cell r="B163" t="str">
            <v>LM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139.99</v>
          </cell>
        </row>
        <row r="164">
          <cell r="A164">
            <v>45528</v>
          </cell>
          <cell r="B164" t="str">
            <v>Andere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10000</v>
          </cell>
        </row>
        <row r="165">
          <cell r="A165">
            <v>45528</v>
          </cell>
          <cell r="B165" t="str">
            <v>VM</v>
          </cell>
          <cell r="C165">
            <v>0</v>
          </cell>
          <cell r="D165">
            <v>0</v>
          </cell>
          <cell r="E165">
            <v>0</v>
          </cell>
          <cell r="F165">
            <v>149</v>
          </cell>
          <cell r="G165">
            <v>0</v>
          </cell>
          <cell r="H165">
            <v>0</v>
          </cell>
        </row>
        <row r="170">
          <cell r="A170">
            <v>45529</v>
          </cell>
          <cell r="B170" t="str">
            <v>LM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1095</v>
          </cell>
        </row>
        <row r="171">
          <cell r="A171">
            <v>45529</v>
          </cell>
          <cell r="B171" t="str">
            <v>VM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1308</v>
          </cell>
        </row>
        <row r="177">
          <cell r="A177">
            <v>45530</v>
          </cell>
          <cell r="B177" t="str">
            <v>Rauchen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180</v>
          </cell>
        </row>
        <row r="178">
          <cell r="A178">
            <v>45530</v>
          </cell>
          <cell r="B178" t="str">
            <v>Andere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2000</v>
          </cell>
        </row>
        <row r="179">
          <cell r="A179">
            <v>45530</v>
          </cell>
          <cell r="B179" t="str">
            <v>Refill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5417.23</v>
          </cell>
          <cell r="H179">
            <v>0</v>
          </cell>
        </row>
        <row r="180">
          <cell r="A180">
            <v>45530</v>
          </cell>
          <cell r="B180" t="str">
            <v>LM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742</v>
          </cell>
        </row>
        <row r="184">
          <cell r="A184">
            <v>45531</v>
          </cell>
          <cell r="B184" t="str">
            <v>for me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1290</v>
          </cell>
        </row>
        <row r="185">
          <cell r="A185">
            <v>45531</v>
          </cell>
          <cell r="B185" t="str">
            <v>LM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560.86</v>
          </cell>
        </row>
        <row r="186">
          <cell r="A186">
            <v>45531</v>
          </cell>
          <cell r="B186" t="str">
            <v>VM</v>
          </cell>
          <cell r="C186">
            <v>0</v>
          </cell>
          <cell r="D186">
            <v>0</v>
          </cell>
          <cell r="E186">
            <v>0</v>
          </cell>
          <cell r="F186">
            <v>51.6</v>
          </cell>
          <cell r="G186">
            <v>0</v>
          </cell>
          <cell r="H186">
            <v>768</v>
          </cell>
        </row>
        <row r="187">
          <cell r="A187">
            <v>45531</v>
          </cell>
          <cell r="B187" t="str">
            <v>Frauen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2100</v>
          </cell>
        </row>
        <row r="188">
          <cell r="A188">
            <v>45531</v>
          </cell>
          <cell r="B188" t="str">
            <v>VM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64</v>
          </cell>
        </row>
        <row r="191">
          <cell r="A191">
            <v>45532</v>
          </cell>
          <cell r="B191" t="str">
            <v>LM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1750.93</v>
          </cell>
        </row>
        <row r="198">
          <cell r="A198">
            <v>45533</v>
          </cell>
          <cell r="B198" t="str">
            <v>LM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780.86</v>
          </cell>
        </row>
        <row r="199">
          <cell r="A199">
            <v>45533</v>
          </cell>
          <cell r="B199" t="str">
            <v>VM</v>
          </cell>
          <cell r="C199">
            <v>0</v>
          </cell>
          <cell r="D199">
            <v>0</v>
          </cell>
          <cell r="E199">
            <v>0</v>
          </cell>
          <cell r="F199">
            <v>56.1</v>
          </cell>
          <cell r="G199">
            <v>0</v>
          </cell>
          <cell r="H199">
            <v>128</v>
          </cell>
        </row>
        <row r="205">
          <cell r="A205">
            <v>45534</v>
          </cell>
          <cell r="B205" t="str">
            <v>Rauchen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1499</v>
          </cell>
        </row>
        <row r="206">
          <cell r="A206">
            <v>45534</v>
          </cell>
          <cell r="B206" t="str">
            <v>VM</v>
          </cell>
          <cell r="C206">
            <v>0</v>
          </cell>
          <cell r="D206">
            <v>0</v>
          </cell>
          <cell r="E206">
            <v>0</v>
          </cell>
          <cell r="F206">
            <v>22.5</v>
          </cell>
          <cell r="G206">
            <v>0</v>
          </cell>
          <cell r="H206">
            <v>64</v>
          </cell>
        </row>
        <row r="207">
          <cell r="A207">
            <v>45534</v>
          </cell>
          <cell r="B207" t="str">
            <v>LM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2130</v>
          </cell>
        </row>
        <row r="212">
          <cell r="A212">
            <v>45535</v>
          </cell>
          <cell r="B212" t="str">
            <v>Party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3990</v>
          </cell>
        </row>
        <row r="213">
          <cell r="A213">
            <v>45535</v>
          </cell>
          <cell r="B213" t="str">
            <v>LM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643.95000000000005</v>
          </cell>
        </row>
        <row r="214">
          <cell r="A214">
            <v>45535</v>
          </cell>
          <cell r="B214" t="str">
            <v>LM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592</v>
          </cell>
        </row>
        <row r="215">
          <cell r="A215">
            <v>45535</v>
          </cell>
          <cell r="B215" t="str">
            <v>VM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2300</v>
          </cell>
        </row>
        <row r="216">
          <cell r="A216">
            <v>45535</v>
          </cell>
          <cell r="B216" t="str">
            <v>Andere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8000</v>
          </cell>
        </row>
      </sheetData>
      <sheetData sheetId="47">
        <row r="2">
          <cell r="A2">
            <v>45536</v>
          </cell>
          <cell r="B2" t="str">
            <v>LM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1834.98</v>
          </cell>
        </row>
        <row r="3">
          <cell r="A3">
            <v>45536</v>
          </cell>
          <cell r="B3" t="str">
            <v>VM</v>
          </cell>
          <cell r="C3">
            <v>0</v>
          </cell>
          <cell r="D3">
            <v>0</v>
          </cell>
          <cell r="E3">
            <v>0</v>
          </cell>
          <cell r="F3">
            <v>120.2</v>
          </cell>
          <cell r="G3">
            <v>0</v>
          </cell>
          <cell r="H3">
            <v>1005</v>
          </cell>
        </row>
        <row r="4">
          <cell r="A4">
            <v>45536</v>
          </cell>
          <cell r="B4" t="str">
            <v>Andere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2319</v>
          </cell>
        </row>
        <row r="9">
          <cell r="A9">
            <v>45537</v>
          </cell>
          <cell r="B9" t="str">
            <v>VM</v>
          </cell>
          <cell r="C9">
            <v>0</v>
          </cell>
          <cell r="D9">
            <v>0</v>
          </cell>
          <cell r="E9">
            <v>0</v>
          </cell>
          <cell r="F9">
            <v>81</v>
          </cell>
          <cell r="G9">
            <v>0</v>
          </cell>
          <cell r="H9">
            <v>2507</v>
          </cell>
        </row>
        <row r="10">
          <cell r="A10">
            <v>45537</v>
          </cell>
          <cell r="B10" t="str">
            <v>LM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420</v>
          </cell>
        </row>
        <row r="11">
          <cell r="A11">
            <v>45537</v>
          </cell>
          <cell r="B11" t="str">
            <v>Andere</v>
          </cell>
          <cell r="C11">
            <v>0</v>
          </cell>
          <cell r="D11">
            <v>0</v>
          </cell>
          <cell r="E11">
            <v>0</v>
          </cell>
          <cell r="F11">
            <v>250</v>
          </cell>
          <cell r="G11">
            <v>0</v>
          </cell>
          <cell r="H11">
            <v>0</v>
          </cell>
        </row>
        <row r="12">
          <cell r="A12">
            <v>45537</v>
          </cell>
          <cell r="B12" t="str">
            <v>none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200000</v>
          </cell>
        </row>
        <row r="16">
          <cell r="A16">
            <v>45538</v>
          </cell>
          <cell r="B16" t="str">
            <v>VM</v>
          </cell>
          <cell r="C16">
            <v>0</v>
          </cell>
          <cell r="D16">
            <v>0</v>
          </cell>
          <cell r="E16">
            <v>0</v>
          </cell>
          <cell r="F16">
            <v>54</v>
          </cell>
          <cell r="G16">
            <v>0</v>
          </cell>
          <cell r="H16">
            <v>64</v>
          </cell>
        </row>
        <row r="17">
          <cell r="A17">
            <v>45538</v>
          </cell>
          <cell r="B17" t="str">
            <v>Party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1500</v>
          </cell>
        </row>
        <row r="18">
          <cell r="A18">
            <v>45538</v>
          </cell>
          <cell r="B18" t="str">
            <v>none</v>
          </cell>
          <cell r="C18">
            <v>0</v>
          </cell>
          <cell r="D18">
            <v>0</v>
          </cell>
          <cell r="E18">
            <v>500</v>
          </cell>
          <cell r="F18">
            <v>0</v>
          </cell>
          <cell r="G18">
            <v>0</v>
          </cell>
          <cell r="H18">
            <v>500</v>
          </cell>
        </row>
        <row r="23">
          <cell r="A23">
            <v>45539</v>
          </cell>
          <cell r="B23" t="str">
            <v>VM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1740</v>
          </cell>
        </row>
        <row r="24">
          <cell r="A24">
            <v>45539</v>
          </cell>
          <cell r="B24" t="str">
            <v>LM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710</v>
          </cell>
        </row>
        <row r="30">
          <cell r="A30">
            <v>45540</v>
          </cell>
          <cell r="B30" t="str">
            <v>Andere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200</v>
          </cell>
        </row>
        <row r="31">
          <cell r="A31">
            <v>45540</v>
          </cell>
          <cell r="B31" t="str">
            <v>LM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549.99</v>
          </cell>
        </row>
        <row r="33">
          <cell r="A33">
            <v>45540</v>
          </cell>
          <cell r="B33" t="str">
            <v>none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15000</v>
          </cell>
          <cell r="H33">
            <v>0</v>
          </cell>
        </row>
        <row r="37">
          <cell r="A37">
            <v>45541</v>
          </cell>
          <cell r="B37" t="str">
            <v>for me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5000</v>
          </cell>
        </row>
        <row r="38">
          <cell r="A38">
            <v>45541</v>
          </cell>
          <cell r="B38" t="str">
            <v>none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185000</v>
          </cell>
          <cell r="H38">
            <v>0</v>
          </cell>
        </row>
        <row r="39">
          <cell r="A39">
            <v>45541</v>
          </cell>
          <cell r="B39" t="str">
            <v>Andere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8919</v>
          </cell>
        </row>
        <row r="44">
          <cell r="A44">
            <v>45542</v>
          </cell>
          <cell r="B44" t="str">
            <v>LM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409</v>
          </cell>
        </row>
        <row r="51">
          <cell r="A51">
            <v>45543</v>
          </cell>
          <cell r="B51" t="str">
            <v>LM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850</v>
          </cell>
        </row>
        <row r="52">
          <cell r="A52">
            <v>45543</v>
          </cell>
          <cell r="B52" t="str">
            <v>VM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2362</v>
          </cell>
        </row>
        <row r="58">
          <cell r="A58">
            <v>45544</v>
          </cell>
          <cell r="B58" t="str">
            <v>LM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1145</v>
          </cell>
        </row>
        <row r="59">
          <cell r="A59">
            <v>45544</v>
          </cell>
          <cell r="B59" t="str">
            <v>Frauen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365</v>
          </cell>
        </row>
        <row r="60">
          <cell r="A60">
            <v>45544</v>
          </cell>
          <cell r="B60" t="str">
            <v>for me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615</v>
          </cell>
        </row>
        <row r="61">
          <cell r="A61">
            <v>45544</v>
          </cell>
          <cell r="B61" t="str">
            <v>VM</v>
          </cell>
          <cell r="C61">
            <v>0</v>
          </cell>
          <cell r="D61">
            <v>0</v>
          </cell>
          <cell r="E61">
            <v>0</v>
          </cell>
          <cell r="F61">
            <v>8.5</v>
          </cell>
          <cell r="G61">
            <v>0</v>
          </cell>
          <cell r="H61">
            <v>0</v>
          </cell>
        </row>
        <row r="65">
          <cell r="A65">
            <v>45545</v>
          </cell>
          <cell r="B65" t="str">
            <v>Refill</v>
          </cell>
          <cell r="C65">
            <v>220110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72">
          <cell r="A72">
            <v>45546</v>
          </cell>
          <cell r="B72" t="str">
            <v>none</v>
          </cell>
          <cell r="C72">
            <v>0</v>
          </cell>
          <cell r="D72">
            <v>220000</v>
          </cell>
          <cell r="E72">
            <v>0</v>
          </cell>
          <cell r="F72">
            <v>0</v>
          </cell>
          <cell r="G72">
            <v>220000</v>
          </cell>
          <cell r="H72">
            <v>0</v>
          </cell>
        </row>
        <row r="86">
          <cell r="A86">
            <v>45548</v>
          </cell>
          <cell r="B86" t="str">
            <v>Andere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7100</v>
          </cell>
        </row>
        <row r="87">
          <cell r="A87">
            <v>45548</v>
          </cell>
          <cell r="B87" t="str">
            <v>Andere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1500</v>
          </cell>
        </row>
        <row r="88">
          <cell r="A88">
            <v>45548</v>
          </cell>
          <cell r="B88" t="str">
            <v>none</v>
          </cell>
          <cell r="C88">
            <v>500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107">
          <cell r="A107">
            <v>45551</v>
          </cell>
          <cell r="B107" t="str">
            <v>LM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10500</v>
          </cell>
        </row>
        <row r="114">
          <cell r="A114">
            <v>45552</v>
          </cell>
          <cell r="B114" t="str">
            <v>none</v>
          </cell>
          <cell r="C114">
            <v>0</v>
          </cell>
          <cell r="D114">
            <v>0</v>
          </cell>
          <cell r="E114">
            <v>55000</v>
          </cell>
          <cell r="F114">
            <v>0</v>
          </cell>
          <cell r="G114">
            <v>0</v>
          </cell>
          <cell r="H114">
            <v>55000</v>
          </cell>
        </row>
        <row r="115">
          <cell r="A115">
            <v>45552</v>
          </cell>
          <cell r="B115" t="str">
            <v>rent</v>
          </cell>
          <cell r="C115">
            <v>0</v>
          </cell>
          <cell r="D115">
            <v>0</v>
          </cell>
          <cell r="E115">
            <v>0</v>
          </cell>
          <cell r="F115">
            <v>55050</v>
          </cell>
          <cell r="G115">
            <v>0</v>
          </cell>
          <cell r="H115">
            <v>0</v>
          </cell>
        </row>
        <row r="121">
          <cell r="A121">
            <v>45553</v>
          </cell>
          <cell r="B121" t="str">
            <v>for me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3464</v>
          </cell>
        </row>
        <row r="135">
          <cell r="A135">
            <v>45555</v>
          </cell>
          <cell r="B135" t="str">
            <v>none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1</v>
          </cell>
          <cell r="H135">
            <v>0</v>
          </cell>
        </row>
        <row r="136">
          <cell r="A136">
            <v>45555</v>
          </cell>
          <cell r="B136" t="str">
            <v>none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21031</v>
          </cell>
          <cell r="H136">
            <v>0</v>
          </cell>
        </row>
        <row r="137">
          <cell r="A137">
            <v>45555</v>
          </cell>
          <cell r="B137" t="str">
            <v>none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11968</v>
          </cell>
          <cell r="H137">
            <v>0</v>
          </cell>
        </row>
        <row r="142">
          <cell r="A142">
            <v>45556</v>
          </cell>
          <cell r="B142" t="str">
            <v>VM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524.32000000000005</v>
          </cell>
        </row>
        <row r="143">
          <cell r="A143">
            <v>45556</v>
          </cell>
          <cell r="B143" t="str">
            <v>Andere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5913.2000000000007</v>
          </cell>
        </row>
        <row r="144">
          <cell r="A144">
            <v>45556</v>
          </cell>
          <cell r="B144" t="str">
            <v>LM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1408.75</v>
          </cell>
        </row>
        <row r="149">
          <cell r="A149">
            <v>45557</v>
          </cell>
          <cell r="B149" t="str">
            <v>Andere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9369.73</v>
          </cell>
        </row>
        <row r="150">
          <cell r="A150">
            <v>45557</v>
          </cell>
          <cell r="B150" t="str">
            <v>VM</v>
          </cell>
          <cell r="C150">
            <v>0</v>
          </cell>
          <cell r="D150">
            <v>209</v>
          </cell>
          <cell r="E150">
            <v>0</v>
          </cell>
          <cell r="F150">
            <v>17</v>
          </cell>
          <cell r="G150">
            <v>0</v>
          </cell>
          <cell r="H150">
            <v>128</v>
          </cell>
        </row>
        <row r="151">
          <cell r="A151">
            <v>45557</v>
          </cell>
          <cell r="B151" t="str">
            <v>Andere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170</v>
          </cell>
        </row>
        <row r="155">
          <cell r="A155">
            <v>45557</v>
          </cell>
          <cell r="B155" t="str">
            <v>none</v>
          </cell>
          <cell r="C155">
            <v>0</v>
          </cell>
          <cell r="D155">
            <v>0</v>
          </cell>
          <cell r="E155">
            <v>0</v>
          </cell>
          <cell r="F155">
            <v>149</v>
          </cell>
          <cell r="G155">
            <v>0</v>
          </cell>
          <cell r="H155">
            <v>0</v>
          </cell>
        </row>
        <row r="156">
          <cell r="A156">
            <v>45558</v>
          </cell>
          <cell r="B156" t="str">
            <v>VM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1146</v>
          </cell>
        </row>
        <row r="157">
          <cell r="A157">
            <v>45558</v>
          </cell>
          <cell r="B157" t="str">
            <v>LM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1560</v>
          </cell>
        </row>
        <row r="163">
          <cell r="A163">
            <v>45559</v>
          </cell>
          <cell r="B163" t="str">
            <v>LM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2395.9499999999998</v>
          </cell>
        </row>
        <row r="164">
          <cell r="A164">
            <v>45559</v>
          </cell>
          <cell r="B164" t="str">
            <v>VM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1348</v>
          </cell>
        </row>
        <row r="170">
          <cell r="A170">
            <v>45560</v>
          </cell>
          <cell r="B170" t="str">
            <v>VM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4016.2</v>
          </cell>
        </row>
        <row r="171">
          <cell r="A171">
            <v>45560</v>
          </cell>
          <cell r="B171" t="str">
            <v>Andere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8800</v>
          </cell>
        </row>
        <row r="172">
          <cell r="A172">
            <v>45560</v>
          </cell>
          <cell r="B172" t="str">
            <v>LM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492.88</v>
          </cell>
        </row>
        <row r="173">
          <cell r="A173">
            <v>45560</v>
          </cell>
          <cell r="B173" t="str">
            <v>VM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64</v>
          </cell>
        </row>
        <row r="174">
          <cell r="A174">
            <v>45560</v>
          </cell>
          <cell r="B174" t="str">
            <v>Refill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28583.739999999998</v>
          </cell>
          <cell r="H174">
            <v>0</v>
          </cell>
        </row>
        <row r="177">
          <cell r="A177">
            <v>45561</v>
          </cell>
          <cell r="B177" t="str">
            <v>VM</v>
          </cell>
          <cell r="C177">
            <v>0</v>
          </cell>
          <cell r="D177">
            <v>0</v>
          </cell>
          <cell r="E177">
            <v>0</v>
          </cell>
          <cell r="F177">
            <v>16</v>
          </cell>
          <cell r="G177">
            <v>0</v>
          </cell>
          <cell r="H177">
            <v>192</v>
          </cell>
        </row>
        <row r="178">
          <cell r="A178">
            <v>45561</v>
          </cell>
          <cell r="B178" t="str">
            <v>Andere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5567</v>
          </cell>
        </row>
        <row r="179">
          <cell r="A179">
            <v>45561</v>
          </cell>
          <cell r="B179" t="str">
            <v>LM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1369.9</v>
          </cell>
        </row>
        <row r="180">
          <cell r="A180">
            <v>45561</v>
          </cell>
          <cell r="B180" t="str">
            <v>Rauchen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185</v>
          </cell>
        </row>
        <row r="184">
          <cell r="A184">
            <v>45562</v>
          </cell>
          <cell r="B184" t="str">
            <v>Kleidung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2964</v>
          </cell>
        </row>
        <row r="185">
          <cell r="A185">
            <v>45562</v>
          </cell>
          <cell r="B185" t="str">
            <v>VM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64</v>
          </cell>
        </row>
        <row r="186">
          <cell r="A186">
            <v>45562</v>
          </cell>
          <cell r="B186" t="str">
            <v>Frauen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3850</v>
          </cell>
        </row>
        <row r="187">
          <cell r="A187">
            <v>45562</v>
          </cell>
          <cell r="B187" t="str">
            <v>VM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1027</v>
          </cell>
        </row>
        <row r="191">
          <cell r="A191">
            <v>45563</v>
          </cell>
          <cell r="B191" t="str">
            <v>Rauchen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1899</v>
          </cell>
        </row>
        <row r="192">
          <cell r="A192">
            <v>45563</v>
          </cell>
          <cell r="B192" t="str">
            <v>VM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128</v>
          </cell>
        </row>
        <row r="193">
          <cell r="A193">
            <v>45563</v>
          </cell>
          <cell r="B193" t="str">
            <v>Andere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2762</v>
          </cell>
        </row>
        <row r="194">
          <cell r="A194">
            <v>45563</v>
          </cell>
          <cell r="B194" t="str">
            <v>LM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1309.47</v>
          </cell>
        </row>
        <row r="198">
          <cell r="A198">
            <v>45564</v>
          </cell>
          <cell r="B198" t="str">
            <v>Andere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249</v>
          </cell>
        </row>
        <row r="199">
          <cell r="A199">
            <v>45564</v>
          </cell>
          <cell r="B199" t="str">
            <v>LM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613.42999999999995</v>
          </cell>
        </row>
        <row r="200">
          <cell r="A200">
            <v>45564</v>
          </cell>
          <cell r="B200" t="str">
            <v>Party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1500</v>
          </cell>
        </row>
        <row r="201">
          <cell r="A201">
            <v>45564</v>
          </cell>
          <cell r="B201" t="str">
            <v>VM</v>
          </cell>
          <cell r="C201">
            <v>0</v>
          </cell>
          <cell r="D201">
            <v>0</v>
          </cell>
          <cell r="E201">
            <v>0</v>
          </cell>
          <cell r="F201">
            <v>14</v>
          </cell>
          <cell r="G201">
            <v>0</v>
          </cell>
          <cell r="H201">
            <v>0</v>
          </cell>
        </row>
      </sheetData>
      <sheetData sheetId="48">
        <row r="2">
          <cell r="A2">
            <v>45566</v>
          </cell>
          <cell r="B2" t="str">
            <v>LM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981</v>
          </cell>
        </row>
        <row r="3">
          <cell r="A3">
            <v>45566</v>
          </cell>
          <cell r="B3" t="str">
            <v>VM</v>
          </cell>
          <cell r="C3">
            <v>0</v>
          </cell>
          <cell r="D3">
            <v>0</v>
          </cell>
          <cell r="E3">
            <v>0</v>
          </cell>
          <cell r="F3">
            <v>75.5</v>
          </cell>
          <cell r="G3">
            <v>0</v>
          </cell>
          <cell r="H3">
            <v>1309</v>
          </cell>
        </row>
        <row r="4">
          <cell r="A4">
            <v>45566</v>
          </cell>
          <cell r="B4" t="str">
            <v>Andere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1990</v>
          </cell>
        </row>
        <row r="5">
          <cell r="A5">
            <v>45566</v>
          </cell>
          <cell r="B5" t="str">
            <v>for me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800</v>
          </cell>
        </row>
        <row r="6">
          <cell r="A6">
            <v>45566</v>
          </cell>
          <cell r="B6" t="str">
            <v>Party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10</v>
          </cell>
          <cell r="H6">
            <v>0</v>
          </cell>
        </row>
        <row r="9">
          <cell r="A9">
            <v>45567</v>
          </cell>
          <cell r="B9" t="str">
            <v>LM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445</v>
          </cell>
        </row>
        <row r="10">
          <cell r="A10">
            <v>45567</v>
          </cell>
          <cell r="B10" t="str">
            <v>Andere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2000</v>
          </cell>
        </row>
        <row r="11">
          <cell r="A11">
            <v>45567</v>
          </cell>
          <cell r="B11" t="str">
            <v>Andere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3200</v>
          </cell>
        </row>
        <row r="12">
          <cell r="A12">
            <v>45567</v>
          </cell>
          <cell r="B12" t="str">
            <v>VM</v>
          </cell>
          <cell r="C12">
            <v>0</v>
          </cell>
          <cell r="D12">
            <v>0</v>
          </cell>
          <cell r="E12">
            <v>0</v>
          </cell>
          <cell r="F12">
            <v>17</v>
          </cell>
          <cell r="G12">
            <v>0</v>
          </cell>
          <cell r="H12">
            <v>0</v>
          </cell>
        </row>
        <row r="16">
          <cell r="A16">
            <v>45568</v>
          </cell>
          <cell r="B16" t="str">
            <v>Refill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8477.6200000000008</v>
          </cell>
          <cell r="H16">
            <v>0</v>
          </cell>
        </row>
        <row r="17">
          <cell r="A17">
            <v>45568</v>
          </cell>
          <cell r="B17" t="str">
            <v>LM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957.89</v>
          </cell>
        </row>
        <row r="18">
          <cell r="A18">
            <v>45568</v>
          </cell>
          <cell r="B18" t="str">
            <v>VM</v>
          </cell>
          <cell r="C18">
            <v>0</v>
          </cell>
          <cell r="D18">
            <v>65</v>
          </cell>
          <cell r="E18">
            <v>0</v>
          </cell>
          <cell r="F18">
            <v>7</v>
          </cell>
          <cell r="G18">
            <v>0</v>
          </cell>
          <cell r="H18">
            <v>1098</v>
          </cell>
        </row>
        <row r="23">
          <cell r="A23">
            <v>45569</v>
          </cell>
          <cell r="B23" t="str">
            <v>LM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1136</v>
          </cell>
        </row>
        <row r="24">
          <cell r="A24">
            <v>45569</v>
          </cell>
          <cell r="B24" t="str">
            <v>VM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64</v>
          </cell>
        </row>
        <row r="25">
          <cell r="A25">
            <v>45569</v>
          </cell>
          <cell r="B25" t="str">
            <v>Party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2800</v>
          </cell>
        </row>
        <row r="26">
          <cell r="A26">
            <v>45569</v>
          </cell>
          <cell r="B26" t="str">
            <v>VM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64</v>
          </cell>
        </row>
        <row r="30">
          <cell r="A30">
            <v>45570</v>
          </cell>
          <cell r="B30" t="str">
            <v>VM</v>
          </cell>
          <cell r="C30">
            <v>0</v>
          </cell>
          <cell r="D30">
            <v>0</v>
          </cell>
          <cell r="E30">
            <v>0</v>
          </cell>
          <cell r="F30">
            <v>77</v>
          </cell>
          <cell r="G30">
            <v>0</v>
          </cell>
          <cell r="H30">
            <v>1518</v>
          </cell>
        </row>
        <row r="31">
          <cell r="A31">
            <v>45570</v>
          </cell>
          <cell r="B31" t="str">
            <v>Frauen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1900</v>
          </cell>
        </row>
        <row r="32">
          <cell r="A32">
            <v>45570</v>
          </cell>
          <cell r="B32" t="str">
            <v>none</v>
          </cell>
          <cell r="C32">
            <v>1900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1900</v>
          </cell>
        </row>
        <row r="37">
          <cell r="A37">
            <v>45571</v>
          </cell>
          <cell r="B37" t="str">
            <v>LM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1150</v>
          </cell>
        </row>
        <row r="38">
          <cell r="A38">
            <v>45571</v>
          </cell>
          <cell r="B38" t="str">
            <v>Andere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1000</v>
          </cell>
        </row>
        <row r="51">
          <cell r="A51">
            <v>45573</v>
          </cell>
          <cell r="B51" t="str">
            <v>none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400</v>
          </cell>
          <cell r="H51">
            <v>0</v>
          </cell>
        </row>
        <row r="65">
          <cell r="A65">
            <v>45575</v>
          </cell>
          <cell r="B65" t="str">
            <v>Refill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220110</v>
          </cell>
          <cell r="H65">
            <v>0</v>
          </cell>
        </row>
        <row r="66">
          <cell r="A66">
            <v>45575</v>
          </cell>
          <cell r="B66" t="str">
            <v>Andere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1500</v>
          </cell>
        </row>
        <row r="79">
          <cell r="A79">
            <v>45577</v>
          </cell>
          <cell r="B79" t="str">
            <v>Frauen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5096.12</v>
          </cell>
        </row>
        <row r="80">
          <cell r="A80">
            <v>45577</v>
          </cell>
          <cell r="B80" t="str">
            <v>for me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2099.48</v>
          </cell>
        </row>
        <row r="81">
          <cell r="A81">
            <v>45577</v>
          </cell>
          <cell r="B81" t="str">
            <v>Andere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1850</v>
          </cell>
        </row>
        <row r="86">
          <cell r="A86">
            <v>45578</v>
          </cell>
          <cell r="B86" t="str">
            <v>Party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1200</v>
          </cell>
        </row>
        <row r="87">
          <cell r="A87">
            <v>45578</v>
          </cell>
          <cell r="B87" t="str">
            <v>VM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64</v>
          </cell>
        </row>
        <row r="88">
          <cell r="A88">
            <v>45578</v>
          </cell>
          <cell r="B88" t="str">
            <v>LM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1060.98</v>
          </cell>
        </row>
        <row r="93">
          <cell r="A93">
            <v>45579</v>
          </cell>
          <cell r="B93" t="str">
            <v>VM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832</v>
          </cell>
        </row>
        <row r="94">
          <cell r="A94">
            <v>45579</v>
          </cell>
          <cell r="B94" t="str">
            <v>LM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1358.1</v>
          </cell>
        </row>
        <row r="100">
          <cell r="A100">
            <v>45580</v>
          </cell>
          <cell r="B100" t="str">
            <v>LM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379.98</v>
          </cell>
        </row>
        <row r="107">
          <cell r="A107">
            <v>45581</v>
          </cell>
          <cell r="B107" t="str">
            <v>VM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2525</v>
          </cell>
        </row>
        <row r="108">
          <cell r="A108">
            <v>45581</v>
          </cell>
          <cell r="B108" t="str">
            <v>LM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489.94</v>
          </cell>
        </row>
        <row r="109">
          <cell r="A109">
            <v>45581</v>
          </cell>
          <cell r="B109" t="str">
            <v>Andere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3200</v>
          </cell>
        </row>
        <row r="114">
          <cell r="A114">
            <v>45582</v>
          </cell>
          <cell r="B114" t="str">
            <v>VM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1163</v>
          </cell>
        </row>
        <row r="115">
          <cell r="A115">
            <v>45582</v>
          </cell>
          <cell r="B115" t="str">
            <v>LM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1843</v>
          </cell>
        </row>
        <row r="116">
          <cell r="A116">
            <v>45582</v>
          </cell>
          <cell r="B116" t="str">
            <v>none</v>
          </cell>
          <cell r="C116">
            <v>0</v>
          </cell>
          <cell r="D116">
            <v>0</v>
          </cell>
          <cell r="E116">
            <v>55500</v>
          </cell>
          <cell r="F116">
            <v>0</v>
          </cell>
          <cell r="G116">
            <v>0</v>
          </cell>
          <cell r="H116">
            <v>55500</v>
          </cell>
        </row>
        <row r="117">
          <cell r="A117">
            <v>45582</v>
          </cell>
          <cell r="B117" t="str">
            <v>Refill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11400</v>
          </cell>
          <cell r="H117">
            <v>0</v>
          </cell>
        </row>
        <row r="118">
          <cell r="A118">
            <v>45582</v>
          </cell>
          <cell r="B118" t="str">
            <v>rent</v>
          </cell>
          <cell r="C118">
            <v>0</v>
          </cell>
          <cell r="D118">
            <v>0</v>
          </cell>
          <cell r="E118">
            <v>0</v>
          </cell>
          <cell r="F118">
            <v>55050</v>
          </cell>
          <cell r="G118">
            <v>0</v>
          </cell>
          <cell r="H118">
            <v>0</v>
          </cell>
        </row>
        <row r="121">
          <cell r="A121">
            <v>45583</v>
          </cell>
          <cell r="B121" t="str">
            <v>for me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17000</v>
          </cell>
        </row>
        <row r="122">
          <cell r="A122">
            <v>45583</v>
          </cell>
          <cell r="B122" t="str">
            <v>LM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734.94</v>
          </cell>
        </row>
        <row r="128">
          <cell r="A128">
            <v>45584</v>
          </cell>
          <cell r="B128" t="str">
            <v>LM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972.94</v>
          </cell>
        </row>
        <row r="129">
          <cell r="A129">
            <v>45584</v>
          </cell>
          <cell r="B129" t="str">
            <v>Frauen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1410</v>
          </cell>
        </row>
        <row r="130">
          <cell r="A130">
            <v>45584</v>
          </cell>
          <cell r="B130" t="str">
            <v>Rauchen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1499</v>
          </cell>
        </row>
        <row r="131">
          <cell r="A131">
            <v>45584</v>
          </cell>
          <cell r="B131" t="str">
            <v>VM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128</v>
          </cell>
        </row>
        <row r="135">
          <cell r="A135">
            <v>45585</v>
          </cell>
          <cell r="B135" t="str">
            <v>LM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1139.0899999999999</v>
          </cell>
        </row>
        <row r="136">
          <cell r="A136">
            <v>45585</v>
          </cell>
          <cell r="B136" t="str">
            <v>VM</v>
          </cell>
          <cell r="C136">
            <v>0</v>
          </cell>
          <cell r="D136">
            <v>0</v>
          </cell>
          <cell r="E136">
            <v>0</v>
          </cell>
          <cell r="F136">
            <v>74.87</v>
          </cell>
          <cell r="G136">
            <v>0</v>
          </cell>
          <cell r="H136">
            <v>192</v>
          </cell>
        </row>
        <row r="137">
          <cell r="A137">
            <v>45585</v>
          </cell>
          <cell r="B137" t="str">
            <v>Andere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60</v>
          </cell>
        </row>
        <row r="142">
          <cell r="A142">
            <v>45586</v>
          </cell>
          <cell r="B142" t="str">
            <v>VM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1098</v>
          </cell>
        </row>
        <row r="143">
          <cell r="A143">
            <v>45586</v>
          </cell>
          <cell r="B143" t="str">
            <v>Party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650</v>
          </cell>
        </row>
        <row r="144">
          <cell r="A144">
            <v>45586</v>
          </cell>
          <cell r="B144" t="str">
            <v>Andere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2584</v>
          </cell>
        </row>
        <row r="156">
          <cell r="A156">
            <v>45588</v>
          </cell>
          <cell r="B156" t="str">
            <v>LM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1018.96</v>
          </cell>
        </row>
        <row r="157">
          <cell r="A157">
            <v>45588</v>
          </cell>
          <cell r="B157" t="str">
            <v>Andere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1139</v>
          </cell>
        </row>
        <row r="158">
          <cell r="A158">
            <v>45588</v>
          </cell>
          <cell r="B158" t="str">
            <v>VM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936</v>
          </cell>
        </row>
        <row r="159">
          <cell r="A159">
            <v>45588</v>
          </cell>
          <cell r="B159" t="str">
            <v>VM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63</v>
          </cell>
        </row>
        <row r="163">
          <cell r="A163">
            <v>45589</v>
          </cell>
          <cell r="B163" t="str">
            <v>VM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2081</v>
          </cell>
        </row>
        <row r="164">
          <cell r="A164">
            <v>45589</v>
          </cell>
          <cell r="B164" t="str">
            <v>LM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370</v>
          </cell>
        </row>
        <row r="170">
          <cell r="A170">
            <v>45590</v>
          </cell>
          <cell r="B170" t="str">
            <v>Andere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496</v>
          </cell>
        </row>
        <row r="171">
          <cell r="A171">
            <v>45590</v>
          </cell>
          <cell r="B171" t="str">
            <v>Andere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5000</v>
          </cell>
        </row>
        <row r="172">
          <cell r="A172">
            <v>45590</v>
          </cell>
          <cell r="B172" t="str">
            <v>VM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128</v>
          </cell>
        </row>
        <row r="173">
          <cell r="A173">
            <v>45590</v>
          </cell>
          <cell r="B173" t="str">
            <v>LM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1710</v>
          </cell>
        </row>
        <row r="174">
          <cell r="A174">
            <v>45590</v>
          </cell>
          <cell r="B174" t="str">
            <v>Refill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1102.03</v>
          </cell>
          <cell r="H174">
            <v>0</v>
          </cell>
        </row>
        <row r="177">
          <cell r="A177">
            <v>45591</v>
          </cell>
          <cell r="B177" t="str">
            <v>Kleidung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5938</v>
          </cell>
        </row>
        <row r="178">
          <cell r="A178">
            <v>45591</v>
          </cell>
          <cell r="B178" t="str">
            <v>LM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1162.9100000000001</v>
          </cell>
        </row>
        <row r="179">
          <cell r="A179">
            <v>45591</v>
          </cell>
          <cell r="B179" t="str">
            <v>VM</v>
          </cell>
          <cell r="C179">
            <v>0</v>
          </cell>
          <cell r="D179">
            <v>0</v>
          </cell>
          <cell r="E179">
            <v>0</v>
          </cell>
          <cell r="F179">
            <v>15.8</v>
          </cell>
          <cell r="G179">
            <v>0</v>
          </cell>
          <cell r="H179">
            <v>0</v>
          </cell>
        </row>
        <row r="184">
          <cell r="A184">
            <v>45592</v>
          </cell>
          <cell r="B184" t="str">
            <v>VM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530</v>
          </cell>
        </row>
        <row r="185">
          <cell r="A185">
            <v>45592</v>
          </cell>
          <cell r="B185" t="str">
            <v>LM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835.97</v>
          </cell>
        </row>
        <row r="186">
          <cell r="A186">
            <v>45592</v>
          </cell>
          <cell r="B186" t="str">
            <v>Andere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7000</v>
          </cell>
        </row>
        <row r="191">
          <cell r="A191">
            <v>45593</v>
          </cell>
          <cell r="B191" t="str">
            <v>LM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631.97</v>
          </cell>
        </row>
        <row r="192">
          <cell r="A192">
            <v>45593</v>
          </cell>
          <cell r="B192" t="str">
            <v>Andere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3000</v>
          </cell>
        </row>
        <row r="198">
          <cell r="A198">
            <v>45594</v>
          </cell>
          <cell r="B198" t="str">
            <v>VM</v>
          </cell>
          <cell r="C198">
            <v>0</v>
          </cell>
          <cell r="D198">
            <v>0</v>
          </cell>
          <cell r="E198">
            <v>0</v>
          </cell>
          <cell r="F198">
            <v>15.8</v>
          </cell>
          <cell r="G198">
            <v>0</v>
          </cell>
          <cell r="H198">
            <v>12941</v>
          </cell>
        </row>
        <row r="205">
          <cell r="A205">
            <v>45595</v>
          </cell>
          <cell r="B205" t="str">
            <v>VM</v>
          </cell>
          <cell r="C205">
            <v>0</v>
          </cell>
          <cell r="D205">
            <v>0</v>
          </cell>
          <cell r="E205">
            <v>0</v>
          </cell>
          <cell r="F205">
            <v>16</v>
          </cell>
          <cell r="G205">
            <v>0</v>
          </cell>
          <cell r="H205">
            <v>920</v>
          </cell>
        </row>
        <row r="206">
          <cell r="A206">
            <v>45595</v>
          </cell>
          <cell r="B206" t="str">
            <v>Frauen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5275</v>
          </cell>
        </row>
        <row r="212">
          <cell r="A212">
            <v>45596</v>
          </cell>
          <cell r="B212" t="str">
            <v>LM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1736.85</v>
          </cell>
        </row>
      </sheetData>
      <sheetData sheetId="49">
        <row r="2">
          <cell r="A2">
            <v>45597</v>
          </cell>
          <cell r="B2" t="str">
            <v>LM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1158</v>
          </cell>
        </row>
        <row r="4">
          <cell r="A4">
            <v>45597</v>
          </cell>
          <cell r="B4" t="str">
            <v>Andere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1990</v>
          </cell>
        </row>
        <row r="6">
          <cell r="A6">
            <v>45597</v>
          </cell>
          <cell r="B6" t="str">
            <v>Party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1200</v>
          </cell>
        </row>
        <row r="9">
          <cell r="A9">
            <v>45598</v>
          </cell>
          <cell r="B9" t="str">
            <v>LM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522.04999999999995</v>
          </cell>
        </row>
        <row r="10">
          <cell r="A10">
            <v>45598</v>
          </cell>
          <cell r="B10" t="str">
            <v>VM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64</v>
          </cell>
        </row>
        <row r="16">
          <cell r="A16">
            <v>45599</v>
          </cell>
          <cell r="B16" t="str">
            <v>Refill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9776.9599999999991</v>
          </cell>
          <cell r="H16">
            <v>0</v>
          </cell>
        </row>
        <row r="17">
          <cell r="A17">
            <v>45599</v>
          </cell>
          <cell r="B17" t="str">
            <v>VM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1250</v>
          </cell>
        </row>
        <row r="18">
          <cell r="A18">
            <v>45599</v>
          </cell>
          <cell r="B18" t="str">
            <v>Andere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600</v>
          </cell>
        </row>
        <row r="19">
          <cell r="A19">
            <v>45599</v>
          </cell>
          <cell r="B19" t="str">
            <v>LM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1216</v>
          </cell>
        </row>
        <row r="23">
          <cell r="A23">
            <v>45600</v>
          </cell>
          <cell r="B23" t="str">
            <v>Frauen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2880</v>
          </cell>
        </row>
        <row r="24">
          <cell r="A24">
            <v>45600</v>
          </cell>
          <cell r="B24" t="str">
            <v>VM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128</v>
          </cell>
        </row>
        <row r="25">
          <cell r="A25">
            <v>45600</v>
          </cell>
          <cell r="B25" t="str">
            <v>none</v>
          </cell>
          <cell r="C25">
            <v>0</v>
          </cell>
          <cell r="D25">
            <v>0</v>
          </cell>
          <cell r="E25">
            <v>400</v>
          </cell>
          <cell r="F25">
            <v>0</v>
          </cell>
          <cell r="G25">
            <v>0</v>
          </cell>
          <cell r="H25">
            <v>0</v>
          </cell>
        </row>
        <row r="30">
          <cell r="A30">
            <v>45601</v>
          </cell>
          <cell r="B30" t="str">
            <v>Andere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1700</v>
          </cell>
        </row>
        <row r="31">
          <cell r="A31">
            <v>45601</v>
          </cell>
          <cell r="B31" t="str">
            <v>LM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826.85</v>
          </cell>
        </row>
        <row r="37">
          <cell r="A37">
            <v>45602</v>
          </cell>
          <cell r="B37" t="str">
            <v>Andere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5000</v>
          </cell>
        </row>
        <row r="38">
          <cell r="A38">
            <v>45602</v>
          </cell>
          <cell r="B38" t="str">
            <v>VM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128</v>
          </cell>
        </row>
        <row r="39">
          <cell r="A39">
            <v>45602</v>
          </cell>
          <cell r="B39" t="str">
            <v>Frauen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1310</v>
          </cell>
        </row>
        <row r="40">
          <cell r="A40">
            <v>45602</v>
          </cell>
          <cell r="B40" t="str">
            <v>none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0.99</v>
          </cell>
        </row>
        <row r="51">
          <cell r="A51">
            <v>45604</v>
          </cell>
          <cell r="B51" t="str">
            <v>Refill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220110</v>
          </cell>
          <cell r="H51">
            <v>0</v>
          </cell>
        </row>
        <row r="52">
          <cell r="A52">
            <v>45604</v>
          </cell>
          <cell r="B52" t="str">
            <v>VM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64</v>
          </cell>
        </row>
        <row r="53">
          <cell r="A53">
            <v>45604</v>
          </cell>
          <cell r="B53" t="str">
            <v>for me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863</v>
          </cell>
        </row>
        <row r="54">
          <cell r="A54">
            <v>45604</v>
          </cell>
          <cell r="B54" t="str">
            <v>Party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3650</v>
          </cell>
        </row>
        <row r="55">
          <cell r="A55">
            <v>45604</v>
          </cell>
          <cell r="B55" t="str">
            <v>Andere</v>
          </cell>
          <cell r="C55">
            <v>0</v>
          </cell>
          <cell r="D55">
            <v>0</v>
          </cell>
          <cell r="E55">
            <v>0</v>
          </cell>
          <cell r="F55">
            <v>150</v>
          </cell>
          <cell r="G55">
            <v>0</v>
          </cell>
          <cell r="H55">
            <v>423</v>
          </cell>
        </row>
        <row r="56">
          <cell r="A56">
            <v>45604</v>
          </cell>
          <cell r="B56" t="str">
            <v>VM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1111</v>
          </cell>
        </row>
        <row r="58">
          <cell r="A58">
            <v>45605</v>
          </cell>
          <cell r="B58" t="str">
            <v>Frauen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6000</v>
          </cell>
        </row>
        <row r="59">
          <cell r="A59">
            <v>45605</v>
          </cell>
          <cell r="B59" t="str">
            <v>Andere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99000</v>
          </cell>
        </row>
        <row r="60">
          <cell r="A60">
            <v>45605</v>
          </cell>
          <cell r="B60" t="str">
            <v>VM</v>
          </cell>
          <cell r="C60">
            <v>0</v>
          </cell>
          <cell r="D60">
            <v>0</v>
          </cell>
          <cell r="E60">
            <v>0</v>
          </cell>
          <cell r="F60">
            <v>65</v>
          </cell>
          <cell r="G60">
            <v>0</v>
          </cell>
          <cell r="H60">
            <v>128</v>
          </cell>
        </row>
        <row r="61">
          <cell r="A61">
            <v>45605</v>
          </cell>
          <cell r="B61" t="str">
            <v>LM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59.99</v>
          </cell>
        </row>
        <row r="62">
          <cell r="A62">
            <v>45605</v>
          </cell>
          <cell r="B62" t="str">
            <v>LM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631</v>
          </cell>
        </row>
        <row r="63">
          <cell r="A63">
            <v>45605</v>
          </cell>
          <cell r="B63" t="str">
            <v>Andere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749</v>
          </cell>
        </row>
        <row r="65">
          <cell r="A65">
            <v>45606</v>
          </cell>
          <cell r="B65" t="str">
            <v>Andere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24</v>
          </cell>
        </row>
        <row r="66">
          <cell r="A66">
            <v>45606</v>
          </cell>
          <cell r="B66" t="str">
            <v>VM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400.1</v>
          </cell>
        </row>
        <row r="67">
          <cell r="A67">
            <v>45606</v>
          </cell>
          <cell r="B67" t="str">
            <v>Rauchen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1600</v>
          </cell>
        </row>
        <row r="68">
          <cell r="A68">
            <v>45606</v>
          </cell>
          <cell r="B68" t="str">
            <v>Frauen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230</v>
          </cell>
        </row>
        <row r="79">
          <cell r="A79">
            <v>45608</v>
          </cell>
          <cell r="B79" t="str">
            <v>Andere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1000</v>
          </cell>
        </row>
        <row r="86">
          <cell r="A86">
            <v>45609</v>
          </cell>
          <cell r="B86" t="str">
            <v>Andere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1200</v>
          </cell>
        </row>
        <row r="87">
          <cell r="A87">
            <v>45609</v>
          </cell>
          <cell r="B87" t="str">
            <v>Frauen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892</v>
          </cell>
        </row>
        <row r="93">
          <cell r="A93">
            <v>45610</v>
          </cell>
          <cell r="B93" t="str">
            <v>none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10130</v>
          </cell>
        </row>
        <row r="114">
          <cell r="A114">
            <v>45613</v>
          </cell>
          <cell r="B114" t="str">
            <v>rent</v>
          </cell>
          <cell r="C114">
            <v>0</v>
          </cell>
          <cell r="D114">
            <v>0</v>
          </cell>
          <cell r="E114">
            <v>0</v>
          </cell>
          <cell r="F114">
            <v>55050</v>
          </cell>
          <cell r="G114">
            <v>0</v>
          </cell>
          <cell r="H114">
            <v>0</v>
          </cell>
        </row>
        <row r="115">
          <cell r="A115">
            <v>45613</v>
          </cell>
          <cell r="B115" t="str">
            <v>none</v>
          </cell>
          <cell r="C115">
            <v>0</v>
          </cell>
          <cell r="D115">
            <v>0</v>
          </cell>
          <cell r="E115">
            <v>55000</v>
          </cell>
          <cell r="F115">
            <v>0</v>
          </cell>
          <cell r="G115">
            <v>0</v>
          </cell>
          <cell r="H115">
            <v>55000</v>
          </cell>
        </row>
        <row r="149">
          <cell r="A149">
            <v>45618</v>
          </cell>
          <cell r="B149" t="str">
            <v>Frauen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588</v>
          </cell>
        </row>
        <row r="157">
          <cell r="A157">
            <v>45619</v>
          </cell>
          <cell r="B157" t="str">
            <v>Andere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8045.11</v>
          </cell>
        </row>
        <row r="158">
          <cell r="A158">
            <v>45619</v>
          </cell>
          <cell r="B158" t="str">
            <v>VM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43.85</v>
          </cell>
        </row>
        <row r="160">
          <cell r="A160">
            <v>45619</v>
          </cell>
          <cell r="B160" t="str">
            <v>LM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1011</v>
          </cell>
        </row>
        <row r="163">
          <cell r="A163">
            <v>45620</v>
          </cell>
          <cell r="B163" t="str">
            <v>LM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2915.58</v>
          </cell>
        </row>
        <row r="170">
          <cell r="A170">
            <v>45621</v>
          </cell>
          <cell r="B170" t="str">
            <v>Frauen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2625</v>
          </cell>
        </row>
        <row r="171">
          <cell r="A171">
            <v>45621</v>
          </cell>
          <cell r="B171" t="str">
            <v>LM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219.98</v>
          </cell>
        </row>
        <row r="172">
          <cell r="A172">
            <v>45621</v>
          </cell>
          <cell r="B172" t="str">
            <v>Refill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1512.93</v>
          </cell>
          <cell r="H172">
            <v>0</v>
          </cell>
        </row>
        <row r="177">
          <cell r="A177">
            <v>45622</v>
          </cell>
          <cell r="B177" t="str">
            <v>LM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1987.16</v>
          </cell>
        </row>
        <row r="178">
          <cell r="A178">
            <v>45622</v>
          </cell>
          <cell r="B178" t="str">
            <v>Andere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756</v>
          </cell>
        </row>
        <row r="184">
          <cell r="A184">
            <v>45623</v>
          </cell>
          <cell r="B184" t="str">
            <v>Frauen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1000</v>
          </cell>
        </row>
        <row r="185">
          <cell r="A185">
            <v>45623</v>
          </cell>
          <cell r="B185" t="str">
            <v>VM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1062</v>
          </cell>
        </row>
        <row r="186">
          <cell r="A186">
            <v>45623</v>
          </cell>
          <cell r="B186" t="str">
            <v>Andere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540</v>
          </cell>
        </row>
        <row r="187">
          <cell r="A187">
            <v>45623</v>
          </cell>
          <cell r="B187" t="str">
            <v>LM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635</v>
          </cell>
        </row>
        <row r="191">
          <cell r="A191">
            <v>45624</v>
          </cell>
          <cell r="B191" t="str">
            <v>VM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2362</v>
          </cell>
        </row>
        <row r="192">
          <cell r="A192">
            <v>45624</v>
          </cell>
          <cell r="B192" t="str">
            <v>LM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1487.96</v>
          </cell>
        </row>
        <row r="193">
          <cell r="A193">
            <v>45624</v>
          </cell>
          <cell r="B193" t="str">
            <v>Andere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4400</v>
          </cell>
        </row>
        <row r="194">
          <cell r="A194">
            <v>45624</v>
          </cell>
          <cell r="B194" t="str">
            <v>Andere</v>
          </cell>
          <cell r="C194">
            <v>0</v>
          </cell>
          <cell r="D194">
            <v>400</v>
          </cell>
          <cell r="E194">
            <v>0</v>
          </cell>
          <cell r="F194">
            <v>0</v>
          </cell>
          <cell r="G194">
            <v>0</v>
          </cell>
          <cell r="H194">
            <v>808</v>
          </cell>
        </row>
        <row r="198">
          <cell r="A198">
            <v>45625</v>
          </cell>
          <cell r="B198" t="str">
            <v>Andere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329</v>
          </cell>
        </row>
        <row r="199">
          <cell r="A199">
            <v>45625</v>
          </cell>
          <cell r="B199" t="str">
            <v>VM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136</v>
          </cell>
        </row>
        <row r="205">
          <cell r="A205">
            <v>45626</v>
          </cell>
          <cell r="B205" t="str">
            <v>VM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550</v>
          </cell>
        </row>
        <row r="206">
          <cell r="A206">
            <v>45626</v>
          </cell>
          <cell r="B206" t="str">
            <v>Rauchen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1499</v>
          </cell>
        </row>
        <row r="207">
          <cell r="A207">
            <v>45626</v>
          </cell>
          <cell r="B207" t="str">
            <v>LM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725</v>
          </cell>
        </row>
        <row r="208">
          <cell r="A208">
            <v>45626</v>
          </cell>
          <cell r="B208" t="str">
            <v>Refill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28900</v>
          </cell>
          <cell r="H208">
            <v>0</v>
          </cell>
        </row>
      </sheetData>
      <sheetData sheetId="50">
        <row r="2">
          <cell r="A2">
            <v>45627</v>
          </cell>
          <cell r="B2" t="str">
            <v>LM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466</v>
          </cell>
        </row>
        <row r="4">
          <cell r="A4">
            <v>45627</v>
          </cell>
          <cell r="B4" t="str">
            <v>Andere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2839</v>
          </cell>
        </row>
        <row r="9">
          <cell r="A9">
            <v>45628</v>
          </cell>
          <cell r="B9" t="str">
            <v>Education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9600</v>
          </cell>
        </row>
        <row r="16">
          <cell r="A16">
            <v>45629</v>
          </cell>
          <cell r="B16" t="str">
            <v>Refill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9602.0499999999993</v>
          </cell>
          <cell r="H16">
            <v>0</v>
          </cell>
        </row>
        <row r="17">
          <cell r="A17">
            <v>45629</v>
          </cell>
          <cell r="B17" t="str">
            <v>Andere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3340</v>
          </cell>
        </row>
        <row r="18">
          <cell r="A18">
            <v>45629</v>
          </cell>
          <cell r="B18" t="str">
            <v>Andere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500</v>
          </cell>
        </row>
        <row r="23">
          <cell r="A23">
            <v>45630</v>
          </cell>
          <cell r="B23" t="str">
            <v>Andere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379</v>
          </cell>
        </row>
        <row r="24">
          <cell r="A24">
            <v>45630</v>
          </cell>
          <cell r="B24" t="str">
            <v>LM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668.55</v>
          </cell>
        </row>
        <row r="25">
          <cell r="A25">
            <v>45630</v>
          </cell>
          <cell r="B25" t="str">
            <v>Refill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400</v>
          </cell>
          <cell r="H25">
            <v>0</v>
          </cell>
        </row>
        <row r="26">
          <cell r="A26">
            <v>45630</v>
          </cell>
          <cell r="B26" t="str">
            <v>Frauen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438</v>
          </cell>
        </row>
        <row r="37">
          <cell r="A37">
            <v>45632</v>
          </cell>
          <cell r="B37" t="str">
            <v>Andere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513.44000000000005</v>
          </cell>
        </row>
        <row r="44">
          <cell r="A44">
            <v>45633</v>
          </cell>
          <cell r="B44" t="str">
            <v>Frauen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1035</v>
          </cell>
        </row>
        <row r="45">
          <cell r="A45">
            <v>45633</v>
          </cell>
          <cell r="B45" t="str">
            <v>Andere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970</v>
          </cell>
        </row>
        <row r="46">
          <cell r="A46">
            <v>45633</v>
          </cell>
          <cell r="B46" t="str">
            <v>Andere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4000</v>
          </cell>
        </row>
        <row r="51">
          <cell r="A51">
            <v>45634</v>
          </cell>
          <cell r="B51" t="str">
            <v>VM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21663</v>
          </cell>
        </row>
        <row r="52">
          <cell r="A52">
            <v>45634</v>
          </cell>
          <cell r="B52" t="str">
            <v>LM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350</v>
          </cell>
        </row>
        <row r="53">
          <cell r="A53">
            <v>45634</v>
          </cell>
          <cell r="B53" t="str">
            <v>VM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1443</v>
          </cell>
        </row>
        <row r="54">
          <cell r="A54">
            <v>45634</v>
          </cell>
          <cell r="B54" t="str">
            <v>LM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1289</v>
          </cell>
        </row>
        <row r="58">
          <cell r="A58">
            <v>45635</v>
          </cell>
          <cell r="B58" t="str">
            <v>LM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5036.13</v>
          </cell>
        </row>
        <row r="59">
          <cell r="A59">
            <v>45635</v>
          </cell>
          <cell r="B59" t="str">
            <v>VM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128</v>
          </cell>
        </row>
        <row r="65">
          <cell r="A65">
            <v>45636</v>
          </cell>
          <cell r="B65" t="str">
            <v>Frauen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1880</v>
          </cell>
        </row>
        <row r="66">
          <cell r="A66">
            <v>45636</v>
          </cell>
          <cell r="B66" t="str">
            <v>Refill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220110</v>
          </cell>
          <cell r="H66">
            <v>0</v>
          </cell>
        </row>
        <row r="67">
          <cell r="A67">
            <v>45636</v>
          </cell>
          <cell r="B67" t="str">
            <v>LM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425.98</v>
          </cell>
        </row>
        <row r="72">
          <cell r="A72">
            <v>45637</v>
          </cell>
          <cell r="B72" t="str">
            <v>LM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838.93</v>
          </cell>
        </row>
        <row r="79">
          <cell r="A79">
            <v>45638</v>
          </cell>
          <cell r="B79" t="str">
            <v>VM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128</v>
          </cell>
        </row>
        <row r="86">
          <cell r="A86">
            <v>45639</v>
          </cell>
          <cell r="B86" t="str">
            <v>Frauen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21500</v>
          </cell>
        </row>
        <row r="87">
          <cell r="A87">
            <v>45639</v>
          </cell>
          <cell r="B87" t="str">
            <v>Andere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2500</v>
          </cell>
        </row>
        <row r="88">
          <cell r="A88">
            <v>45639</v>
          </cell>
          <cell r="B88" t="str">
            <v>VM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64</v>
          </cell>
        </row>
        <row r="93">
          <cell r="A93">
            <v>45640</v>
          </cell>
          <cell r="B93" t="str">
            <v>Frauen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1575.52</v>
          </cell>
        </row>
        <row r="94">
          <cell r="A94">
            <v>45640</v>
          </cell>
          <cell r="B94" t="str">
            <v>VM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256</v>
          </cell>
        </row>
        <row r="95">
          <cell r="A95">
            <v>45640</v>
          </cell>
          <cell r="B95" t="str">
            <v>VM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444</v>
          </cell>
        </row>
        <row r="96">
          <cell r="A96">
            <v>45640</v>
          </cell>
          <cell r="B96" t="str">
            <v>Andere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24.30000000000291</v>
          </cell>
        </row>
        <row r="97">
          <cell r="A97">
            <v>45640</v>
          </cell>
          <cell r="B97" t="str">
            <v>none</v>
          </cell>
          <cell r="C97">
            <v>0</v>
          </cell>
          <cell r="D97">
            <v>0</v>
          </cell>
          <cell r="E97">
            <v>500</v>
          </cell>
          <cell r="F97">
            <v>0</v>
          </cell>
          <cell r="G97">
            <v>0</v>
          </cell>
          <cell r="H97">
            <v>500</v>
          </cell>
        </row>
        <row r="100">
          <cell r="A100">
            <v>45641</v>
          </cell>
          <cell r="B100" t="str">
            <v>VM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587</v>
          </cell>
        </row>
        <row r="101">
          <cell r="A101">
            <v>45641</v>
          </cell>
          <cell r="B101" t="str">
            <v>Frauen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3055</v>
          </cell>
        </row>
        <row r="102">
          <cell r="A102">
            <v>45641</v>
          </cell>
          <cell r="B102" t="str">
            <v>LM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168</v>
          </cell>
        </row>
        <row r="103">
          <cell r="A103">
            <v>45641</v>
          </cell>
          <cell r="B103" t="str">
            <v>Frauen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390</v>
          </cell>
        </row>
        <row r="108">
          <cell r="A108">
            <v>45642</v>
          </cell>
          <cell r="B108" t="str">
            <v>none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10000</v>
          </cell>
        </row>
        <row r="114">
          <cell r="A114">
            <v>45643</v>
          </cell>
          <cell r="B114" t="str">
            <v>none</v>
          </cell>
          <cell r="C114">
            <v>0</v>
          </cell>
          <cell r="D114">
            <v>0</v>
          </cell>
          <cell r="E114">
            <v>55000</v>
          </cell>
          <cell r="F114">
            <v>0</v>
          </cell>
          <cell r="G114">
            <v>0</v>
          </cell>
          <cell r="H114">
            <v>55000</v>
          </cell>
        </row>
        <row r="115">
          <cell r="A115">
            <v>45643</v>
          </cell>
          <cell r="B115" t="str">
            <v>rent</v>
          </cell>
          <cell r="C115">
            <v>0</v>
          </cell>
          <cell r="D115">
            <v>0</v>
          </cell>
          <cell r="E115">
            <v>0</v>
          </cell>
          <cell r="F115">
            <v>55050</v>
          </cell>
          <cell r="G115">
            <v>0</v>
          </cell>
          <cell r="H115">
            <v>0</v>
          </cell>
        </row>
        <row r="117">
          <cell r="A117">
            <v>45643</v>
          </cell>
          <cell r="B117" t="str">
            <v>Frauen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3657</v>
          </cell>
        </row>
        <row r="128">
          <cell r="A128">
            <v>45645</v>
          </cell>
          <cell r="B128" t="str">
            <v>Andere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3200</v>
          </cell>
        </row>
        <row r="129">
          <cell r="A129">
            <v>45645</v>
          </cell>
          <cell r="B129" t="str">
            <v>Andere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2000</v>
          </cell>
        </row>
        <row r="130">
          <cell r="A130">
            <v>45645</v>
          </cell>
          <cell r="B130" t="str">
            <v>Andere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666</v>
          </cell>
        </row>
        <row r="131">
          <cell r="A131">
            <v>45645</v>
          </cell>
          <cell r="B131" t="str">
            <v>Frauen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1500</v>
          </cell>
        </row>
        <row r="135">
          <cell r="A135">
            <v>45646</v>
          </cell>
          <cell r="B135" t="str">
            <v>Andere</v>
          </cell>
          <cell r="C135">
            <v>0</v>
          </cell>
          <cell r="D135">
            <v>0</v>
          </cell>
          <cell r="E135">
            <v>0</v>
          </cell>
          <cell r="F135">
            <v>150</v>
          </cell>
          <cell r="G135">
            <v>0</v>
          </cell>
          <cell r="H135">
            <v>3617.89</v>
          </cell>
        </row>
        <row r="136">
          <cell r="A136">
            <v>45646</v>
          </cell>
          <cell r="B136" t="str">
            <v>none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14433.51</v>
          </cell>
        </row>
        <row r="143">
          <cell r="A143">
            <v>45647</v>
          </cell>
          <cell r="B143" t="str">
            <v>LM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2110.8500000000004</v>
          </cell>
        </row>
        <row r="149">
          <cell r="A149">
            <v>45648</v>
          </cell>
          <cell r="B149" t="str">
            <v>Andere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150</v>
          </cell>
        </row>
        <row r="150">
          <cell r="A150">
            <v>45648</v>
          </cell>
          <cell r="B150" t="str">
            <v>LM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2249.9</v>
          </cell>
        </row>
        <row r="156">
          <cell r="A156">
            <v>45649</v>
          </cell>
          <cell r="B156" t="str">
            <v>for me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1400</v>
          </cell>
        </row>
        <row r="157">
          <cell r="A157">
            <v>45649</v>
          </cell>
          <cell r="B157" t="str">
            <v>LM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1303.8699999999999</v>
          </cell>
        </row>
        <row r="158">
          <cell r="A158">
            <v>45649</v>
          </cell>
          <cell r="B158" t="str">
            <v>Andere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9974</v>
          </cell>
        </row>
        <row r="163">
          <cell r="A163">
            <v>45650</v>
          </cell>
          <cell r="B163" t="str">
            <v>none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500</v>
          </cell>
          <cell r="H163">
            <v>0</v>
          </cell>
        </row>
        <row r="164">
          <cell r="A164">
            <v>45650</v>
          </cell>
          <cell r="B164" t="str">
            <v>Frauen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579.98</v>
          </cell>
        </row>
        <row r="166">
          <cell r="A166">
            <v>45650</v>
          </cell>
          <cell r="B166" t="str">
            <v>none</v>
          </cell>
          <cell r="C166">
            <v>14435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70">
          <cell r="A170">
            <v>45651</v>
          </cell>
          <cell r="B170" t="str">
            <v>VM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128</v>
          </cell>
        </row>
        <row r="171">
          <cell r="A171">
            <v>45651</v>
          </cell>
          <cell r="B171" t="str">
            <v>for me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10772</v>
          </cell>
        </row>
        <row r="172">
          <cell r="A172">
            <v>45651</v>
          </cell>
          <cell r="B172" t="str">
            <v>LM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59.96</v>
          </cell>
        </row>
        <row r="173">
          <cell r="A173">
            <v>45651</v>
          </cell>
          <cell r="B173" t="str">
            <v>Refill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11400</v>
          </cell>
          <cell r="H173">
            <v>0</v>
          </cell>
        </row>
        <row r="174">
          <cell r="A174">
            <v>45651</v>
          </cell>
          <cell r="B174" t="str">
            <v>LM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615.58000000000004</v>
          </cell>
        </row>
        <row r="175">
          <cell r="A175">
            <v>45651</v>
          </cell>
          <cell r="B175" t="str">
            <v>Andere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686</v>
          </cell>
        </row>
        <row r="177">
          <cell r="A177">
            <v>45652</v>
          </cell>
          <cell r="B177" t="str">
            <v>LM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680</v>
          </cell>
        </row>
        <row r="178">
          <cell r="A178">
            <v>45652</v>
          </cell>
          <cell r="B178" t="str">
            <v>Andere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5000</v>
          </cell>
        </row>
        <row r="179">
          <cell r="A179">
            <v>45652</v>
          </cell>
          <cell r="B179" t="str">
            <v>VM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128</v>
          </cell>
        </row>
        <row r="180">
          <cell r="A180">
            <v>45652</v>
          </cell>
          <cell r="B180" t="str">
            <v>Frauen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4177</v>
          </cell>
        </row>
        <row r="184">
          <cell r="A184">
            <v>45653</v>
          </cell>
          <cell r="B184" t="str">
            <v>VM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650</v>
          </cell>
        </row>
        <row r="185">
          <cell r="A185">
            <v>45653</v>
          </cell>
          <cell r="B185" t="str">
            <v>LM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650</v>
          </cell>
        </row>
        <row r="186">
          <cell r="A186">
            <v>45653</v>
          </cell>
          <cell r="B186" t="str">
            <v>Andere</v>
          </cell>
          <cell r="C186">
            <v>0</v>
          </cell>
          <cell r="D186">
            <v>59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91">
          <cell r="A191">
            <v>45654</v>
          </cell>
          <cell r="B191" t="str">
            <v>Kleidung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2000</v>
          </cell>
        </row>
        <row r="192">
          <cell r="A192">
            <v>45654</v>
          </cell>
          <cell r="B192" t="str">
            <v>Andere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7802</v>
          </cell>
        </row>
        <row r="193">
          <cell r="A193">
            <v>45654</v>
          </cell>
          <cell r="B193" t="str">
            <v>Andere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400</v>
          </cell>
        </row>
        <row r="194">
          <cell r="A194">
            <v>45654</v>
          </cell>
          <cell r="B194" t="str">
            <v>Andere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454.97</v>
          </cell>
        </row>
        <row r="195">
          <cell r="A195">
            <v>45654</v>
          </cell>
          <cell r="B195" t="str">
            <v>none</v>
          </cell>
          <cell r="C195">
            <v>0</v>
          </cell>
          <cell r="D195">
            <v>16500</v>
          </cell>
          <cell r="E195">
            <v>0</v>
          </cell>
          <cell r="F195">
            <v>0</v>
          </cell>
          <cell r="G195">
            <v>16500</v>
          </cell>
          <cell r="H195">
            <v>0</v>
          </cell>
        </row>
        <row r="205">
          <cell r="A205">
            <v>45656</v>
          </cell>
          <cell r="B205" t="str">
            <v>Andere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3000</v>
          </cell>
        </row>
        <row r="206">
          <cell r="A206">
            <v>45656</v>
          </cell>
          <cell r="B206" t="str">
            <v>LM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4430</v>
          </cell>
        </row>
        <row r="207">
          <cell r="A207">
            <v>45656</v>
          </cell>
          <cell r="B207" t="str">
            <v>VM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413</v>
          </cell>
        </row>
        <row r="208">
          <cell r="A208">
            <v>45656</v>
          </cell>
          <cell r="B208" t="str">
            <v>LM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47.99</v>
          </cell>
        </row>
        <row r="212">
          <cell r="A212">
            <v>45657</v>
          </cell>
          <cell r="B212" t="str">
            <v>VM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128</v>
          </cell>
        </row>
        <row r="213">
          <cell r="A213">
            <v>45657</v>
          </cell>
          <cell r="B213" t="str">
            <v>LM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2596.3200000000002</v>
          </cell>
        </row>
        <row r="214">
          <cell r="A214">
            <v>45657</v>
          </cell>
          <cell r="B214" t="str">
            <v>Refill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385192</v>
          </cell>
          <cell r="H214">
            <v>0</v>
          </cell>
        </row>
      </sheetData>
      <sheetData sheetId="51">
        <row r="2">
          <cell r="A2">
            <v>45658</v>
          </cell>
          <cell r="B2" t="str">
            <v>LM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1071.98</v>
          </cell>
        </row>
        <row r="4">
          <cell r="A4">
            <v>45658</v>
          </cell>
          <cell r="B4" t="str">
            <v>Andere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1990</v>
          </cell>
        </row>
        <row r="8">
          <cell r="A8">
            <v>45658</v>
          </cell>
          <cell r="B8" t="str">
            <v>Frauen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1655.9</v>
          </cell>
        </row>
        <row r="9">
          <cell r="A9">
            <v>45659</v>
          </cell>
          <cell r="B9" t="str">
            <v>LM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1609.47</v>
          </cell>
        </row>
        <row r="16">
          <cell r="A16">
            <v>45660</v>
          </cell>
          <cell r="B16" t="str">
            <v>Refill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10067.36</v>
          </cell>
          <cell r="H16">
            <v>0</v>
          </cell>
        </row>
        <row r="17">
          <cell r="A17">
            <v>45660</v>
          </cell>
          <cell r="B17" t="str">
            <v>VM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140</v>
          </cell>
        </row>
        <row r="18">
          <cell r="A18">
            <v>45660</v>
          </cell>
          <cell r="B18" t="str">
            <v>Andere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8000</v>
          </cell>
        </row>
        <row r="19">
          <cell r="A19">
            <v>45660</v>
          </cell>
          <cell r="B19" t="str">
            <v>none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5000</v>
          </cell>
          <cell r="H19">
            <v>0</v>
          </cell>
        </row>
        <row r="20">
          <cell r="A20">
            <v>45660</v>
          </cell>
          <cell r="B20" t="str">
            <v>LM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409.99</v>
          </cell>
        </row>
        <row r="23">
          <cell r="A23">
            <v>45661</v>
          </cell>
          <cell r="B23" t="str">
            <v>VM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70</v>
          </cell>
        </row>
        <row r="24">
          <cell r="A24">
            <v>45661</v>
          </cell>
          <cell r="B24" t="str">
            <v>LM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949.99</v>
          </cell>
        </row>
        <row r="25">
          <cell r="A25">
            <v>45661</v>
          </cell>
          <cell r="B25" t="str">
            <v>none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400</v>
          </cell>
          <cell r="H25">
            <v>0</v>
          </cell>
        </row>
        <row r="30">
          <cell r="A30">
            <v>45662</v>
          </cell>
          <cell r="B30" t="str">
            <v>LM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907</v>
          </cell>
        </row>
        <row r="37">
          <cell r="A37">
            <v>45663</v>
          </cell>
          <cell r="B37" t="str">
            <v>VM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1319</v>
          </cell>
        </row>
        <row r="38">
          <cell r="A38">
            <v>45663</v>
          </cell>
          <cell r="B38" t="str">
            <v>LM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400</v>
          </cell>
        </row>
        <row r="44">
          <cell r="A44">
            <v>45664</v>
          </cell>
          <cell r="B44" t="str">
            <v>LM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3423.87</v>
          </cell>
        </row>
        <row r="45">
          <cell r="A45">
            <v>45664</v>
          </cell>
          <cell r="B45" t="str">
            <v>Rauchen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340</v>
          </cell>
        </row>
        <row r="51">
          <cell r="A51">
            <v>45665</v>
          </cell>
          <cell r="B51" t="str">
            <v>none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5000</v>
          </cell>
          <cell r="H51">
            <v>0</v>
          </cell>
        </row>
        <row r="52">
          <cell r="A52">
            <v>45665</v>
          </cell>
          <cell r="B52" t="str">
            <v>LM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700.97</v>
          </cell>
        </row>
        <row r="53">
          <cell r="A53">
            <v>45665</v>
          </cell>
          <cell r="B53" t="str">
            <v>none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1524.69</v>
          </cell>
          <cell r="H53">
            <v>0</v>
          </cell>
        </row>
        <row r="58">
          <cell r="A58">
            <v>45666</v>
          </cell>
          <cell r="B58" t="str">
            <v>LM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244.92</v>
          </cell>
        </row>
        <row r="65">
          <cell r="A65">
            <v>45667</v>
          </cell>
          <cell r="B65" t="str">
            <v>LM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719.95</v>
          </cell>
        </row>
        <row r="66">
          <cell r="A66">
            <v>45667</v>
          </cell>
          <cell r="B66" t="str">
            <v>Andere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2380</v>
          </cell>
        </row>
        <row r="72">
          <cell r="A72">
            <v>45668</v>
          </cell>
          <cell r="B72" t="str">
            <v>LM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2054.75</v>
          </cell>
        </row>
        <row r="79">
          <cell r="A79">
            <v>45669</v>
          </cell>
          <cell r="B79" t="str">
            <v>Rauchen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170</v>
          </cell>
        </row>
        <row r="80">
          <cell r="A80">
            <v>45669</v>
          </cell>
          <cell r="B80" t="str">
            <v>LM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530.16</v>
          </cell>
        </row>
        <row r="81">
          <cell r="A81">
            <v>45669</v>
          </cell>
          <cell r="B81" t="str">
            <v>Refill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220110</v>
          </cell>
          <cell r="H81">
            <v>0</v>
          </cell>
        </row>
        <row r="82">
          <cell r="A82">
            <v>45669</v>
          </cell>
          <cell r="B82" t="str">
            <v>Andere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198.7</v>
          </cell>
        </row>
        <row r="86">
          <cell r="A86">
            <v>45670</v>
          </cell>
          <cell r="B86" t="str">
            <v>Andere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2867</v>
          </cell>
        </row>
        <row r="87">
          <cell r="A87">
            <v>45670</v>
          </cell>
          <cell r="B87" t="str">
            <v>VM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1180</v>
          </cell>
        </row>
        <row r="88">
          <cell r="A88">
            <v>45670</v>
          </cell>
          <cell r="B88" t="str">
            <v>LM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276.74</v>
          </cell>
        </row>
        <row r="93">
          <cell r="A93">
            <v>45671</v>
          </cell>
          <cell r="B93" t="str">
            <v>VM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2547</v>
          </cell>
        </row>
        <row r="94">
          <cell r="A94">
            <v>45671</v>
          </cell>
          <cell r="B94" t="str">
            <v>LM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810.13</v>
          </cell>
        </row>
        <row r="95">
          <cell r="A95">
            <v>45671</v>
          </cell>
          <cell r="B95" t="str">
            <v>Andere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500</v>
          </cell>
        </row>
        <row r="100">
          <cell r="A100">
            <v>45672</v>
          </cell>
          <cell r="B100" t="str">
            <v>LM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1338</v>
          </cell>
        </row>
        <row r="101">
          <cell r="A101">
            <v>45672</v>
          </cell>
          <cell r="B101" t="str">
            <v>Education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9600</v>
          </cell>
        </row>
        <row r="107">
          <cell r="A107">
            <v>45673</v>
          </cell>
          <cell r="B107" t="str">
            <v>Refill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2793.98</v>
          </cell>
          <cell r="H107">
            <v>0</v>
          </cell>
        </row>
        <row r="108">
          <cell r="A108">
            <v>45673</v>
          </cell>
          <cell r="B108" t="str">
            <v>LM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1449.79</v>
          </cell>
        </row>
        <row r="109">
          <cell r="A109">
            <v>45673</v>
          </cell>
          <cell r="B109" t="str">
            <v>Andere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1212</v>
          </cell>
        </row>
        <row r="110">
          <cell r="A110">
            <v>45673</v>
          </cell>
          <cell r="B110" t="str">
            <v>VM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140</v>
          </cell>
        </row>
        <row r="114">
          <cell r="A114">
            <v>45674</v>
          </cell>
          <cell r="B114" t="str">
            <v>Frauen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2400</v>
          </cell>
        </row>
        <row r="115">
          <cell r="A115">
            <v>45674</v>
          </cell>
          <cell r="B115" t="str">
            <v>LM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651.99</v>
          </cell>
        </row>
        <row r="116">
          <cell r="A116">
            <v>45674</v>
          </cell>
          <cell r="B116" t="str">
            <v>rent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55000</v>
          </cell>
        </row>
        <row r="121">
          <cell r="A121">
            <v>45675</v>
          </cell>
          <cell r="B121" t="str">
            <v>VM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140</v>
          </cell>
        </row>
        <row r="122">
          <cell r="A122">
            <v>45675</v>
          </cell>
          <cell r="B122" t="str">
            <v>LM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3130</v>
          </cell>
        </row>
        <row r="123">
          <cell r="A123">
            <v>45675</v>
          </cell>
          <cell r="B123" t="str">
            <v>Frauen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1599</v>
          </cell>
        </row>
        <row r="128">
          <cell r="A128">
            <v>45676</v>
          </cell>
          <cell r="B128" t="str">
            <v>LM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578.85</v>
          </cell>
        </row>
        <row r="129">
          <cell r="A129">
            <v>45676</v>
          </cell>
          <cell r="B129" t="str">
            <v>Andere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2168</v>
          </cell>
        </row>
        <row r="130">
          <cell r="A130">
            <v>45676</v>
          </cell>
          <cell r="B130" t="str">
            <v>Party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3300</v>
          </cell>
        </row>
        <row r="135">
          <cell r="A135">
            <v>45677</v>
          </cell>
          <cell r="B135" t="str">
            <v>none</v>
          </cell>
          <cell r="C135">
            <v>500</v>
          </cell>
          <cell r="D135">
            <v>500</v>
          </cell>
          <cell r="E135">
            <v>0</v>
          </cell>
          <cell r="F135">
            <v>0</v>
          </cell>
          <cell r="G135">
            <v>500</v>
          </cell>
          <cell r="H135">
            <v>0</v>
          </cell>
        </row>
        <row r="136">
          <cell r="A136">
            <v>45677</v>
          </cell>
          <cell r="B136" t="str">
            <v>Andere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1500</v>
          </cell>
        </row>
        <row r="149">
          <cell r="A149">
            <v>45679</v>
          </cell>
          <cell r="B149" t="str">
            <v>Frauen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681</v>
          </cell>
        </row>
        <row r="156">
          <cell r="A156">
            <v>45680</v>
          </cell>
          <cell r="B156" t="str">
            <v>Frauen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3000</v>
          </cell>
        </row>
        <row r="170">
          <cell r="A170">
            <v>45682</v>
          </cell>
          <cell r="B170" t="str">
            <v>Refill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921.13</v>
          </cell>
          <cell r="H170">
            <v>0</v>
          </cell>
        </row>
        <row r="177">
          <cell r="A177">
            <v>45683</v>
          </cell>
          <cell r="B177" t="str">
            <v>Frauen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497</v>
          </cell>
        </row>
        <row r="184">
          <cell r="A184">
            <v>45684</v>
          </cell>
          <cell r="B184" t="str">
            <v>Andere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400</v>
          </cell>
        </row>
        <row r="198">
          <cell r="A198">
            <v>45686</v>
          </cell>
          <cell r="B198" t="str">
            <v>none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12400</v>
          </cell>
        </row>
        <row r="205">
          <cell r="A205">
            <v>45687</v>
          </cell>
          <cell r="B205" t="str">
            <v>Frauen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4850</v>
          </cell>
        </row>
      </sheetData>
      <sheetData sheetId="52">
        <row r="9">
          <cell r="A9">
            <v>45690</v>
          </cell>
          <cell r="B9" t="str">
            <v>Frauen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409</v>
          </cell>
        </row>
        <row r="16">
          <cell r="A16">
            <v>45691</v>
          </cell>
          <cell r="B16" t="str">
            <v>Refill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10242.15</v>
          </cell>
          <cell r="H16">
            <v>0</v>
          </cell>
        </row>
        <row r="23">
          <cell r="A23">
            <v>45692</v>
          </cell>
          <cell r="B23" t="str">
            <v>none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500</v>
          </cell>
          <cell r="H23">
            <v>0</v>
          </cell>
        </row>
        <row r="37">
          <cell r="A37">
            <v>45694</v>
          </cell>
          <cell r="B37" t="str">
            <v>Andere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3000</v>
          </cell>
        </row>
        <row r="46">
          <cell r="A46">
            <v>45695</v>
          </cell>
          <cell r="B46" t="str">
            <v>none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21</v>
          </cell>
          <cell r="H46">
            <v>0</v>
          </cell>
        </row>
        <row r="51">
          <cell r="A51">
            <v>45696</v>
          </cell>
          <cell r="B51" t="str">
            <v>LM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738</v>
          </cell>
        </row>
        <row r="52">
          <cell r="A52">
            <v>45696</v>
          </cell>
          <cell r="B52" t="str">
            <v>VM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1400</v>
          </cell>
        </row>
        <row r="53">
          <cell r="A53">
            <v>45696</v>
          </cell>
          <cell r="B53" t="str">
            <v>Party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3300</v>
          </cell>
        </row>
        <row r="58">
          <cell r="A58">
            <v>45697</v>
          </cell>
          <cell r="B58" t="str">
            <v>Frauen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475</v>
          </cell>
        </row>
        <row r="59">
          <cell r="A59">
            <v>45697</v>
          </cell>
          <cell r="B59" t="str">
            <v>LM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953.95</v>
          </cell>
        </row>
        <row r="60">
          <cell r="A60">
            <v>45697</v>
          </cell>
          <cell r="B60" t="str">
            <v>Party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2800</v>
          </cell>
        </row>
        <row r="61">
          <cell r="A61">
            <v>45697</v>
          </cell>
          <cell r="B61" t="str">
            <v>Andere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2800</v>
          </cell>
        </row>
        <row r="65">
          <cell r="A65">
            <v>45698</v>
          </cell>
          <cell r="B65" t="str">
            <v>none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13279</v>
          </cell>
          <cell r="H65">
            <v>0</v>
          </cell>
        </row>
        <row r="66">
          <cell r="A66">
            <v>45698</v>
          </cell>
          <cell r="B66" t="str">
            <v>Refill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220110</v>
          </cell>
          <cell r="H66">
            <v>0</v>
          </cell>
        </row>
        <row r="67">
          <cell r="A67">
            <v>45698</v>
          </cell>
          <cell r="B67" t="str">
            <v>LM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753.55</v>
          </cell>
        </row>
        <row r="68">
          <cell r="A68">
            <v>45698</v>
          </cell>
          <cell r="B68" t="str">
            <v>Andere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10600</v>
          </cell>
        </row>
        <row r="72">
          <cell r="A72">
            <v>45699</v>
          </cell>
          <cell r="B72" t="str">
            <v>Refill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43900</v>
          </cell>
          <cell r="H72">
            <v>0</v>
          </cell>
        </row>
        <row r="73">
          <cell r="A73">
            <v>45699</v>
          </cell>
          <cell r="B73" t="str">
            <v>LM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507.13</v>
          </cell>
        </row>
        <row r="79">
          <cell r="A79">
            <v>45700</v>
          </cell>
          <cell r="B79" t="str">
            <v>Frauen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6495</v>
          </cell>
        </row>
        <row r="80">
          <cell r="A80">
            <v>45700</v>
          </cell>
          <cell r="B80" t="str">
            <v>LM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998.71</v>
          </cell>
        </row>
        <row r="86">
          <cell r="A86">
            <v>45701</v>
          </cell>
          <cell r="B86" t="str">
            <v>LM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1334.8200000000002</v>
          </cell>
        </row>
        <row r="87">
          <cell r="A87">
            <v>45701</v>
          </cell>
          <cell r="B87" t="str">
            <v>VM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2070</v>
          </cell>
        </row>
        <row r="88">
          <cell r="A88">
            <v>45701</v>
          </cell>
          <cell r="B88" t="str">
            <v>Rauchen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340</v>
          </cell>
        </row>
        <row r="93">
          <cell r="A93">
            <v>45702</v>
          </cell>
          <cell r="B93" t="str">
            <v>LM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1468.15</v>
          </cell>
        </row>
        <row r="94">
          <cell r="A94">
            <v>45702</v>
          </cell>
          <cell r="B94" t="str">
            <v>Frauen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3400</v>
          </cell>
        </row>
        <row r="100">
          <cell r="A100">
            <v>45703</v>
          </cell>
          <cell r="B100" t="str">
            <v>LM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1396.95</v>
          </cell>
        </row>
        <row r="101">
          <cell r="A101">
            <v>45703</v>
          </cell>
          <cell r="B101" t="str">
            <v>Andere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1293.22</v>
          </cell>
        </row>
        <row r="107">
          <cell r="A107">
            <v>45704</v>
          </cell>
          <cell r="B107" t="str">
            <v>Refill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11833.73</v>
          </cell>
          <cell r="H107">
            <v>0</v>
          </cell>
        </row>
        <row r="108">
          <cell r="A108">
            <v>45704</v>
          </cell>
          <cell r="B108" t="str">
            <v>LM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478</v>
          </cell>
        </row>
        <row r="109">
          <cell r="A109">
            <v>45704</v>
          </cell>
          <cell r="B109" t="str">
            <v>Refill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12500</v>
          </cell>
          <cell r="H109">
            <v>0</v>
          </cell>
        </row>
        <row r="114">
          <cell r="A114">
            <v>45705</v>
          </cell>
          <cell r="B114" t="str">
            <v>rent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55000</v>
          </cell>
        </row>
        <row r="115">
          <cell r="A115">
            <v>45705</v>
          </cell>
          <cell r="B115" t="str">
            <v>Andere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9000</v>
          </cell>
        </row>
        <row r="116">
          <cell r="A116">
            <v>45705</v>
          </cell>
          <cell r="B116" t="str">
            <v>Andere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2870</v>
          </cell>
        </row>
        <row r="117">
          <cell r="A117">
            <v>45705</v>
          </cell>
          <cell r="B117" t="str">
            <v>LM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1740.04</v>
          </cell>
        </row>
        <row r="121">
          <cell r="A121">
            <v>45706</v>
          </cell>
          <cell r="B121" t="str">
            <v>Frauen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1000</v>
          </cell>
        </row>
        <row r="122">
          <cell r="A122">
            <v>45706</v>
          </cell>
          <cell r="B122" t="str">
            <v>Rauchen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340</v>
          </cell>
        </row>
        <row r="123">
          <cell r="A123">
            <v>45706</v>
          </cell>
          <cell r="B123" t="str">
            <v>LM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239</v>
          </cell>
        </row>
        <row r="125">
          <cell r="A125">
            <v>45706</v>
          </cell>
          <cell r="B125" t="str">
            <v>LM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962.42</v>
          </cell>
        </row>
        <row r="128">
          <cell r="A128">
            <v>45707</v>
          </cell>
          <cell r="B128" t="str">
            <v>LM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2066.77</v>
          </cell>
        </row>
        <row r="135">
          <cell r="A135">
            <v>45708</v>
          </cell>
          <cell r="B135" t="str">
            <v>Andere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1</v>
          </cell>
        </row>
        <row r="136">
          <cell r="A136">
            <v>45708</v>
          </cell>
          <cell r="B136" t="str">
            <v>LM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813</v>
          </cell>
        </row>
        <row r="142">
          <cell r="A142">
            <v>45709</v>
          </cell>
          <cell r="B142" t="str">
            <v>LM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5625.3899999999994</v>
          </cell>
        </row>
        <row r="149">
          <cell r="A149">
            <v>45710</v>
          </cell>
          <cell r="B149" t="str">
            <v>LM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2002.97</v>
          </cell>
        </row>
        <row r="156">
          <cell r="A156">
            <v>45711</v>
          </cell>
          <cell r="B156" t="str">
            <v>LM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1161.94</v>
          </cell>
        </row>
        <row r="157">
          <cell r="A157">
            <v>45711</v>
          </cell>
          <cell r="B157" t="str">
            <v>VM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829</v>
          </cell>
        </row>
        <row r="158">
          <cell r="A158">
            <v>45711</v>
          </cell>
          <cell r="B158" t="str">
            <v>Rauchen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340</v>
          </cell>
        </row>
        <row r="170">
          <cell r="A170">
            <v>45713</v>
          </cell>
          <cell r="B170" t="str">
            <v>Refill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4387.03</v>
          </cell>
          <cell r="H170">
            <v>0</v>
          </cell>
        </row>
        <row r="177">
          <cell r="A177">
            <v>45714</v>
          </cell>
          <cell r="B177" t="str">
            <v>Refill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242.7</v>
          </cell>
          <cell r="H177">
            <v>0</v>
          </cell>
        </row>
        <row r="184">
          <cell r="A184">
            <v>45715</v>
          </cell>
          <cell r="B184" t="str">
            <v>Frauen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650</v>
          </cell>
        </row>
        <row r="191">
          <cell r="A191">
            <v>45716</v>
          </cell>
          <cell r="B191" t="str">
            <v>LM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5000</v>
          </cell>
        </row>
      </sheetData>
      <sheetData sheetId="53">
        <row r="9">
          <cell r="A9">
            <v>45718</v>
          </cell>
          <cell r="B9" t="str">
            <v>Andere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1526</v>
          </cell>
        </row>
        <row r="16">
          <cell r="A16">
            <v>45719</v>
          </cell>
          <cell r="B16" t="str">
            <v>Andere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431</v>
          </cell>
        </row>
        <row r="17">
          <cell r="A17">
            <v>45719</v>
          </cell>
          <cell r="B17" t="str">
            <v>Andere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16500</v>
          </cell>
        </row>
        <row r="18">
          <cell r="A18">
            <v>45719</v>
          </cell>
          <cell r="B18" t="str">
            <v>none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500</v>
          </cell>
          <cell r="H18">
            <v>0</v>
          </cell>
        </row>
        <row r="19">
          <cell r="A19">
            <v>45719</v>
          </cell>
          <cell r="B19" t="str">
            <v>none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9388.7099999999991</v>
          </cell>
          <cell r="H19">
            <v>0</v>
          </cell>
        </row>
        <row r="23">
          <cell r="A23">
            <v>45720</v>
          </cell>
          <cell r="B23" t="str">
            <v>none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500</v>
          </cell>
          <cell r="H23">
            <v>0</v>
          </cell>
        </row>
        <row r="24">
          <cell r="A24">
            <v>45720</v>
          </cell>
          <cell r="B24" t="str">
            <v>Frauen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500</v>
          </cell>
        </row>
        <row r="30">
          <cell r="A30">
            <v>45721</v>
          </cell>
          <cell r="B30" t="str">
            <v>Andere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5550.96</v>
          </cell>
        </row>
        <row r="32">
          <cell r="A32">
            <v>45721</v>
          </cell>
          <cell r="B32" t="str">
            <v>Rauchen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170</v>
          </cell>
        </row>
        <row r="33">
          <cell r="A33">
            <v>45721</v>
          </cell>
          <cell r="B33" t="str">
            <v>LM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257.98</v>
          </cell>
        </row>
        <row r="37">
          <cell r="A37">
            <v>45722</v>
          </cell>
          <cell r="B37" t="str">
            <v>LM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478</v>
          </cell>
        </row>
        <row r="38">
          <cell r="A38">
            <v>45722</v>
          </cell>
          <cell r="B38" t="str">
            <v>Frauen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3439</v>
          </cell>
        </row>
        <row r="39">
          <cell r="A39">
            <v>45722</v>
          </cell>
          <cell r="B39" t="str">
            <v>Andere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3000</v>
          </cell>
        </row>
        <row r="40">
          <cell r="A40">
            <v>45722</v>
          </cell>
          <cell r="B40" t="str">
            <v>Andere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790</v>
          </cell>
        </row>
        <row r="41">
          <cell r="A41">
            <v>45722</v>
          </cell>
          <cell r="B41" t="str">
            <v>Andere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2197.1999999999998</v>
          </cell>
        </row>
        <row r="44">
          <cell r="A44">
            <v>45723</v>
          </cell>
          <cell r="B44" t="str">
            <v>Andere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513</v>
          </cell>
        </row>
        <row r="45">
          <cell r="A45">
            <v>45723</v>
          </cell>
          <cell r="B45" t="str">
            <v>VM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140</v>
          </cell>
        </row>
        <row r="46">
          <cell r="A46">
            <v>45723</v>
          </cell>
          <cell r="B46" t="str">
            <v>Party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2000</v>
          </cell>
        </row>
        <row r="51">
          <cell r="A51">
            <v>45724</v>
          </cell>
          <cell r="B51" t="str">
            <v>LM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3477</v>
          </cell>
        </row>
        <row r="52">
          <cell r="A52">
            <v>45724</v>
          </cell>
          <cell r="B52" t="str">
            <v>Frauen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2810</v>
          </cell>
        </row>
        <row r="53">
          <cell r="A53">
            <v>45724</v>
          </cell>
          <cell r="B53" t="str">
            <v>VM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140</v>
          </cell>
        </row>
        <row r="54">
          <cell r="A54">
            <v>45724</v>
          </cell>
          <cell r="B54" t="str">
            <v>Andere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99</v>
          </cell>
        </row>
        <row r="55">
          <cell r="A55">
            <v>45724</v>
          </cell>
          <cell r="B55" t="str">
            <v>Andere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1000</v>
          </cell>
        </row>
        <row r="58">
          <cell r="A58">
            <v>45725</v>
          </cell>
          <cell r="B58" t="str">
            <v>LM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3022.82</v>
          </cell>
        </row>
        <row r="65">
          <cell r="A65">
            <v>45726</v>
          </cell>
          <cell r="B65" t="str">
            <v>Refill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241510</v>
          </cell>
          <cell r="H65">
            <v>0</v>
          </cell>
        </row>
        <row r="66">
          <cell r="A66">
            <v>45726</v>
          </cell>
          <cell r="B66" t="str">
            <v>none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47</v>
          </cell>
          <cell r="H66">
            <v>0</v>
          </cell>
        </row>
        <row r="72">
          <cell r="A72">
            <v>45727</v>
          </cell>
          <cell r="B72" t="str">
            <v>VM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140</v>
          </cell>
        </row>
        <row r="73">
          <cell r="A73">
            <v>45727</v>
          </cell>
          <cell r="B73" t="str">
            <v>LM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139</v>
          </cell>
        </row>
        <row r="74">
          <cell r="A74">
            <v>45727</v>
          </cell>
          <cell r="B74" t="str">
            <v>LM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2632</v>
          </cell>
        </row>
        <row r="79">
          <cell r="A79">
            <v>45728</v>
          </cell>
          <cell r="B79" t="str">
            <v>LM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1423.18</v>
          </cell>
        </row>
        <row r="86">
          <cell r="A86">
            <v>45729</v>
          </cell>
          <cell r="B86" t="str">
            <v>Frauen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49500</v>
          </cell>
        </row>
        <row r="87">
          <cell r="A87">
            <v>45729</v>
          </cell>
          <cell r="B87" t="str">
            <v>LM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46.99</v>
          </cell>
        </row>
        <row r="93">
          <cell r="A93">
            <v>45730</v>
          </cell>
          <cell r="B93" t="str">
            <v>Party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2623.2</v>
          </cell>
        </row>
        <row r="94">
          <cell r="A94">
            <v>45730</v>
          </cell>
          <cell r="B94" t="str">
            <v>LM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563</v>
          </cell>
        </row>
        <row r="100">
          <cell r="A100">
            <v>45731</v>
          </cell>
          <cell r="B100" t="str">
            <v>VM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1291</v>
          </cell>
        </row>
        <row r="101">
          <cell r="A101">
            <v>45731</v>
          </cell>
          <cell r="B101" t="str">
            <v>VM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1535</v>
          </cell>
        </row>
        <row r="102">
          <cell r="A102">
            <v>45731</v>
          </cell>
          <cell r="B102" t="str">
            <v>LM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84</v>
          </cell>
        </row>
        <row r="103">
          <cell r="A103">
            <v>45731</v>
          </cell>
          <cell r="B103" t="str">
            <v>Andere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1421</v>
          </cell>
        </row>
        <row r="107">
          <cell r="A107">
            <v>45732</v>
          </cell>
          <cell r="B107" t="str">
            <v>Frauen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1400</v>
          </cell>
        </row>
        <row r="108">
          <cell r="A108">
            <v>45732</v>
          </cell>
          <cell r="B108" t="str">
            <v>Andere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3190</v>
          </cell>
        </row>
        <row r="109">
          <cell r="A109">
            <v>45732</v>
          </cell>
          <cell r="B109" t="str">
            <v>Andere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100</v>
          </cell>
        </row>
        <row r="110">
          <cell r="A110">
            <v>45732</v>
          </cell>
          <cell r="B110" t="str">
            <v>none</v>
          </cell>
          <cell r="C110">
            <v>0</v>
          </cell>
          <cell r="D110">
            <v>0</v>
          </cell>
          <cell r="E110">
            <v>0</v>
          </cell>
          <cell r="F110">
            <v>500</v>
          </cell>
          <cell r="G110">
            <v>1150</v>
          </cell>
          <cell r="H110">
            <v>0</v>
          </cell>
        </row>
        <row r="111">
          <cell r="A111">
            <v>45732</v>
          </cell>
          <cell r="B111" t="str">
            <v>Refill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12000</v>
          </cell>
          <cell r="H111">
            <v>0</v>
          </cell>
        </row>
        <row r="112">
          <cell r="A112">
            <v>45732</v>
          </cell>
          <cell r="B112" t="str">
            <v>LM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441</v>
          </cell>
        </row>
        <row r="114">
          <cell r="A114">
            <v>45733</v>
          </cell>
          <cell r="B114" t="str">
            <v>Andere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1988</v>
          </cell>
        </row>
        <row r="115">
          <cell r="A115">
            <v>45733</v>
          </cell>
          <cell r="B115" t="str">
            <v>VM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159</v>
          </cell>
        </row>
        <row r="116">
          <cell r="A116">
            <v>45733</v>
          </cell>
          <cell r="B116" t="str">
            <v>rent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55000</v>
          </cell>
        </row>
        <row r="117">
          <cell r="A117">
            <v>45733</v>
          </cell>
          <cell r="B117" t="str">
            <v>Frauen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504</v>
          </cell>
        </row>
        <row r="121">
          <cell r="A121">
            <v>45734</v>
          </cell>
          <cell r="B121" t="str">
            <v>Andere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350</v>
          </cell>
        </row>
        <row r="128">
          <cell r="A128">
            <v>45735</v>
          </cell>
          <cell r="B128" t="str">
            <v>Andere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80</v>
          </cell>
        </row>
        <row r="135">
          <cell r="A135">
            <v>45736</v>
          </cell>
          <cell r="B135" t="str">
            <v>Andere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6000</v>
          </cell>
        </row>
        <row r="136">
          <cell r="A136">
            <v>45736</v>
          </cell>
          <cell r="B136" t="str">
            <v>LM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325</v>
          </cell>
        </row>
        <row r="142">
          <cell r="A142">
            <v>45737</v>
          </cell>
          <cell r="B142" t="str">
            <v>Andere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149</v>
          </cell>
        </row>
        <row r="143">
          <cell r="A143">
            <v>45737</v>
          </cell>
          <cell r="B143" t="str">
            <v>LM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1576.3999999999999</v>
          </cell>
        </row>
        <row r="149">
          <cell r="A149">
            <v>45738</v>
          </cell>
          <cell r="B149" t="str">
            <v>LM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900</v>
          </cell>
        </row>
        <row r="150">
          <cell r="A150">
            <v>45738</v>
          </cell>
          <cell r="B150" t="str">
            <v>VM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768</v>
          </cell>
        </row>
        <row r="151">
          <cell r="A151">
            <v>45738</v>
          </cell>
          <cell r="B151" t="str">
            <v>LM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454.93</v>
          </cell>
        </row>
        <row r="156">
          <cell r="A156">
            <v>45739</v>
          </cell>
          <cell r="B156" t="str">
            <v>VM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345</v>
          </cell>
        </row>
        <row r="157">
          <cell r="A157">
            <v>45739</v>
          </cell>
          <cell r="B157" t="str">
            <v>LM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4218.96</v>
          </cell>
        </row>
        <row r="163">
          <cell r="A163">
            <v>45740</v>
          </cell>
          <cell r="B163" t="str">
            <v>LM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1021.94</v>
          </cell>
        </row>
        <row r="170">
          <cell r="A170">
            <v>45741</v>
          </cell>
          <cell r="B170" t="str">
            <v>Refill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73370.33</v>
          </cell>
          <cell r="H170">
            <v>0</v>
          </cell>
        </row>
        <row r="171">
          <cell r="A171">
            <v>45741</v>
          </cell>
          <cell r="B171" t="str">
            <v>VM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795</v>
          </cell>
        </row>
        <row r="172">
          <cell r="A172">
            <v>45741</v>
          </cell>
          <cell r="B172" t="str">
            <v>Refill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18194.32</v>
          </cell>
          <cell r="H172">
            <v>0</v>
          </cell>
        </row>
        <row r="173">
          <cell r="A173">
            <v>45741</v>
          </cell>
          <cell r="B173" t="str">
            <v>Andere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979.98</v>
          </cell>
        </row>
        <row r="177">
          <cell r="A177">
            <v>45742</v>
          </cell>
          <cell r="B177" t="str">
            <v>Frauen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2000</v>
          </cell>
        </row>
        <row r="178">
          <cell r="A178">
            <v>45742</v>
          </cell>
          <cell r="B178" t="str">
            <v>VM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140</v>
          </cell>
        </row>
        <row r="179">
          <cell r="A179">
            <v>45742</v>
          </cell>
          <cell r="B179" t="str">
            <v>LM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639.25</v>
          </cell>
        </row>
        <row r="184">
          <cell r="A184">
            <v>45743</v>
          </cell>
          <cell r="B184" t="str">
            <v>LM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994.84999999999991</v>
          </cell>
        </row>
        <row r="185">
          <cell r="A185">
            <v>45743</v>
          </cell>
          <cell r="B185" t="str">
            <v>Andere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1127</v>
          </cell>
        </row>
        <row r="191">
          <cell r="A191">
            <v>45744</v>
          </cell>
          <cell r="B191" t="str">
            <v>LM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680.87</v>
          </cell>
        </row>
        <row r="192">
          <cell r="A192">
            <v>45744</v>
          </cell>
          <cell r="B192" t="str">
            <v>Andere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2630</v>
          </cell>
        </row>
        <row r="193">
          <cell r="A193">
            <v>45744</v>
          </cell>
          <cell r="B193" t="str">
            <v>Andere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400</v>
          </cell>
        </row>
        <row r="198">
          <cell r="A198">
            <v>45745</v>
          </cell>
          <cell r="B198" t="str">
            <v>Party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2280</v>
          </cell>
        </row>
        <row r="199">
          <cell r="A199">
            <v>45745</v>
          </cell>
          <cell r="B199" t="str">
            <v>LM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1045.97</v>
          </cell>
        </row>
        <row r="200">
          <cell r="A200">
            <v>45745</v>
          </cell>
          <cell r="B200" t="str">
            <v>VM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70</v>
          </cell>
        </row>
        <row r="201">
          <cell r="A201">
            <v>45745</v>
          </cell>
          <cell r="B201" t="str">
            <v>Andere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1413</v>
          </cell>
        </row>
        <row r="205">
          <cell r="A205">
            <v>45746</v>
          </cell>
          <cell r="B205" t="str">
            <v>LM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1116.98</v>
          </cell>
        </row>
        <row r="212">
          <cell r="A212">
            <v>45747</v>
          </cell>
          <cell r="B212" t="str">
            <v>LM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3017.72</v>
          </cell>
        </row>
      </sheetData>
      <sheetData sheetId="54">
        <row r="2">
          <cell r="A2">
            <v>45748</v>
          </cell>
          <cell r="B2" t="str">
            <v>LM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264.95999999999998</v>
          </cell>
        </row>
        <row r="4">
          <cell r="A4">
            <v>45748</v>
          </cell>
          <cell r="B4" t="str">
            <v>Andere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4269</v>
          </cell>
        </row>
        <row r="9">
          <cell r="A9">
            <v>45749</v>
          </cell>
          <cell r="B9" t="str">
            <v>LM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2673</v>
          </cell>
        </row>
        <row r="10">
          <cell r="A10">
            <v>45749</v>
          </cell>
          <cell r="B10" t="str">
            <v>VM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140</v>
          </cell>
        </row>
        <row r="16">
          <cell r="A16">
            <v>45750</v>
          </cell>
          <cell r="B16" t="str">
            <v>none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4968.49</v>
          </cell>
          <cell r="H16">
            <v>0</v>
          </cell>
        </row>
        <row r="17">
          <cell r="A17">
            <v>45750</v>
          </cell>
          <cell r="B17" t="str">
            <v>LM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1264.18</v>
          </cell>
        </row>
        <row r="23">
          <cell r="A23">
            <v>45751</v>
          </cell>
          <cell r="B23" t="str">
            <v>LM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4412.8500000000004</v>
          </cell>
        </row>
        <row r="24">
          <cell r="A24">
            <v>45751</v>
          </cell>
          <cell r="B24" t="str">
            <v>VM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210</v>
          </cell>
        </row>
        <row r="30">
          <cell r="A30">
            <v>45752</v>
          </cell>
          <cell r="B30" t="str">
            <v>LM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615.92999999999995</v>
          </cell>
        </row>
        <row r="31">
          <cell r="A31">
            <v>45752</v>
          </cell>
          <cell r="B31" t="str">
            <v>Party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2609</v>
          </cell>
        </row>
        <row r="32">
          <cell r="A32">
            <v>45752</v>
          </cell>
          <cell r="B32" t="str">
            <v>Frauen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2150</v>
          </cell>
        </row>
        <row r="37">
          <cell r="A37">
            <v>45753</v>
          </cell>
          <cell r="B37" t="str">
            <v>VM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70</v>
          </cell>
        </row>
        <row r="38">
          <cell r="A38">
            <v>45753</v>
          </cell>
          <cell r="B38" t="str">
            <v>Frauen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3823</v>
          </cell>
        </row>
        <row r="39">
          <cell r="A39">
            <v>45753</v>
          </cell>
          <cell r="B39" t="str">
            <v>VM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18942</v>
          </cell>
        </row>
        <row r="40">
          <cell r="A40">
            <v>45753</v>
          </cell>
          <cell r="B40" t="str">
            <v>Frauen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18942</v>
          </cell>
        </row>
        <row r="41">
          <cell r="A41">
            <v>45753</v>
          </cell>
          <cell r="B41" t="str">
            <v>VM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1228</v>
          </cell>
        </row>
        <row r="44">
          <cell r="A44">
            <v>45754</v>
          </cell>
          <cell r="B44" t="str">
            <v>LM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10000</v>
          </cell>
        </row>
        <row r="65">
          <cell r="A65">
            <v>45757</v>
          </cell>
          <cell r="B65" t="str">
            <v>Refill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146740.81</v>
          </cell>
          <cell r="H65">
            <v>0</v>
          </cell>
        </row>
        <row r="93">
          <cell r="A93">
            <v>45761</v>
          </cell>
          <cell r="B93" t="str">
            <v>Andere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875</v>
          </cell>
        </row>
        <row r="107">
          <cell r="A107">
            <v>45763</v>
          </cell>
          <cell r="B107" t="str">
            <v>Refill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12000</v>
          </cell>
          <cell r="H107">
            <v>0</v>
          </cell>
        </row>
        <row r="114">
          <cell r="A114">
            <v>45764</v>
          </cell>
          <cell r="B114" t="str">
            <v>Frauen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4697</v>
          </cell>
        </row>
        <row r="121">
          <cell r="A121">
            <v>45765</v>
          </cell>
          <cell r="B121" t="str">
            <v>rent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64400</v>
          </cell>
        </row>
        <row r="122">
          <cell r="A122">
            <v>45765</v>
          </cell>
          <cell r="B122" t="str">
            <v>Andere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4200</v>
          </cell>
        </row>
        <row r="123">
          <cell r="A123">
            <v>45765</v>
          </cell>
          <cell r="B123" t="str">
            <v>VM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382.71</v>
          </cell>
        </row>
        <row r="129">
          <cell r="A129">
            <v>45766</v>
          </cell>
          <cell r="B129" t="str">
            <v>Andere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10000</v>
          </cell>
        </row>
        <row r="130">
          <cell r="A130">
            <v>45766</v>
          </cell>
          <cell r="B130" t="str">
            <v>VM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880</v>
          </cell>
        </row>
        <row r="131">
          <cell r="A131">
            <v>45766</v>
          </cell>
          <cell r="B131" t="str">
            <v>LM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1647.13</v>
          </cell>
        </row>
        <row r="135">
          <cell r="A135">
            <v>45767</v>
          </cell>
          <cell r="B135" t="str">
            <v>LM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1564.7400000000002</v>
          </cell>
        </row>
        <row r="136">
          <cell r="A136">
            <v>45767</v>
          </cell>
          <cell r="B136" t="str">
            <v>VM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298</v>
          </cell>
        </row>
        <row r="137">
          <cell r="A137">
            <v>45767</v>
          </cell>
          <cell r="B137" t="str">
            <v>Andere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1190</v>
          </cell>
        </row>
        <row r="138">
          <cell r="A138">
            <v>45767</v>
          </cell>
          <cell r="B138" t="str">
            <v>none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206.36</v>
          </cell>
        </row>
        <row r="142">
          <cell r="A142">
            <v>45768</v>
          </cell>
          <cell r="B142" t="str">
            <v>Andere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1792</v>
          </cell>
        </row>
        <row r="143">
          <cell r="A143">
            <v>45768</v>
          </cell>
          <cell r="B143" t="str">
            <v>LM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1805.8700000000001</v>
          </cell>
        </row>
        <row r="149">
          <cell r="A149">
            <v>45769</v>
          </cell>
          <cell r="B149" t="str">
            <v>LM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776.95</v>
          </cell>
        </row>
        <row r="150">
          <cell r="A150">
            <v>45769</v>
          </cell>
          <cell r="B150" t="str">
            <v>Rauchen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200</v>
          </cell>
        </row>
        <row r="156">
          <cell r="A156">
            <v>45770</v>
          </cell>
          <cell r="B156" t="str">
            <v>LM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1407.54</v>
          </cell>
        </row>
        <row r="163">
          <cell r="A163">
            <v>45771</v>
          </cell>
          <cell r="B163" t="str">
            <v>Andere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993</v>
          </cell>
        </row>
        <row r="164">
          <cell r="A164">
            <v>45771</v>
          </cell>
          <cell r="B164" t="str">
            <v>VM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234</v>
          </cell>
        </row>
        <row r="165">
          <cell r="A165">
            <v>45771</v>
          </cell>
          <cell r="B165" t="str">
            <v>LM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369.99</v>
          </cell>
        </row>
        <row r="166">
          <cell r="A166">
            <v>45771</v>
          </cell>
          <cell r="B166" t="str">
            <v>Frauen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1327.3</v>
          </cell>
        </row>
        <row r="167">
          <cell r="A167">
            <v>45771</v>
          </cell>
          <cell r="B167" t="str">
            <v>Refill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30700</v>
          </cell>
          <cell r="H167">
            <v>0</v>
          </cell>
        </row>
        <row r="170">
          <cell r="A170">
            <v>45772</v>
          </cell>
          <cell r="B170" t="str">
            <v>LM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1777.12</v>
          </cell>
        </row>
        <row r="171">
          <cell r="A171">
            <v>45772</v>
          </cell>
          <cell r="B171" t="str">
            <v>Refill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115557.5</v>
          </cell>
          <cell r="H171">
            <v>0</v>
          </cell>
        </row>
        <row r="172">
          <cell r="A172">
            <v>45772</v>
          </cell>
          <cell r="B172" t="str">
            <v>Rauchen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200</v>
          </cell>
        </row>
        <row r="173">
          <cell r="A173">
            <v>45772</v>
          </cell>
          <cell r="B173" t="str">
            <v>Refill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24078.080000000002</v>
          </cell>
          <cell r="H173">
            <v>0</v>
          </cell>
        </row>
        <row r="174">
          <cell r="A174">
            <v>45772</v>
          </cell>
          <cell r="B174" t="str">
            <v>Refill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4047.92</v>
          </cell>
          <cell r="H174">
            <v>0</v>
          </cell>
        </row>
        <row r="177">
          <cell r="A177">
            <v>45773</v>
          </cell>
          <cell r="B177" t="str">
            <v>Party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1500</v>
          </cell>
        </row>
        <row r="178">
          <cell r="A178">
            <v>45773</v>
          </cell>
          <cell r="B178" t="str">
            <v>LM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1036.5</v>
          </cell>
        </row>
        <row r="184">
          <cell r="A184">
            <v>45774</v>
          </cell>
          <cell r="B184" t="str">
            <v>LM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3568.79</v>
          </cell>
        </row>
        <row r="198">
          <cell r="A198">
            <v>45776</v>
          </cell>
          <cell r="B198" t="str">
            <v>Rauchen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200</v>
          </cell>
        </row>
        <row r="199">
          <cell r="A199">
            <v>45776</v>
          </cell>
          <cell r="B199" t="str">
            <v>Andere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1836</v>
          </cell>
        </row>
        <row r="205">
          <cell r="A205">
            <v>45777</v>
          </cell>
          <cell r="B205" t="str">
            <v>LM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1423.6399999999999</v>
          </cell>
        </row>
      </sheetData>
      <sheetData sheetId="55">
        <row r="2">
          <cell r="A2">
            <v>45778</v>
          </cell>
          <cell r="B2" t="str">
            <v>LM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1554.8200000000002</v>
          </cell>
        </row>
        <row r="3">
          <cell r="A3">
            <v>45778</v>
          </cell>
          <cell r="B3" t="str">
            <v>VM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1027</v>
          </cell>
        </row>
        <row r="4">
          <cell r="A4">
            <v>45778</v>
          </cell>
          <cell r="B4" t="str">
            <v>Andere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990</v>
          </cell>
        </row>
        <row r="9">
          <cell r="A9">
            <v>45779</v>
          </cell>
          <cell r="B9" t="str">
            <v>VM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679</v>
          </cell>
        </row>
        <row r="10">
          <cell r="A10">
            <v>45779</v>
          </cell>
          <cell r="B10" t="str">
            <v>LM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344.98</v>
          </cell>
        </row>
        <row r="11">
          <cell r="A11">
            <v>45779</v>
          </cell>
          <cell r="B11" t="str">
            <v>Frauen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2500</v>
          </cell>
        </row>
        <row r="16">
          <cell r="A16">
            <v>45780</v>
          </cell>
          <cell r="B16" t="str">
            <v>Frauen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981.64</v>
          </cell>
        </row>
        <row r="17">
          <cell r="A17">
            <v>45780</v>
          </cell>
          <cell r="B17" t="str">
            <v>Andere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618</v>
          </cell>
        </row>
        <row r="18">
          <cell r="A18">
            <v>45780</v>
          </cell>
          <cell r="B18" t="str">
            <v>LM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2198.56</v>
          </cell>
        </row>
        <row r="19">
          <cell r="A19">
            <v>45780</v>
          </cell>
          <cell r="B19" t="str">
            <v>VM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1432</v>
          </cell>
        </row>
        <row r="23">
          <cell r="A23">
            <v>45781</v>
          </cell>
          <cell r="B23" t="str">
            <v>Andere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2500</v>
          </cell>
        </row>
        <row r="24">
          <cell r="A24">
            <v>45781</v>
          </cell>
          <cell r="B24" t="str">
            <v>LM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1984.98</v>
          </cell>
        </row>
        <row r="25">
          <cell r="A25">
            <v>45781</v>
          </cell>
          <cell r="B25" t="str">
            <v>Rauchen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200</v>
          </cell>
        </row>
        <row r="26">
          <cell r="A26">
            <v>45781</v>
          </cell>
          <cell r="B26" t="str">
            <v>none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6000</v>
          </cell>
          <cell r="H26">
            <v>0</v>
          </cell>
        </row>
        <row r="30">
          <cell r="A30">
            <v>45782</v>
          </cell>
          <cell r="B30" t="str">
            <v>LM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4688.74</v>
          </cell>
        </row>
        <row r="37">
          <cell r="A37">
            <v>45783</v>
          </cell>
          <cell r="B37" t="str">
            <v>LM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457.99</v>
          </cell>
        </row>
        <row r="38">
          <cell r="A38">
            <v>45783</v>
          </cell>
          <cell r="B38" t="str">
            <v>Frauen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985</v>
          </cell>
        </row>
        <row r="39">
          <cell r="A39">
            <v>45783</v>
          </cell>
          <cell r="B39" t="str">
            <v>VM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1177</v>
          </cell>
        </row>
        <row r="44">
          <cell r="A44">
            <v>45784</v>
          </cell>
          <cell r="B44" t="str">
            <v>Refill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115557.5</v>
          </cell>
          <cell r="H44">
            <v>0</v>
          </cell>
        </row>
        <row r="45">
          <cell r="A45">
            <v>45784</v>
          </cell>
          <cell r="B45" t="str">
            <v>Andere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3850</v>
          </cell>
        </row>
        <row r="46">
          <cell r="A46">
            <v>45784</v>
          </cell>
          <cell r="B46" t="str">
            <v>LM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2343.94</v>
          </cell>
        </row>
        <row r="47">
          <cell r="A47">
            <v>45784</v>
          </cell>
          <cell r="B47" t="str">
            <v>none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360.32</v>
          </cell>
        </row>
        <row r="51">
          <cell r="A51">
            <v>45785</v>
          </cell>
          <cell r="B51" t="str">
            <v>Rauchen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200</v>
          </cell>
        </row>
        <row r="58">
          <cell r="A58">
            <v>45786</v>
          </cell>
          <cell r="B58" t="str">
            <v>VM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1672</v>
          </cell>
        </row>
        <row r="59">
          <cell r="A59">
            <v>45786</v>
          </cell>
          <cell r="B59" t="str">
            <v>LM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1582.27</v>
          </cell>
        </row>
        <row r="60">
          <cell r="A60">
            <v>45786</v>
          </cell>
          <cell r="B60" t="str">
            <v>LM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1576.1699999999998</v>
          </cell>
        </row>
        <row r="65">
          <cell r="A65">
            <v>45787</v>
          </cell>
          <cell r="B65" t="str">
            <v>VM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140</v>
          </cell>
        </row>
        <row r="66">
          <cell r="A66">
            <v>45787</v>
          </cell>
          <cell r="B66" t="str">
            <v>LM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3906.44</v>
          </cell>
        </row>
        <row r="72">
          <cell r="A72">
            <v>45788</v>
          </cell>
          <cell r="B72" t="str">
            <v>Rauchen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200</v>
          </cell>
        </row>
        <row r="79">
          <cell r="A79">
            <v>45789</v>
          </cell>
          <cell r="B79" t="str">
            <v>LM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300.88</v>
          </cell>
        </row>
        <row r="86">
          <cell r="A86">
            <v>45790</v>
          </cell>
          <cell r="B86" t="str">
            <v>LM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1503</v>
          </cell>
        </row>
        <row r="87">
          <cell r="A87">
            <v>45790</v>
          </cell>
          <cell r="B87" t="str">
            <v>VM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140</v>
          </cell>
        </row>
        <row r="93">
          <cell r="A93">
            <v>45791</v>
          </cell>
          <cell r="B93" t="str">
            <v>Frauen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1000</v>
          </cell>
        </row>
        <row r="94">
          <cell r="A94">
            <v>45791</v>
          </cell>
          <cell r="B94" t="str">
            <v>Rauchen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200</v>
          </cell>
        </row>
        <row r="95">
          <cell r="A95">
            <v>45791</v>
          </cell>
          <cell r="B95" t="str">
            <v>LM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339.98</v>
          </cell>
        </row>
        <row r="100">
          <cell r="A100">
            <v>45792</v>
          </cell>
          <cell r="B100" t="str">
            <v>VM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3728.26</v>
          </cell>
        </row>
        <row r="101">
          <cell r="A101">
            <v>45792</v>
          </cell>
          <cell r="B101" t="str">
            <v>Andere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3000</v>
          </cell>
        </row>
        <row r="102">
          <cell r="A102">
            <v>45792</v>
          </cell>
          <cell r="B102" t="str">
            <v>LM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339.96</v>
          </cell>
        </row>
        <row r="107">
          <cell r="A107">
            <v>45793</v>
          </cell>
          <cell r="B107" t="str">
            <v>LM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706.89</v>
          </cell>
        </row>
        <row r="108">
          <cell r="A108">
            <v>45793</v>
          </cell>
          <cell r="B108" t="str">
            <v>VM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70</v>
          </cell>
        </row>
        <row r="114">
          <cell r="A114">
            <v>45794</v>
          </cell>
          <cell r="B114" t="str">
            <v>LM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2904.09</v>
          </cell>
        </row>
        <row r="121">
          <cell r="A121">
            <v>45795</v>
          </cell>
          <cell r="B121" t="str">
            <v>LM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1688.54</v>
          </cell>
        </row>
        <row r="122">
          <cell r="A122">
            <v>45795</v>
          </cell>
          <cell r="B122" t="str">
            <v>VM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210</v>
          </cell>
        </row>
        <row r="123">
          <cell r="A123">
            <v>45795</v>
          </cell>
          <cell r="B123" t="str">
            <v>Andere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5150</v>
          </cell>
        </row>
        <row r="124">
          <cell r="A124">
            <v>45795</v>
          </cell>
          <cell r="B124" t="str">
            <v>Refill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12000</v>
          </cell>
          <cell r="H124">
            <v>0</v>
          </cell>
        </row>
        <row r="129">
          <cell r="A129">
            <v>45796</v>
          </cell>
          <cell r="B129" t="str">
            <v>LM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5000</v>
          </cell>
        </row>
        <row r="130">
          <cell r="A130">
            <v>45796</v>
          </cell>
          <cell r="B130" t="str">
            <v>Andere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130</v>
          </cell>
        </row>
        <row r="131">
          <cell r="A131">
            <v>45796</v>
          </cell>
          <cell r="B131" t="str">
            <v>rent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55000</v>
          </cell>
        </row>
        <row r="135">
          <cell r="A135">
            <v>45797</v>
          </cell>
          <cell r="B135" t="str">
            <v>Frauen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647</v>
          </cell>
        </row>
        <row r="149">
          <cell r="A149">
            <v>45799</v>
          </cell>
          <cell r="B149" t="str">
            <v>Refill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256.8</v>
          </cell>
          <cell r="H149">
            <v>0</v>
          </cell>
        </row>
        <row r="156">
          <cell r="A156">
            <v>45800</v>
          </cell>
          <cell r="B156" t="str">
            <v>Frauen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2559.64</v>
          </cell>
        </row>
        <row r="157">
          <cell r="A157">
            <v>45800</v>
          </cell>
          <cell r="B157" t="str">
            <v>LM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1300</v>
          </cell>
        </row>
        <row r="158">
          <cell r="A158">
            <v>45800</v>
          </cell>
          <cell r="B158" t="str">
            <v>Refill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89878.720000000001</v>
          </cell>
          <cell r="H158">
            <v>0</v>
          </cell>
        </row>
        <row r="164">
          <cell r="A164">
            <v>45801</v>
          </cell>
          <cell r="B164" t="str">
            <v>VM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2640</v>
          </cell>
        </row>
        <row r="165">
          <cell r="A165">
            <v>45801</v>
          </cell>
          <cell r="B165" t="str">
            <v>LM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1865</v>
          </cell>
        </row>
        <row r="166">
          <cell r="A166">
            <v>45801</v>
          </cell>
          <cell r="B166" t="str">
            <v>Andere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6760</v>
          </cell>
        </row>
        <row r="167">
          <cell r="A167">
            <v>45801</v>
          </cell>
          <cell r="B167" t="str">
            <v>LM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379.87</v>
          </cell>
        </row>
        <row r="170">
          <cell r="A170">
            <v>45802</v>
          </cell>
          <cell r="B170" t="str">
            <v>Refill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29632.850000000002</v>
          </cell>
          <cell r="H170">
            <v>0</v>
          </cell>
        </row>
        <row r="171">
          <cell r="A171">
            <v>45802</v>
          </cell>
          <cell r="B171" t="str">
            <v>VM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1707</v>
          </cell>
        </row>
        <row r="172">
          <cell r="A172">
            <v>45802</v>
          </cell>
          <cell r="B172" t="str">
            <v>Rauchen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200</v>
          </cell>
        </row>
        <row r="173">
          <cell r="A173">
            <v>45802</v>
          </cell>
          <cell r="B173" t="str">
            <v>VM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140</v>
          </cell>
        </row>
        <row r="174">
          <cell r="A174">
            <v>45802</v>
          </cell>
          <cell r="B174" t="str">
            <v>Frauen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5500</v>
          </cell>
        </row>
        <row r="175">
          <cell r="A175">
            <v>45802</v>
          </cell>
          <cell r="B175" t="str">
            <v>LM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63.22</v>
          </cell>
        </row>
        <row r="177">
          <cell r="A177">
            <v>45803</v>
          </cell>
          <cell r="B177" t="str">
            <v>Refill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2000</v>
          </cell>
          <cell r="H177">
            <v>0</v>
          </cell>
        </row>
        <row r="178">
          <cell r="A178">
            <v>45803</v>
          </cell>
          <cell r="B178" t="str">
            <v>LM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1931.14</v>
          </cell>
        </row>
        <row r="184">
          <cell r="A184">
            <v>45804</v>
          </cell>
          <cell r="B184" t="str">
            <v>Andere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400</v>
          </cell>
        </row>
        <row r="185">
          <cell r="A185">
            <v>45804</v>
          </cell>
          <cell r="B185" t="str">
            <v>none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649.15</v>
          </cell>
        </row>
        <row r="191">
          <cell r="A191">
            <v>45805</v>
          </cell>
          <cell r="B191" t="str">
            <v>VM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125.87</v>
          </cell>
        </row>
        <row r="192">
          <cell r="A192">
            <v>45805</v>
          </cell>
          <cell r="B192" t="str">
            <v>LM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819</v>
          </cell>
        </row>
        <row r="198">
          <cell r="A198">
            <v>45806</v>
          </cell>
          <cell r="B198" t="str">
            <v>VM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243.38</v>
          </cell>
        </row>
        <row r="199">
          <cell r="A199">
            <v>45806</v>
          </cell>
          <cell r="B199" t="str">
            <v>LM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1309.8499999999999</v>
          </cell>
        </row>
        <row r="200">
          <cell r="A200">
            <v>45806</v>
          </cell>
          <cell r="B200" t="str">
            <v>Refill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13200</v>
          </cell>
          <cell r="H200">
            <v>0</v>
          </cell>
        </row>
        <row r="205">
          <cell r="A205">
            <v>45807</v>
          </cell>
          <cell r="B205" t="str">
            <v>for me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1195</v>
          </cell>
        </row>
        <row r="206">
          <cell r="A206">
            <v>45807</v>
          </cell>
          <cell r="B206" t="str">
            <v>VM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14.98</v>
          </cell>
        </row>
        <row r="207">
          <cell r="A207">
            <v>45807</v>
          </cell>
          <cell r="B207" t="str">
            <v>LM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1887.77</v>
          </cell>
        </row>
        <row r="208">
          <cell r="A208">
            <v>45807</v>
          </cell>
          <cell r="B208" t="str">
            <v>Rauchen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200</v>
          </cell>
        </row>
        <row r="212">
          <cell r="A212">
            <v>45808</v>
          </cell>
          <cell r="B212" t="str">
            <v>Andere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20550</v>
          </cell>
        </row>
        <row r="213">
          <cell r="A213">
            <v>45808</v>
          </cell>
          <cell r="B213" t="str">
            <v>VM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2300</v>
          </cell>
        </row>
      </sheetData>
      <sheetData sheetId="56">
        <row r="2">
          <cell r="A2">
            <v>45809</v>
          </cell>
          <cell r="B2" t="str">
            <v>LM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3705.83</v>
          </cell>
        </row>
        <row r="3">
          <cell r="A3">
            <v>45809</v>
          </cell>
          <cell r="B3" t="str">
            <v>VM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148</v>
          </cell>
        </row>
        <row r="4">
          <cell r="A4">
            <v>45809</v>
          </cell>
          <cell r="B4" t="str">
            <v>Andere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2480</v>
          </cell>
        </row>
        <row r="8">
          <cell r="A8">
            <v>45809</v>
          </cell>
          <cell r="B8" t="str">
            <v>none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1</v>
          </cell>
          <cell r="H8">
            <v>0</v>
          </cell>
        </row>
        <row r="9">
          <cell r="A9">
            <v>45810</v>
          </cell>
          <cell r="B9" t="str">
            <v>LM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479.88</v>
          </cell>
        </row>
        <row r="10">
          <cell r="A10">
            <v>45810</v>
          </cell>
          <cell r="B10" t="str">
            <v>none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200.47</v>
          </cell>
        </row>
        <row r="16">
          <cell r="A16">
            <v>45811</v>
          </cell>
          <cell r="B16" t="str">
            <v>none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5044</v>
          </cell>
        </row>
        <row r="17">
          <cell r="A17">
            <v>45811</v>
          </cell>
          <cell r="B17" t="str">
            <v>none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30500</v>
          </cell>
          <cell r="H17">
            <v>0</v>
          </cell>
        </row>
        <row r="18">
          <cell r="A18">
            <v>45811</v>
          </cell>
          <cell r="B18" t="str">
            <v>Frauen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3150</v>
          </cell>
        </row>
        <row r="23">
          <cell r="A23">
            <v>45812</v>
          </cell>
          <cell r="B23" t="str">
            <v>Andere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547</v>
          </cell>
        </row>
        <row r="24">
          <cell r="A24">
            <v>45812</v>
          </cell>
          <cell r="B24" t="str">
            <v>VM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272</v>
          </cell>
        </row>
        <row r="25">
          <cell r="A25">
            <v>45812</v>
          </cell>
          <cell r="B25" t="str">
            <v>LM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922.8</v>
          </cell>
        </row>
        <row r="30">
          <cell r="A30">
            <v>45813</v>
          </cell>
          <cell r="B30" t="str">
            <v>LM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967</v>
          </cell>
        </row>
        <row r="31">
          <cell r="A31">
            <v>45813</v>
          </cell>
          <cell r="B31" t="str">
            <v>VM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41</v>
          </cell>
        </row>
        <row r="37">
          <cell r="A37">
            <v>45814</v>
          </cell>
          <cell r="B37" t="str">
            <v>LM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669.94</v>
          </cell>
        </row>
        <row r="38">
          <cell r="A38">
            <v>45814</v>
          </cell>
          <cell r="B38" t="str">
            <v>Rauchen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200</v>
          </cell>
        </row>
        <row r="44">
          <cell r="A44">
            <v>45815</v>
          </cell>
          <cell r="B44" t="str">
            <v>LM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443.74</v>
          </cell>
        </row>
        <row r="45">
          <cell r="A45">
            <v>45815</v>
          </cell>
          <cell r="B45" t="str">
            <v>VM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116</v>
          </cell>
        </row>
        <row r="46">
          <cell r="A46">
            <v>45815</v>
          </cell>
          <cell r="B46" t="str">
            <v>none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670.88</v>
          </cell>
        </row>
        <row r="51">
          <cell r="A51">
            <v>45816</v>
          </cell>
          <cell r="B51" t="str">
            <v>VM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148</v>
          </cell>
        </row>
        <row r="52">
          <cell r="A52">
            <v>45816</v>
          </cell>
          <cell r="B52" t="str">
            <v>LM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700</v>
          </cell>
        </row>
        <row r="53">
          <cell r="A53">
            <v>45816</v>
          </cell>
          <cell r="B53" t="str">
            <v>LM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779.97</v>
          </cell>
        </row>
        <row r="54">
          <cell r="A54">
            <v>45816</v>
          </cell>
          <cell r="B54" t="str">
            <v>Andere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1893.96</v>
          </cell>
        </row>
        <row r="58">
          <cell r="A58">
            <v>45817</v>
          </cell>
          <cell r="B58" t="str">
            <v>LM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804.99</v>
          </cell>
        </row>
        <row r="65">
          <cell r="A65">
            <v>45818</v>
          </cell>
          <cell r="B65" t="str">
            <v>LM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2890.22</v>
          </cell>
        </row>
        <row r="66">
          <cell r="A66">
            <v>45818</v>
          </cell>
          <cell r="B66" t="str">
            <v>Refill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141237.28</v>
          </cell>
          <cell r="H66">
            <v>0</v>
          </cell>
        </row>
        <row r="72">
          <cell r="A72">
            <v>45819</v>
          </cell>
          <cell r="B72" t="str">
            <v>VM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305.97000000000003</v>
          </cell>
        </row>
        <row r="73">
          <cell r="A73">
            <v>45819</v>
          </cell>
          <cell r="B73" t="str">
            <v>LM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1070.9000000000001</v>
          </cell>
        </row>
        <row r="74">
          <cell r="A74">
            <v>45819</v>
          </cell>
          <cell r="B74" t="str">
            <v>Andere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1006</v>
          </cell>
        </row>
        <row r="79">
          <cell r="A79">
            <v>45820</v>
          </cell>
          <cell r="B79" t="str">
            <v>LM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1055</v>
          </cell>
        </row>
        <row r="86">
          <cell r="A86">
            <v>45821</v>
          </cell>
          <cell r="B86" t="str">
            <v>Frauen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23800</v>
          </cell>
        </row>
        <row r="87">
          <cell r="A87">
            <v>45821</v>
          </cell>
          <cell r="B87" t="str">
            <v>Andere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3000</v>
          </cell>
        </row>
        <row r="88">
          <cell r="A88">
            <v>45821</v>
          </cell>
          <cell r="B88" t="str">
            <v>VM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174.97</v>
          </cell>
        </row>
        <row r="89">
          <cell r="A89">
            <v>45821</v>
          </cell>
          <cell r="B89" t="str">
            <v>Andere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1624.1</v>
          </cell>
        </row>
        <row r="90">
          <cell r="A90">
            <v>45821</v>
          </cell>
          <cell r="B90" t="str">
            <v>LM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5233.8900000000003</v>
          </cell>
        </row>
        <row r="93">
          <cell r="A93">
            <v>45822</v>
          </cell>
          <cell r="B93" t="str">
            <v>Andere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1024</v>
          </cell>
        </row>
        <row r="94">
          <cell r="A94">
            <v>45822</v>
          </cell>
          <cell r="B94" t="str">
            <v>LM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3120</v>
          </cell>
        </row>
        <row r="95">
          <cell r="A95">
            <v>45822</v>
          </cell>
          <cell r="B95" t="str">
            <v>Andere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99</v>
          </cell>
        </row>
        <row r="96">
          <cell r="A96">
            <v>45822</v>
          </cell>
          <cell r="B96" t="str">
            <v>LM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1009.98</v>
          </cell>
        </row>
        <row r="97">
          <cell r="A97">
            <v>45822</v>
          </cell>
          <cell r="B97" t="str">
            <v>Frauen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759.6</v>
          </cell>
        </row>
        <row r="100">
          <cell r="A100">
            <v>45823</v>
          </cell>
          <cell r="B100" t="str">
            <v>LM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2885.46</v>
          </cell>
        </row>
        <row r="101">
          <cell r="A101">
            <v>45823</v>
          </cell>
          <cell r="B101" t="str">
            <v>VM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53.97</v>
          </cell>
        </row>
        <row r="107">
          <cell r="A107">
            <v>45824</v>
          </cell>
          <cell r="B107" t="str">
            <v>LM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1315.68</v>
          </cell>
        </row>
        <row r="108">
          <cell r="A108">
            <v>45824</v>
          </cell>
          <cell r="B108" t="str">
            <v>VM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148</v>
          </cell>
        </row>
        <row r="114">
          <cell r="A114">
            <v>45825</v>
          </cell>
          <cell r="B114" t="str">
            <v>rent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55000</v>
          </cell>
        </row>
        <row r="115">
          <cell r="A115">
            <v>45825</v>
          </cell>
          <cell r="B115" t="str">
            <v>VM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35.47</v>
          </cell>
        </row>
        <row r="116">
          <cell r="A116">
            <v>45825</v>
          </cell>
          <cell r="B116" t="str">
            <v>LM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1516.85</v>
          </cell>
        </row>
        <row r="121">
          <cell r="A121">
            <v>45826</v>
          </cell>
          <cell r="B121" t="str">
            <v>Andere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90</v>
          </cell>
        </row>
        <row r="122">
          <cell r="A122">
            <v>45826</v>
          </cell>
          <cell r="B122" t="str">
            <v>VM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508.97</v>
          </cell>
        </row>
        <row r="123">
          <cell r="A123">
            <v>45826</v>
          </cell>
          <cell r="B123" t="str">
            <v>Refill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12000</v>
          </cell>
          <cell r="H123">
            <v>0</v>
          </cell>
        </row>
        <row r="124">
          <cell r="A124">
            <v>45826</v>
          </cell>
          <cell r="B124" t="str">
            <v>Andere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1616</v>
          </cell>
        </row>
        <row r="125">
          <cell r="A125">
            <v>45826</v>
          </cell>
          <cell r="B125" t="str">
            <v>LM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644.96</v>
          </cell>
        </row>
        <row r="128">
          <cell r="A128">
            <v>45827</v>
          </cell>
          <cell r="B128" t="str">
            <v>VM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93</v>
          </cell>
        </row>
        <row r="129">
          <cell r="A129">
            <v>45827</v>
          </cell>
          <cell r="B129" t="str">
            <v>LM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1661.43</v>
          </cell>
        </row>
        <row r="130">
          <cell r="A130">
            <v>45827</v>
          </cell>
          <cell r="B130" t="str">
            <v>Andere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699</v>
          </cell>
        </row>
        <row r="131">
          <cell r="A131">
            <v>45827</v>
          </cell>
          <cell r="B131" t="str">
            <v>Andere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5000</v>
          </cell>
        </row>
        <row r="135">
          <cell r="A135">
            <v>45828</v>
          </cell>
          <cell r="B135" t="str">
            <v>VM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172</v>
          </cell>
        </row>
        <row r="136">
          <cell r="A136">
            <v>45828</v>
          </cell>
          <cell r="B136" t="str">
            <v>LM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169.9</v>
          </cell>
        </row>
        <row r="142">
          <cell r="A142">
            <v>45829</v>
          </cell>
          <cell r="B142" t="str">
            <v>VM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544</v>
          </cell>
        </row>
        <row r="143">
          <cell r="A143">
            <v>45829</v>
          </cell>
          <cell r="B143" t="str">
            <v>LM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219.89</v>
          </cell>
        </row>
        <row r="149">
          <cell r="A149">
            <v>45830</v>
          </cell>
          <cell r="B149" t="str">
            <v>VM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166</v>
          </cell>
        </row>
        <row r="150">
          <cell r="A150">
            <v>45830</v>
          </cell>
          <cell r="B150" t="str">
            <v>LM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1086.98</v>
          </cell>
        </row>
        <row r="151">
          <cell r="A151">
            <v>45830</v>
          </cell>
          <cell r="B151" t="str">
            <v>Frauen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8200</v>
          </cell>
        </row>
        <row r="156">
          <cell r="A156">
            <v>45831</v>
          </cell>
          <cell r="B156" t="str">
            <v>Frauen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309</v>
          </cell>
        </row>
        <row r="157">
          <cell r="A157">
            <v>45831</v>
          </cell>
          <cell r="B157" t="str">
            <v>VM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339</v>
          </cell>
        </row>
        <row r="158">
          <cell r="A158">
            <v>45831</v>
          </cell>
          <cell r="B158" t="str">
            <v>LM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984</v>
          </cell>
        </row>
        <row r="159">
          <cell r="A159">
            <v>45831</v>
          </cell>
          <cell r="B159" t="str">
            <v>Frauen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5674.99</v>
          </cell>
        </row>
        <row r="163">
          <cell r="A163">
            <v>45832</v>
          </cell>
          <cell r="B163" t="str">
            <v>Andere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310</v>
          </cell>
        </row>
        <row r="164">
          <cell r="A164">
            <v>45832</v>
          </cell>
          <cell r="B164" t="str">
            <v>VM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95</v>
          </cell>
        </row>
        <row r="165">
          <cell r="A165">
            <v>45832</v>
          </cell>
          <cell r="B165" t="str">
            <v>Frauen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2332</v>
          </cell>
        </row>
        <row r="166">
          <cell r="A166">
            <v>45832</v>
          </cell>
          <cell r="B166" t="str">
            <v>LM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658.44</v>
          </cell>
        </row>
        <row r="170">
          <cell r="A170">
            <v>45833</v>
          </cell>
          <cell r="B170" t="str">
            <v>VM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72</v>
          </cell>
        </row>
        <row r="171">
          <cell r="A171">
            <v>45833</v>
          </cell>
          <cell r="B171" t="str">
            <v>Refill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97312.06</v>
          </cell>
          <cell r="H171">
            <v>0</v>
          </cell>
        </row>
        <row r="172">
          <cell r="A172">
            <v>45833</v>
          </cell>
          <cell r="B172" t="str">
            <v>LM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435.71</v>
          </cell>
        </row>
        <row r="173">
          <cell r="A173">
            <v>45833</v>
          </cell>
          <cell r="B173" t="str">
            <v>Refill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5177.7700000000004</v>
          </cell>
          <cell r="H173">
            <v>0</v>
          </cell>
        </row>
        <row r="177">
          <cell r="A177">
            <v>45834</v>
          </cell>
          <cell r="B177" t="str">
            <v>Refill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25355.89</v>
          </cell>
          <cell r="H177">
            <v>0</v>
          </cell>
        </row>
        <row r="178">
          <cell r="A178">
            <v>45834</v>
          </cell>
          <cell r="B178" t="str">
            <v>VM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240</v>
          </cell>
        </row>
        <row r="179">
          <cell r="A179">
            <v>45834</v>
          </cell>
          <cell r="B179" t="str">
            <v>for me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2989</v>
          </cell>
        </row>
        <row r="180">
          <cell r="A180">
            <v>45834</v>
          </cell>
          <cell r="B180" t="str">
            <v>LM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279</v>
          </cell>
        </row>
        <row r="181">
          <cell r="A181">
            <v>45834</v>
          </cell>
          <cell r="B181" t="str">
            <v>Frauen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4620</v>
          </cell>
        </row>
        <row r="184">
          <cell r="A184">
            <v>45835</v>
          </cell>
          <cell r="B184" t="str">
            <v>Andere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192</v>
          </cell>
        </row>
        <row r="185">
          <cell r="A185">
            <v>45835</v>
          </cell>
          <cell r="B185" t="str">
            <v>VM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246</v>
          </cell>
        </row>
        <row r="186">
          <cell r="A186">
            <v>45835</v>
          </cell>
          <cell r="B186" t="str">
            <v>LM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689.14</v>
          </cell>
        </row>
        <row r="191">
          <cell r="A191">
            <v>45836</v>
          </cell>
          <cell r="B191" t="str">
            <v>VM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148</v>
          </cell>
        </row>
        <row r="192">
          <cell r="A192">
            <v>45836</v>
          </cell>
          <cell r="B192" t="str">
            <v>LM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1219.7700000000004</v>
          </cell>
        </row>
        <row r="198">
          <cell r="A198">
            <v>45837</v>
          </cell>
          <cell r="B198" t="str">
            <v>VM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1225</v>
          </cell>
        </row>
        <row r="199">
          <cell r="A199">
            <v>45837</v>
          </cell>
          <cell r="B199" t="str">
            <v>LM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686.94</v>
          </cell>
        </row>
        <row r="205">
          <cell r="A205">
            <v>45838</v>
          </cell>
          <cell r="B205" t="str">
            <v>Party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4700</v>
          </cell>
        </row>
        <row r="206">
          <cell r="A206">
            <v>45838</v>
          </cell>
          <cell r="B206" t="str">
            <v>LM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4454.12</v>
          </cell>
        </row>
      </sheetData>
      <sheetData sheetId="57">
        <row r="2">
          <cell r="A2">
            <v>45839</v>
          </cell>
          <cell r="B2" t="str">
            <v>LM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1020</v>
          </cell>
        </row>
        <row r="3">
          <cell r="A3">
            <v>45839</v>
          </cell>
          <cell r="B3" t="str">
            <v>VM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43</v>
          </cell>
        </row>
        <row r="4">
          <cell r="A4">
            <v>45839</v>
          </cell>
          <cell r="B4" t="str">
            <v>Andere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1990</v>
          </cell>
        </row>
        <row r="9">
          <cell r="A9">
            <v>45840</v>
          </cell>
          <cell r="B9" t="str">
            <v>LM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702</v>
          </cell>
        </row>
        <row r="10">
          <cell r="A10">
            <v>45840</v>
          </cell>
          <cell r="B10" t="str">
            <v>Rauchen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200</v>
          </cell>
        </row>
        <row r="16">
          <cell r="A16">
            <v>45841</v>
          </cell>
          <cell r="B16" t="str">
            <v>Andere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2900</v>
          </cell>
        </row>
        <row r="17">
          <cell r="A17">
            <v>45841</v>
          </cell>
          <cell r="B17" t="str">
            <v>VM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265</v>
          </cell>
        </row>
        <row r="18">
          <cell r="A18">
            <v>45841</v>
          </cell>
          <cell r="B18" t="str">
            <v>LM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216.09</v>
          </cell>
        </row>
        <row r="23">
          <cell r="A23">
            <v>45842</v>
          </cell>
          <cell r="B23" t="str">
            <v>VM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22</v>
          </cell>
        </row>
        <row r="24">
          <cell r="A24">
            <v>45842</v>
          </cell>
          <cell r="B24" t="str">
            <v>for me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1400</v>
          </cell>
        </row>
        <row r="25">
          <cell r="A25">
            <v>45842</v>
          </cell>
          <cell r="B25" t="str">
            <v>LM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139.99</v>
          </cell>
        </row>
        <row r="30">
          <cell r="A30">
            <v>45843</v>
          </cell>
          <cell r="B30" t="str">
            <v>LM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3000</v>
          </cell>
        </row>
        <row r="31">
          <cell r="A31">
            <v>45843</v>
          </cell>
          <cell r="B31" t="str">
            <v>LM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2193.29</v>
          </cell>
        </row>
        <row r="32">
          <cell r="A32">
            <v>45843</v>
          </cell>
          <cell r="B32" t="str">
            <v>VM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82</v>
          </cell>
        </row>
        <row r="37">
          <cell r="A37">
            <v>45844</v>
          </cell>
          <cell r="B37" t="str">
            <v>LM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1054</v>
          </cell>
        </row>
        <row r="38">
          <cell r="A38">
            <v>45844</v>
          </cell>
          <cell r="B38" t="str">
            <v>VM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222</v>
          </cell>
        </row>
        <row r="44">
          <cell r="A44">
            <v>45845</v>
          </cell>
          <cell r="B44" t="str">
            <v>Andere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850</v>
          </cell>
        </row>
        <row r="45">
          <cell r="A45">
            <v>45845</v>
          </cell>
          <cell r="B45" t="str">
            <v>Andere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8000</v>
          </cell>
        </row>
        <row r="46">
          <cell r="A46">
            <v>45845</v>
          </cell>
          <cell r="B46" t="str">
            <v>LM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617.31000000000006</v>
          </cell>
        </row>
        <row r="47">
          <cell r="A47">
            <v>45845</v>
          </cell>
          <cell r="B47" t="str">
            <v>Andere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186.6</v>
          </cell>
        </row>
        <row r="51">
          <cell r="A51">
            <v>45846</v>
          </cell>
          <cell r="B51" t="str">
            <v>Refill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8640</v>
          </cell>
          <cell r="H51">
            <v>0</v>
          </cell>
        </row>
        <row r="52">
          <cell r="A52">
            <v>45846</v>
          </cell>
          <cell r="B52" t="str">
            <v>LM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1293.9000000000001</v>
          </cell>
        </row>
        <row r="53">
          <cell r="A53">
            <v>45846</v>
          </cell>
          <cell r="B53" t="str">
            <v>Andere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249</v>
          </cell>
        </row>
        <row r="54">
          <cell r="A54">
            <v>45846</v>
          </cell>
          <cell r="B54" t="str">
            <v>VM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19</v>
          </cell>
        </row>
        <row r="58">
          <cell r="A58">
            <v>45847</v>
          </cell>
          <cell r="B58" t="str">
            <v>VM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335.97</v>
          </cell>
        </row>
        <row r="59">
          <cell r="A59">
            <v>45847</v>
          </cell>
          <cell r="B59" t="str">
            <v>Refill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2880</v>
          </cell>
          <cell r="H59">
            <v>0</v>
          </cell>
        </row>
        <row r="60">
          <cell r="A60">
            <v>45847</v>
          </cell>
          <cell r="B60" t="str">
            <v>LM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1340</v>
          </cell>
        </row>
        <row r="61">
          <cell r="A61">
            <v>45847</v>
          </cell>
          <cell r="B61" t="str">
            <v>Andere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180</v>
          </cell>
        </row>
        <row r="65">
          <cell r="A65">
            <v>45848</v>
          </cell>
          <cell r="B65" t="str">
            <v>Refill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133804.94</v>
          </cell>
          <cell r="H65">
            <v>0</v>
          </cell>
        </row>
        <row r="66">
          <cell r="A66">
            <v>45848</v>
          </cell>
          <cell r="B66" t="str">
            <v>LM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121.98</v>
          </cell>
        </row>
        <row r="72">
          <cell r="A72">
            <v>45849</v>
          </cell>
          <cell r="B72" t="str">
            <v>LM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1243.5900000000001</v>
          </cell>
        </row>
        <row r="73">
          <cell r="A73">
            <v>45849</v>
          </cell>
          <cell r="B73" t="str">
            <v>Andere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861</v>
          </cell>
        </row>
        <row r="79">
          <cell r="A79">
            <v>45850</v>
          </cell>
          <cell r="B79" t="str">
            <v>VM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222</v>
          </cell>
        </row>
        <row r="80">
          <cell r="A80">
            <v>45850</v>
          </cell>
          <cell r="B80" t="str">
            <v>LM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2062.23</v>
          </cell>
        </row>
        <row r="86">
          <cell r="A86">
            <v>45851</v>
          </cell>
          <cell r="B86" t="str">
            <v>LM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3019.97</v>
          </cell>
        </row>
        <row r="87">
          <cell r="A87">
            <v>45851</v>
          </cell>
          <cell r="B87" t="str">
            <v>Andere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1799</v>
          </cell>
        </row>
        <row r="93">
          <cell r="A93">
            <v>45852</v>
          </cell>
          <cell r="B93" t="str">
            <v>LM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876.99</v>
          </cell>
        </row>
        <row r="94">
          <cell r="A94">
            <v>45852</v>
          </cell>
          <cell r="B94" t="str">
            <v>Frauen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2999</v>
          </cell>
        </row>
        <row r="100">
          <cell r="A100">
            <v>45853</v>
          </cell>
          <cell r="B100" t="str">
            <v>LM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2897.89</v>
          </cell>
        </row>
        <row r="107">
          <cell r="A107">
            <v>45854</v>
          </cell>
          <cell r="B107" t="str">
            <v>VM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188</v>
          </cell>
        </row>
        <row r="108">
          <cell r="A108">
            <v>45854</v>
          </cell>
          <cell r="B108" t="str">
            <v>Car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60000</v>
          </cell>
        </row>
        <row r="114">
          <cell r="A114">
            <v>45855</v>
          </cell>
          <cell r="B114" t="str">
            <v>VM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148</v>
          </cell>
        </row>
        <row r="115">
          <cell r="A115">
            <v>45855</v>
          </cell>
          <cell r="B115" t="str">
            <v>LM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8786.99</v>
          </cell>
        </row>
        <row r="116">
          <cell r="A116">
            <v>45855</v>
          </cell>
          <cell r="B116" t="str">
            <v>none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30000</v>
          </cell>
          <cell r="H116">
            <v>0</v>
          </cell>
        </row>
        <row r="117">
          <cell r="A117">
            <v>45855</v>
          </cell>
          <cell r="B117" t="str">
            <v>rent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55000</v>
          </cell>
        </row>
        <row r="121">
          <cell r="A121">
            <v>45856</v>
          </cell>
          <cell r="B121" t="str">
            <v>VM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119</v>
          </cell>
        </row>
        <row r="128">
          <cell r="A128">
            <v>45857</v>
          </cell>
          <cell r="B128" t="str">
            <v>VM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477</v>
          </cell>
        </row>
        <row r="129">
          <cell r="A129">
            <v>45857</v>
          </cell>
          <cell r="B129" t="str">
            <v>LM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129</v>
          </cell>
        </row>
        <row r="130">
          <cell r="A130">
            <v>45857</v>
          </cell>
          <cell r="B130" t="str">
            <v>Party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1500</v>
          </cell>
        </row>
        <row r="135">
          <cell r="A135">
            <v>45858</v>
          </cell>
          <cell r="B135" t="str">
            <v>VM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245.93</v>
          </cell>
        </row>
        <row r="136">
          <cell r="A136">
            <v>45858</v>
          </cell>
          <cell r="B136" t="str">
            <v>Andere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550</v>
          </cell>
        </row>
        <row r="137">
          <cell r="A137">
            <v>45858</v>
          </cell>
          <cell r="B137" t="str">
            <v>LM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2720.59</v>
          </cell>
        </row>
        <row r="138">
          <cell r="A138">
            <v>45858</v>
          </cell>
          <cell r="B138" t="str">
            <v>Refill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12000</v>
          </cell>
          <cell r="H138">
            <v>0</v>
          </cell>
        </row>
        <row r="139">
          <cell r="A139">
            <v>45858</v>
          </cell>
          <cell r="B139" t="str">
            <v>Andere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1848</v>
          </cell>
        </row>
        <row r="142">
          <cell r="A142">
            <v>45859</v>
          </cell>
          <cell r="B142" t="str">
            <v>LM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590</v>
          </cell>
        </row>
        <row r="143">
          <cell r="A143">
            <v>45859</v>
          </cell>
          <cell r="B143" t="str">
            <v>VM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415.74</v>
          </cell>
        </row>
        <row r="144">
          <cell r="A144">
            <v>45859</v>
          </cell>
          <cell r="B144" t="str">
            <v>LM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5000</v>
          </cell>
        </row>
        <row r="145">
          <cell r="A145">
            <v>45859</v>
          </cell>
          <cell r="B145" t="str">
            <v>none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120000</v>
          </cell>
        </row>
        <row r="149">
          <cell r="A149">
            <v>45860</v>
          </cell>
          <cell r="B149" t="str">
            <v>none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120000</v>
          </cell>
          <cell r="H149">
            <v>0</v>
          </cell>
        </row>
        <row r="150">
          <cell r="A150">
            <v>45860</v>
          </cell>
          <cell r="B150" t="str">
            <v>Andere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713</v>
          </cell>
        </row>
        <row r="156">
          <cell r="A156">
            <v>45861</v>
          </cell>
          <cell r="B156" t="str">
            <v>Andere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300</v>
          </cell>
        </row>
        <row r="163">
          <cell r="A163">
            <v>45862</v>
          </cell>
          <cell r="B163" t="str">
            <v>Andere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3000</v>
          </cell>
        </row>
        <row r="170">
          <cell r="A170">
            <v>45863</v>
          </cell>
          <cell r="B170" t="str">
            <v>Refill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110533.48</v>
          </cell>
          <cell r="H170">
            <v>0</v>
          </cell>
        </row>
        <row r="171">
          <cell r="A171">
            <v>45863</v>
          </cell>
          <cell r="B171" t="str">
            <v>Refill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4298.84</v>
          </cell>
          <cell r="H171">
            <v>0</v>
          </cell>
        </row>
        <row r="177">
          <cell r="A177">
            <v>45864</v>
          </cell>
          <cell r="B177" t="str">
            <v>Refill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25772.68</v>
          </cell>
          <cell r="H177">
            <v>0</v>
          </cell>
        </row>
        <row r="178">
          <cell r="A178">
            <v>45864</v>
          </cell>
          <cell r="B178" t="str">
            <v>LM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5000</v>
          </cell>
        </row>
        <row r="184">
          <cell r="A184">
            <v>45865</v>
          </cell>
          <cell r="B184" t="str">
            <v>Andere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1</v>
          </cell>
        </row>
        <row r="185">
          <cell r="A185">
            <v>45865</v>
          </cell>
          <cell r="B185" t="str">
            <v>Car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1036000</v>
          </cell>
        </row>
        <row r="212">
          <cell r="A212">
            <v>45869</v>
          </cell>
          <cell r="B212" t="str">
            <v>Car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526000</v>
          </cell>
        </row>
      </sheetData>
      <sheetData sheetId="58">
        <row r="8">
          <cell r="A8">
            <v>45870</v>
          </cell>
          <cell r="B8" t="str">
            <v>none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3000</v>
          </cell>
          <cell r="H8">
            <v>0</v>
          </cell>
        </row>
        <row r="9">
          <cell r="A9">
            <v>45871</v>
          </cell>
          <cell r="B9" t="str">
            <v>Andere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1990</v>
          </cell>
        </row>
        <row r="23">
          <cell r="A23">
            <v>45873</v>
          </cell>
          <cell r="B23" t="str">
            <v>Car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280000</v>
          </cell>
        </row>
        <row r="44">
          <cell r="A44">
            <v>45876</v>
          </cell>
          <cell r="B44" t="str">
            <v>none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500</v>
          </cell>
          <cell r="H44">
            <v>0</v>
          </cell>
        </row>
        <row r="45">
          <cell r="A45">
            <v>45876</v>
          </cell>
          <cell r="B45" t="str">
            <v>Frauen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947</v>
          </cell>
        </row>
        <row r="51">
          <cell r="A51">
            <v>45877</v>
          </cell>
          <cell r="B51" t="str">
            <v>Andere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249</v>
          </cell>
        </row>
        <row r="52">
          <cell r="A52">
            <v>45877</v>
          </cell>
          <cell r="B52" t="str">
            <v>Car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500</v>
          </cell>
        </row>
        <row r="53">
          <cell r="A53">
            <v>45877</v>
          </cell>
          <cell r="B53" t="str">
            <v>Refill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118235.52</v>
          </cell>
          <cell r="H53">
            <v>0</v>
          </cell>
        </row>
        <row r="58">
          <cell r="A58">
            <v>45878</v>
          </cell>
          <cell r="B58" t="str">
            <v>LM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1975.64</v>
          </cell>
        </row>
        <row r="59">
          <cell r="A59">
            <v>45878</v>
          </cell>
          <cell r="B59" t="str">
            <v>VM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148</v>
          </cell>
        </row>
        <row r="60">
          <cell r="A60">
            <v>45878</v>
          </cell>
          <cell r="B60" t="str">
            <v>Frauen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862</v>
          </cell>
        </row>
        <row r="65">
          <cell r="A65">
            <v>45879</v>
          </cell>
          <cell r="B65" t="str">
            <v>VM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207</v>
          </cell>
        </row>
        <row r="66">
          <cell r="A66">
            <v>45879</v>
          </cell>
          <cell r="B66" t="str">
            <v>LM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1878.72</v>
          </cell>
        </row>
        <row r="67">
          <cell r="A67">
            <v>45879</v>
          </cell>
          <cell r="B67" t="str">
            <v>for me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650</v>
          </cell>
        </row>
        <row r="72">
          <cell r="A72">
            <v>45880</v>
          </cell>
          <cell r="B72" t="str">
            <v>Andere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1272</v>
          </cell>
        </row>
        <row r="73">
          <cell r="A73">
            <v>45880</v>
          </cell>
          <cell r="B73" t="str">
            <v>LM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1181.97</v>
          </cell>
        </row>
        <row r="74">
          <cell r="A74">
            <v>45880</v>
          </cell>
          <cell r="B74" t="str">
            <v>VM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166</v>
          </cell>
        </row>
        <row r="79">
          <cell r="A79">
            <v>45881</v>
          </cell>
          <cell r="B79" t="str">
            <v>LM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259.95999999999998</v>
          </cell>
        </row>
        <row r="86">
          <cell r="A86">
            <v>45882</v>
          </cell>
          <cell r="B86" t="str">
            <v>VM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171</v>
          </cell>
        </row>
        <row r="87">
          <cell r="A87">
            <v>45882</v>
          </cell>
          <cell r="B87" t="str">
            <v>for me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1115</v>
          </cell>
        </row>
        <row r="88">
          <cell r="A88">
            <v>45882</v>
          </cell>
          <cell r="B88" t="str">
            <v>Andere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403</v>
          </cell>
        </row>
        <row r="89">
          <cell r="A89">
            <v>45882</v>
          </cell>
          <cell r="B89" t="str">
            <v>LM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700</v>
          </cell>
        </row>
        <row r="93">
          <cell r="A93">
            <v>45883</v>
          </cell>
          <cell r="B93" t="str">
            <v>VM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361.93</v>
          </cell>
        </row>
        <row r="94">
          <cell r="A94">
            <v>45883</v>
          </cell>
          <cell r="B94" t="str">
            <v>LM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1764.99</v>
          </cell>
        </row>
        <row r="95">
          <cell r="A95">
            <v>45883</v>
          </cell>
          <cell r="B95" t="str">
            <v>Andere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771</v>
          </cell>
        </row>
        <row r="96">
          <cell r="A96">
            <v>45883</v>
          </cell>
          <cell r="B96" t="str">
            <v>Refill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49884</v>
          </cell>
          <cell r="H96">
            <v>0</v>
          </cell>
        </row>
        <row r="100">
          <cell r="A100">
            <v>45884</v>
          </cell>
          <cell r="B100" t="str">
            <v>LM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6000</v>
          </cell>
        </row>
        <row r="101">
          <cell r="A101">
            <v>45884</v>
          </cell>
          <cell r="B101" t="str">
            <v>LM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1975</v>
          </cell>
        </row>
        <row r="102">
          <cell r="A102">
            <v>45884</v>
          </cell>
          <cell r="B102" t="str">
            <v>VM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144</v>
          </cell>
        </row>
        <row r="107">
          <cell r="A107">
            <v>45885</v>
          </cell>
          <cell r="B107" t="str">
            <v>Andere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389</v>
          </cell>
        </row>
        <row r="108">
          <cell r="A108">
            <v>45885</v>
          </cell>
          <cell r="B108" t="str">
            <v>Frauen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600</v>
          </cell>
        </row>
        <row r="109">
          <cell r="A109">
            <v>45885</v>
          </cell>
          <cell r="B109" t="str">
            <v>LM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671.97</v>
          </cell>
        </row>
        <row r="114">
          <cell r="A114">
            <v>45886</v>
          </cell>
          <cell r="B114" t="str">
            <v>Refill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12000</v>
          </cell>
          <cell r="H114">
            <v>0</v>
          </cell>
        </row>
        <row r="115">
          <cell r="A115">
            <v>45886</v>
          </cell>
          <cell r="B115" t="str">
            <v>LM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678</v>
          </cell>
        </row>
        <row r="116">
          <cell r="A116">
            <v>45886</v>
          </cell>
          <cell r="B116" t="str">
            <v>rent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64750</v>
          </cell>
        </row>
        <row r="117">
          <cell r="A117">
            <v>45886</v>
          </cell>
          <cell r="B117" t="str">
            <v>VM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74</v>
          </cell>
        </row>
        <row r="121">
          <cell r="A121">
            <v>45887</v>
          </cell>
          <cell r="B121" t="str">
            <v>VM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199</v>
          </cell>
        </row>
        <row r="122">
          <cell r="A122">
            <v>45887</v>
          </cell>
          <cell r="B122" t="str">
            <v>LM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1330.77</v>
          </cell>
        </row>
        <row r="123">
          <cell r="A123">
            <v>45887</v>
          </cell>
          <cell r="B123" t="str">
            <v>Andere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2017</v>
          </cell>
        </row>
        <row r="124">
          <cell r="A124">
            <v>45887</v>
          </cell>
          <cell r="B124" t="str">
            <v>for me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653</v>
          </cell>
        </row>
        <row r="128">
          <cell r="A128">
            <v>45888</v>
          </cell>
          <cell r="B128" t="str">
            <v>LM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819.94</v>
          </cell>
        </row>
        <row r="129">
          <cell r="A129">
            <v>45888</v>
          </cell>
          <cell r="B129" t="str">
            <v>VM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29</v>
          </cell>
        </row>
        <row r="135">
          <cell r="A135">
            <v>45889</v>
          </cell>
          <cell r="B135" t="str">
            <v>VM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170</v>
          </cell>
        </row>
        <row r="136">
          <cell r="A136">
            <v>45889</v>
          </cell>
          <cell r="B136" t="str">
            <v>none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820</v>
          </cell>
        </row>
        <row r="137">
          <cell r="A137">
            <v>45889</v>
          </cell>
          <cell r="B137" t="str">
            <v>LM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723.99</v>
          </cell>
        </row>
        <row r="138">
          <cell r="A138">
            <v>45889</v>
          </cell>
          <cell r="B138" t="str">
            <v>Andere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2694</v>
          </cell>
        </row>
        <row r="143">
          <cell r="A143">
            <v>45890</v>
          </cell>
          <cell r="B143" t="str">
            <v>Andere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1474</v>
          </cell>
        </row>
        <row r="144">
          <cell r="A144">
            <v>45890</v>
          </cell>
          <cell r="B144" t="str">
            <v>LM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679.96</v>
          </cell>
        </row>
        <row r="149">
          <cell r="A149">
            <v>45891</v>
          </cell>
          <cell r="B149" t="str">
            <v>VM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43</v>
          </cell>
        </row>
        <row r="150">
          <cell r="A150">
            <v>45891</v>
          </cell>
          <cell r="B150" t="str">
            <v>for me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1400</v>
          </cell>
        </row>
        <row r="151">
          <cell r="A151">
            <v>45891</v>
          </cell>
          <cell r="B151" t="str">
            <v>LM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1565.3400000000001</v>
          </cell>
        </row>
        <row r="156">
          <cell r="A156">
            <v>45892</v>
          </cell>
          <cell r="B156" t="str">
            <v>VM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239</v>
          </cell>
        </row>
        <row r="157">
          <cell r="A157">
            <v>45892</v>
          </cell>
          <cell r="B157" t="str">
            <v>LM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145.77000000000001</v>
          </cell>
        </row>
        <row r="163">
          <cell r="A163">
            <v>45893</v>
          </cell>
          <cell r="B163" t="str">
            <v>LM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533.78</v>
          </cell>
        </row>
        <row r="164">
          <cell r="A164">
            <v>45893</v>
          </cell>
          <cell r="B164" t="str">
            <v>for me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1929.86</v>
          </cell>
        </row>
        <row r="170">
          <cell r="A170">
            <v>45894</v>
          </cell>
          <cell r="B170" t="str">
            <v>Refill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122851.97</v>
          </cell>
          <cell r="H170">
            <v>0</v>
          </cell>
        </row>
        <row r="171">
          <cell r="A171">
            <v>45894</v>
          </cell>
          <cell r="B171" t="str">
            <v>Andere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20000</v>
          </cell>
        </row>
        <row r="184">
          <cell r="A184">
            <v>45896</v>
          </cell>
          <cell r="B184" t="str">
            <v>Frauen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432</v>
          </cell>
        </row>
        <row r="185">
          <cell r="A185">
            <v>45896</v>
          </cell>
          <cell r="B185" t="str">
            <v>Andere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9023</v>
          </cell>
        </row>
        <row r="198">
          <cell r="A198">
            <v>45898</v>
          </cell>
          <cell r="B198" t="str">
            <v>Frauen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5265</v>
          </cell>
        </row>
        <row r="205">
          <cell r="A205">
            <v>45899</v>
          </cell>
          <cell r="B205" t="str">
            <v>Car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85000</v>
          </cell>
        </row>
        <row r="212">
          <cell r="A212">
            <v>45900</v>
          </cell>
          <cell r="B212" t="str">
            <v>CarMaint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12174.94</v>
          </cell>
        </row>
      </sheetData>
      <sheetData sheetId="59">
        <row r="9">
          <cell r="A9">
            <v>45902</v>
          </cell>
          <cell r="B9" t="str">
            <v>Andere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1490</v>
          </cell>
        </row>
        <row r="10">
          <cell r="A10">
            <v>45902</v>
          </cell>
          <cell r="B10" t="str">
            <v>Refill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53698.37</v>
          </cell>
          <cell r="H10">
            <v>0</v>
          </cell>
        </row>
        <row r="16">
          <cell r="A16">
            <v>45903</v>
          </cell>
          <cell r="B16" t="str">
            <v>Frauen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500</v>
          </cell>
        </row>
        <row r="23">
          <cell r="A23">
            <v>45904</v>
          </cell>
          <cell r="B23" t="str">
            <v>Andere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3039</v>
          </cell>
        </row>
        <row r="30">
          <cell r="A30">
            <v>45905</v>
          </cell>
          <cell r="B30" t="str">
            <v>CarMaint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11017</v>
          </cell>
        </row>
        <row r="31">
          <cell r="A31">
            <v>45905</v>
          </cell>
          <cell r="B31" t="str">
            <v>VM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74</v>
          </cell>
        </row>
        <row r="32">
          <cell r="A32">
            <v>45905</v>
          </cell>
          <cell r="B32" t="str">
            <v>CarMaint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2800</v>
          </cell>
        </row>
        <row r="33">
          <cell r="A33">
            <v>45905</v>
          </cell>
          <cell r="B33" t="str">
            <v>Fuel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4169.51</v>
          </cell>
        </row>
        <row r="34">
          <cell r="A34">
            <v>45905</v>
          </cell>
          <cell r="B34" t="str">
            <v>CarMaint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5680</v>
          </cell>
        </row>
        <row r="37">
          <cell r="A37">
            <v>45906</v>
          </cell>
          <cell r="B37" t="str">
            <v>Andere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2800.96</v>
          </cell>
        </row>
        <row r="38">
          <cell r="A38">
            <v>45906</v>
          </cell>
          <cell r="B38" t="str">
            <v>LM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570</v>
          </cell>
        </row>
        <row r="39">
          <cell r="A39">
            <v>45906</v>
          </cell>
          <cell r="B39" t="str">
            <v>Andere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20000</v>
          </cell>
        </row>
        <row r="40">
          <cell r="A40">
            <v>45906</v>
          </cell>
          <cell r="B40" t="str">
            <v>none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0.72</v>
          </cell>
        </row>
        <row r="44">
          <cell r="A44">
            <v>45907</v>
          </cell>
          <cell r="B44" t="str">
            <v>LM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3102.25</v>
          </cell>
        </row>
        <row r="45">
          <cell r="A45">
            <v>45907</v>
          </cell>
          <cell r="B45" t="str">
            <v>Frauen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1370</v>
          </cell>
        </row>
        <row r="46">
          <cell r="A46">
            <v>45907</v>
          </cell>
          <cell r="B46" t="str">
            <v>Andere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789</v>
          </cell>
        </row>
        <row r="47">
          <cell r="A47">
            <v>45907</v>
          </cell>
          <cell r="B47" t="str">
            <v>for me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3795</v>
          </cell>
        </row>
        <row r="48">
          <cell r="A48">
            <v>45907</v>
          </cell>
          <cell r="B48" t="str">
            <v>VM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89</v>
          </cell>
        </row>
        <row r="51">
          <cell r="A51">
            <v>45908</v>
          </cell>
          <cell r="B51" t="str">
            <v>Andere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249</v>
          </cell>
        </row>
        <row r="52">
          <cell r="A52">
            <v>45908</v>
          </cell>
          <cell r="B52" t="str">
            <v>LM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490</v>
          </cell>
        </row>
        <row r="53">
          <cell r="A53">
            <v>45908</v>
          </cell>
          <cell r="B53" t="str">
            <v>VM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1328</v>
          </cell>
        </row>
        <row r="65">
          <cell r="A65">
            <v>45910</v>
          </cell>
          <cell r="B65" t="str">
            <v>Refill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107525.48</v>
          </cell>
          <cell r="H65">
            <v>0</v>
          </cell>
        </row>
        <row r="79">
          <cell r="A79">
            <v>45912</v>
          </cell>
          <cell r="B79" t="str">
            <v>Andere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299</v>
          </cell>
        </row>
        <row r="107">
          <cell r="A107">
            <v>45916</v>
          </cell>
          <cell r="B107" t="str">
            <v>LM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2023.95</v>
          </cell>
        </row>
        <row r="108">
          <cell r="A108">
            <v>45916</v>
          </cell>
          <cell r="B108" t="str">
            <v>CarMaint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13060</v>
          </cell>
        </row>
        <row r="109">
          <cell r="A109">
            <v>45916</v>
          </cell>
          <cell r="B109" t="str">
            <v>CarMaint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654</v>
          </cell>
        </row>
        <row r="110">
          <cell r="A110">
            <v>45916</v>
          </cell>
          <cell r="B110" t="str">
            <v>LM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149</v>
          </cell>
        </row>
        <row r="111">
          <cell r="A111">
            <v>45916</v>
          </cell>
          <cell r="B111" t="str">
            <v>Refill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12000</v>
          </cell>
          <cell r="H111">
            <v>0</v>
          </cell>
        </row>
        <row r="112">
          <cell r="A112">
            <v>45916</v>
          </cell>
          <cell r="B112" t="str">
            <v>Refill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28200</v>
          </cell>
          <cell r="H112">
            <v>0</v>
          </cell>
        </row>
        <row r="113">
          <cell r="A113">
            <v>45916</v>
          </cell>
          <cell r="B113" t="str">
            <v>VM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1506</v>
          </cell>
        </row>
        <row r="114">
          <cell r="A114">
            <v>45917</v>
          </cell>
          <cell r="B114" t="str">
            <v>rent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55000</v>
          </cell>
        </row>
        <row r="115">
          <cell r="A115">
            <v>45917</v>
          </cell>
          <cell r="B115" t="str">
            <v>Frauen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500</v>
          </cell>
        </row>
        <row r="116">
          <cell r="A116">
            <v>45917</v>
          </cell>
          <cell r="B116" t="str">
            <v>CarMaint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100</v>
          </cell>
        </row>
        <row r="117">
          <cell r="A117">
            <v>45917</v>
          </cell>
          <cell r="B117" t="str">
            <v>LM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5422.79</v>
          </cell>
        </row>
        <row r="121">
          <cell r="A121">
            <v>45918</v>
          </cell>
          <cell r="B121" t="str">
            <v>CarMaint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67320</v>
          </cell>
        </row>
        <row r="128">
          <cell r="A128">
            <v>45919</v>
          </cell>
          <cell r="B128" t="str">
            <v>LM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299.08</v>
          </cell>
        </row>
        <row r="129">
          <cell r="A129">
            <v>45919</v>
          </cell>
          <cell r="B129" t="str">
            <v>VM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148</v>
          </cell>
        </row>
        <row r="135">
          <cell r="A135">
            <v>45920</v>
          </cell>
          <cell r="B135" t="str">
            <v>LM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959.77</v>
          </cell>
        </row>
        <row r="142">
          <cell r="A142">
            <v>45921</v>
          </cell>
          <cell r="B142" t="str">
            <v>LM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636.83000000000004</v>
          </cell>
        </row>
        <row r="149">
          <cell r="A149">
            <v>45922</v>
          </cell>
          <cell r="B149" t="str">
            <v>LM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2761.9700000000003</v>
          </cell>
        </row>
        <row r="150">
          <cell r="A150">
            <v>45922</v>
          </cell>
          <cell r="B150" t="str">
            <v>VM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148</v>
          </cell>
        </row>
        <row r="151">
          <cell r="A151">
            <v>45922</v>
          </cell>
          <cell r="B151" t="str">
            <v>CarMaint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1096</v>
          </cell>
        </row>
        <row r="156">
          <cell r="A156">
            <v>45923</v>
          </cell>
          <cell r="B156" t="str">
            <v>none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5000</v>
          </cell>
          <cell r="H156">
            <v>0</v>
          </cell>
        </row>
        <row r="157">
          <cell r="A157">
            <v>45923</v>
          </cell>
          <cell r="B157" t="str">
            <v>CarMaint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3000</v>
          </cell>
        </row>
        <row r="158">
          <cell r="A158">
            <v>45923</v>
          </cell>
          <cell r="B158" t="str">
            <v>CarMaint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2345</v>
          </cell>
        </row>
        <row r="159">
          <cell r="A159">
            <v>45923</v>
          </cell>
          <cell r="B159" t="str">
            <v>CarMaint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1450</v>
          </cell>
        </row>
        <row r="160">
          <cell r="A160">
            <v>45923</v>
          </cell>
          <cell r="B160" t="str">
            <v>LM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399.96000000000004</v>
          </cell>
        </row>
        <row r="163">
          <cell r="A163">
            <v>45924</v>
          </cell>
          <cell r="B163" t="str">
            <v>Car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85000</v>
          </cell>
        </row>
        <row r="164">
          <cell r="A164">
            <v>45924</v>
          </cell>
          <cell r="B164" t="str">
            <v>CarMaint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730</v>
          </cell>
        </row>
        <row r="165">
          <cell r="A165">
            <v>45924</v>
          </cell>
          <cell r="B165" t="str">
            <v>LM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3836.79</v>
          </cell>
        </row>
        <row r="166">
          <cell r="A166">
            <v>45924</v>
          </cell>
          <cell r="B166" t="str">
            <v>CarMaint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100</v>
          </cell>
        </row>
        <row r="167">
          <cell r="A167">
            <v>45924</v>
          </cell>
          <cell r="B167" t="str">
            <v>for me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22000</v>
          </cell>
        </row>
        <row r="170">
          <cell r="A170">
            <v>45925</v>
          </cell>
          <cell r="B170" t="str">
            <v>Refill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61583.28</v>
          </cell>
          <cell r="H170">
            <v>0</v>
          </cell>
        </row>
        <row r="171">
          <cell r="A171">
            <v>45925</v>
          </cell>
          <cell r="B171" t="str">
            <v>Fuel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2730</v>
          </cell>
        </row>
        <row r="172">
          <cell r="A172">
            <v>45925</v>
          </cell>
          <cell r="B172" t="str">
            <v>Frauen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1200</v>
          </cell>
        </row>
        <row r="173">
          <cell r="A173">
            <v>45925</v>
          </cell>
          <cell r="B173" t="str">
            <v>LM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650</v>
          </cell>
        </row>
        <row r="174">
          <cell r="A174">
            <v>45925</v>
          </cell>
          <cell r="B174" t="str">
            <v>Refill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4016.65</v>
          </cell>
          <cell r="H174">
            <v>0</v>
          </cell>
        </row>
        <row r="191">
          <cell r="A191">
            <v>45928</v>
          </cell>
          <cell r="B191" t="str">
            <v>Andere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40</v>
          </cell>
        </row>
        <row r="192">
          <cell r="A192">
            <v>45928</v>
          </cell>
          <cell r="B192" t="str">
            <v>LM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1476.92</v>
          </cell>
        </row>
        <row r="193">
          <cell r="A193">
            <v>45928</v>
          </cell>
          <cell r="B193" t="str">
            <v>CarMaint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500</v>
          </cell>
        </row>
        <row r="198">
          <cell r="A198">
            <v>45929</v>
          </cell>
          <cell r="B198" t="str">
            <v>LM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5000</v>
          </cell>
        </row>
        <row r="199">
          <cell r="A199">
            <v>45929</v>
          </cell>
          <cell r="B199" t="str">
            <v>Frauen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7600</v>
          </cell>
        </row>
        <row r="205">
          <cell r="A205">
            <v>45930</v>
          </cell>
          <cell r="B205" t="str">
            <v>LM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5000</v>
          </cell>
        </row>
        <row r="206">
          <cell r="A206">
            <v>45930</v>
          </cell>
          <cell r="B206" t="str">
            <v>Frauen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571</v>
          </cell>
        </row>
      </sheetData>
      <sheetData sheetId="60">
        <row r="4">
          <cell r="A4">
            <v>45931</v>
          </cell>
          <cell r="B4" t="str">
            <v>Andere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1000</v>
          </cell>
        </row>
        <row r="23">
          <cell r="A23">
            <v>45934</v>
          </cell>
          <cell r="B23" t="str">
            <v>CarMaint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800</v>
          </cell>
        </row>
        <row r="37">
          <cell r="A37">
            <v>45936</v>
          </cell>
          <cell r="B37" t="str">
            <v>Andere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108</v>
          </cell>
        </row>
        <row r="38">
          <cell r="A38">
            <v>45936</v>
          </cell>
          <cell r="B38" t="str">
            <v>Frauen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525</v>
          </cell>
        </row>
        <row r="44">
          <cell r="A44">
            <v>45937</v>
          </cell>
          <cell r="B44" t="str">
            <v>LM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3800</v>
          </cell>
        </row>
        <row r="58">
          <cell r="A58">
            <v>45939</v>
          </cell>
          <cell r="B58" t="str">
            <v>Andere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249</v>
          </cell>
        </row>
        <row r="65">
          <cell r="A65">
            <v>45940</v>
          </cell>
          <cell r="B65" t="str">
            <v>CarMaint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373</v>
          </cell>
        </row>
        <row r="66">
          <cell r="A66">
            <v>45940</v>
          </cell>
          <cell r="B66" t="str">
            <v>Andere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2918</v>
          </cell>
        </row>
        <row r="67">
          <cell r="A67">
            <v>45940</v>
          </cell>
          <cell r="B67" t="str">
            <v>Refill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112901.5</v>
          </cell>
          <cell r="H67">
            <v>0</v>
          </cell>
        </row>
        <row r="68">
          <cell r="A68">
            <v>45940</v>
          </cell>
          <cell r="B68" t="str">
            <v>Frauen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3804.6499999999996</v>
          </cell>
        </row>
        <row r="69">
          <cell r="A69">
            <v>45940</v>
          </cell>
          <cell r="B69" t="str">
            <v>for me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4000</v>
          </cell>
        </row>
        <row r="72">
          <cell r="A72">
            <v>45941</v>
          </cell>
          <cell r="B72" t="str">
            <v>Frauen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12120</v>
          </cell>
        </row>
        <row r="73">
          <cell r="A73">
            <v>45941</v>
          </cell>
          <cell r="B73" t="str">
            <v>LM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144.99</v>
          </cell>
        </row>
        <row r="79">
          <cell r="A79">
            <v>45942</v>
          </cell>
          <cell r="B79" t="str">
            <v>Frauen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89</v>
          </cell>
        </row>
        <row r="80">
          <cell r="A80">
            <v>45942</v>
          </cell>
          <cell r="B80" t="str">
            <v>LM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135</v>
          </cell>
        </row>
        <row r="81">
          <cell r="A81">
            <v>45942</v>
          </cell>
          <cell r="B81" t="str">
            <v>LM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5245.69</v>
          </cell>
        </row>
        <row r="82">
          <cell r="A82">
            <v>45942</v>
          </cell>
          <cell r="B82" t="str">
            <v>CarMaint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100</v>
          </cell>
        </row>
        <row r="83">
          <cell r="A83">
            <v>45942</v>
          </cell>
          <cell r="B83" t="str">
            <v>Fuel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2065</v>
          </cell>
        </row>
        <row r="86">
          <cell r="A86">
            <v>45943</v>
          </cell>
          <cell r="B86" t="str">
            <v>for me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4701</v>
          </cell>
        </row>
        <row r="93">
          <cell r="A93">
            <v>45944</v>
          </cell>
          <cell r="B93" t="str">
            <v>CarMaint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20330</v>
          </cell>
        </row>
        <row r="94">
          <cell r="A94">
            <v>45944</v>
          </cell>
          <cell r="B94" t="str">
            <v>LM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624.16</v>
          </cell>
        </row>
        <row r="95">
          <cell r="A95">
            <v>45944</v>
          </cell>
          <cell r="B95" t="str">
            <v>CarMaint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26740</v>
          </cell>
        </row>
        <row r="96">
          <cell r="A96">
            <v>45944</v>
          </cell>
          <cell r="B96" t="str">
            <v>Refill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25000</v>
          </cell>
          <cell r="H96">
            <v>0</v>
          </cell>
        </row>
        <row r="97">
          <cell r="A97">
            <v>45944</v>
          </cell>
          <cell r="B97" t="str">
            <v>CarMaint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783</v>
          </cell>
        </row>
        <row r="100">
          <cell r="A100">
            <v>45945</v>
          </cell>
          <cell r="B100" t="str">
            <v>Refill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27749.02</v>
          </cell>
          <cell r="H100">
            <v>0</v>
          </cell>
        </row>
        <row r="101">
          <cell r="A101">
            <v>45945</v>
          </cell>
          <cell r="B101" t="str">
            <v>CarMaint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562.5</v>
          </cell>
        </row>
        <row r="102">
          <cell r="A102">
            <v>45945</v>
          </cell>
          <cell r="B102" t="str">
            <v>for me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4608</v>
          </cell>
        </row>
        <row r="107">
          <cell r="A107">
            <v>45946</v>
          </cell>
          <cell r="B107" t="str">
            <v>LM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552.94000000000005</v>
          </cell>
        </row>
        <row r="114">
          <cell r="A114">
            <v>45947</v>
          </cell>
          <cell r="B114" t="str">
            <v>rent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55000</v>
          </cell>
        </row>
        <row r="115">
          <cell r="A115">
            <v>45947</v>
          </cell>
          <cell r="B115" t="str">
            <v>LM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2950.92</v>
          </cell>
        </row>
        <row r="116">
          <cell r="A116">
            <v>45947</v>
          </cell>
          <cell r="B116" t="str">
            <v>Frauen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66.39</v>
          </cell>
        </row>
        <row r="117">
          <cell r="A117">
            <v>45947</v>
          </cell>
          <cell r="B117" t="str">
            <v>VM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176.94</v>
          </cell>
        </row>
        <row r="121">
          <cell r="A121">
            <v>45948</v>
          </cell>
          <cell r="B121" t="str">
            <v>Refill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12000</v>
          </cell>
          <cell r="H121">
            <v>0</v>
          </cell>
        </row>
        <row r="122">
          <cell r="A122">
            <v>45948</v>
          </cell>
          <cell r="B122" t="str">
            <v>Frauen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3678</v>
          </cell>
        </row>
        <row r="123">
          <cell r="A123">
            <v>45948</v>
          </cell>
          <cell r="B123" t="str">
            <v>Andere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3000</v>
          </cell>
        </row>
        <row r="124">
          <cell r="A124">
            <v>45948</v>
          </cell>
          <cell r="B124" t="str">
            <v>CarMaint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40</v>
          </cell>
        </row>
        <row r="125">
          <cell r="A125">
            <v>45948</v>
          </cell>
          <cell r="B125" t="str">
            <v>Fuel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2074</v>
          </cell>
        </row>
        <row r="126">
          <cell r="A126">
            <v>45948</v>
          </cell>
          <cell r="B126" t="str">
            <v>LM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209.98</v>
          </cell>
        </row>
        <row r="128">
          <cell r="A128">
            <v>45949</v>
          </cell>
          <cell r="B128" t="str">
            <v>LM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1000</v>
          </cell>
        </row>
        <row r="129">
          <cell r="A129">
            <v>45949</v>
          </cell>
          <cell r="B129" t="str">
            <v>Andere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225</v>
          </cell>
        </row>
        <row r="130">
          <cell r="A130">
            <v>45949</v>
          </cell>
          <cell r="B130" t="str">
            <v>LM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251.96</v>
          </cell>
        </row>
        <row r="135">
          <cell r="A135">
            <v>45950</v>
          </cell>
          <cell r="B135" t="str">
            <v>LM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716</v>
          </cell>
        </row>
        <row r="136">
          <cell r="A136">
            <v>45950</v>
          </cell>
          <cell r="B136" t="str">
            <v>Frauen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1000</v>
          </cell>
        </row>
        <row r="142">
          <cell r="A142">
            <v>45951</v>
          </cell>
          <cell r="B142" t="str">
            <v>LM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587</v>
          </cell>
        </row>
        <row r="149">
          <cell r="A149">
            <v>45952</v>
          </cell>
          <cell r="B149" t="str">
            <v>LM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4440.95</v>
          </cell>
        </row>
        <row r="150">
          <cell r="A150">
            <v>45952</v>
          </cell>
          <cell r="B150" t="str">
            <v>CarMaint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100</v>
          </cell>
        </row>
        <row r="151">
          <cell r="A151">
            <v>45952</v>
          </cell>
          <cell r="B151" t="str">
            <v>CarMaint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690</v>
          </cell>
        </row>
        <row r="156">
          <cell r="A156">
            <v>45953</v>
          </cell>
          <cell r="B156" t="str">
            <v>LM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838</v>
          </cell>
        </row>
        <row r="157">
          <cell r="A157">
            <v>45953</v>
          </cell>
          <cell r="B157" t="str">
            <v>VM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1</v>
          </cell>
        </row>
        <row r="163">
          <cell r="A163">
            <v>45954</v>
          </cell>
          <cell r="B163" t="str">
            <v>Andere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1181</v>
          </cell>
        </row>
        <row r="164">
          <cell r="A164">
            <v>45954</v>
          </cell>
          <cell r="B164" t="str">
            <v>for me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31140</v>
          </cell>
        </row>
        <row r="165">
          <cell r="A165">
            <v>45954</v>
          </cell>
          <cell r="B165" t="str">
            <v>Refill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107992.48</v>
          </cell>
          <cell r="H165">
            <v>0</v>
          </cell>
        </row>
        <row r="166">
          <cell r="A166">
            <v>45954</v>
          </cell>
          <cell r="B166" t="str">
            <v>LM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920.96</v>
          </cell>
        </row>
        <row r="170">
          <cell r="A170">
            <v>45955</v>
          </cell>
          <cell r="B170" t="str">
            <v>Refill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2637.6</v>
          </cell>
          <cell r="H170">
            <v>0</v>
          </cell>
        </row>
        <row r="171">
          <cell r="A171">
            <v>45955</v>
          </cell>
          <cell r="B171" t="str">
            <v>LM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468.95</v>
          </cell>
        </row>
        <row r="177">
          <cell r="A177">
            <v>45956</v>
          </cell>
          <cell r="B177" t="str">
            <v>Fuel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7940</v>
          </cell>
        </row>
        <row r="178">
          <cell r="A178">
            <v>45956</v>
          </cell>
          <cell r="B178" t="str">
            <v>CarMaint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360</v>
          </cell>
        </row>
        <row r="179">
          <cell r="A179">
            <v>45956</v>
          </cell>
          <cell r="B179" t="str">
            <v>LM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220</v>
          </cell>
        </row>
        <row r="180">
          <cell r="A180">
            <v>45956</v>
          </cell>
          <cell r="B180" t="str">
            <v>LM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294</v>
          </cell>
        </row>
        <row r="184">
          <cell r="A184">
            <v>45957</v>
          </cell>
          <cell r="B184" t="str">
            <v>for me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1000</v>
          </cell>
        </row>
        <row r="185">
          <cell r="A185">
            <v>45957</v>
          </cell>
          <cell r="B185" t="str">
            <v>Andere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221</v>
          </cell>
        </row>
        <row r="191">
          <cell r="A191">
            <v>45958</v>
          </cell>
          <cell r="B191" t="str">
            <v>LM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861.98</v>
          </cell>
        </row>
        <row r="198">
          <cell r="A198">
            <v>45959</v>
          </cell>
          <cell r="B198" t="str">
            <v>Frauen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2677</v>
          </cell>
        </row>
        <row r="199">
          <cell r="A199">
            <v>45959</v>
          </cell>
          <cell r="B199" t="str">
            <v>none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211.72000000000003</v>
          </cell>
          <cell r="H199">
            <v>0</v>
          </cell>
        </row>
        <row r="200">
          <cell r="A200">
            <v>45959</v>
          </cell>
          <cell r="B200" t="str">
            <v>none</v>
          </cell>
          <cell r="C200">
            <v>0</v>
          </cell>
          <cell r="D200">
            <v>400</v>
          </cell>
          <cell r="E200">
            <v>0</v>
          </cell>
          <cell r="F200">
            <v>0</v>
          </cell>
          <cell r="G200">
            <v>400</v>
          </cell>
          <cell r="H200">
            <v>0</v>
          </cell>
        </row>
        <row r="205">
          <cell r="A205">
            <v>45960</v>
          </cell>
          <cell r="B205" t="str">
            <v>Car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85000</v>
          </cell>
        </row>
        <row r="206">
          <cell r="A206">
            <v>45960</v>
          </cell>
          <cell r="B206" t="str">
            <v>for me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5000</v>
          </cell>
        </row>
        <row r="207">
          <cell r="A207">
            <v>45960</v>
          </cell>
          <cell r="B207" t="str">
            <v>LM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290</v>
          </cell>
        </row>
        <row r="212">
          <cell r="A212">
            <v>45961</v>
          </cell>
          <cell r="B212" t="str">
            <v>CarMaint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250</v>
          </cell>
        </row>
        <row r="213">
          <cell r="A213">
            <v>45961</v>
          </cell>
          <cell r="B213" t="str">
            <v>LM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283.98</v>
          </cell>
        </row>
      </sheetData>
      <sheetData sheetId="61">
        <row r="5">
          <cell r="A5">
            <v>45962</v>
          </cell>
          <cell r="B5" t="str">
            <v>for me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6250</v>
          </cell>
        </row>
        <row r="9">
          <cell r="A9">
            <v>45963</v>
          </cell>
          <cell r="B9" t="str">
            <v>LM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754.92</v>
          </cell>
        </row>
        <row r="10">
          <cell r="A10">
            <v>45963</v>
          </cell>
          <cell r="B10" t="str">
            <v>Frauen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500</v>
          </cell>
        </row>
        <row r="16">
          <cell r="A16">
            <v>45964</v>
          </cell>
          <cell r="B16" t="str">
            <v>CarMaint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2812</v>
          </cell>
        </row>
        <row r="17">
          <cell r="A17">
            <v>45964</v>
          </cell>
          <cell r="B17" t="str">
            <v>Andere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279</v>
          </cell>
        </row>
        <row r="23">
          <cell r="A23">
            <v>45965</v>
          </cell>
          <cell r="B23" t="str">
            <v>Fuel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4792</v>
          </cell>
        </row>
        <row r="24">
          <cell r="A24">
            <v>45965</v>
          </cell>
          <cell r="B24" t="str">
            <v>CarMaint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360</v>
          </cell>
        </row>
        <row r="25">
          <cell r="A25">
            <v>45965</v>
          </cell>
          <cell r="B25" t="str">
            <v>Frauen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3186</v>
          </cell>
        </row>
        <row r="26">
          <cell r="A26">
            <v>45965</v>
          </cell>
          <cell r="B26" t="str">
            <v>LM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239.97</v>
          </cell>
        </row>
        <row r="30">
          <cell r="A30">
            <v>45966</v>
          </cell>
          <cell r="B30" t="str">
            <v>LM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5945.77</v>
          </cell>
        </row>
        <row r="44">
          <cell r="A44">
            <v>45968</v>
          </cell>
          <cell r="B44" t="str">
            <v>Andere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2120</v>
          </cell>
        </row>
        <row r="46">
          <cell r="A46">
            <v>45968</v>
          </cell>
          <cell r="B46" t="str">
            <v>Party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48.779999999999745</v>
          </cell>
        </row>
        <row r="51">
          <cell r="A51">
            <v>45969</v>
          </cell>
          <cell r="B51" t="str">
            <v>LM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1220.21</v>
          </cell>
        </row>
        <row r="52">
          <cell r="A52">
            <v>45969</v>
          </cell>
          <cell r="B52" t="str">
            <v>CarMaint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1623</v>
          </cell>
        </row>
        <row r="58">
          <cell r="A58">
            <v>45970</v>
          </cell>
          <cell r="B58" t="str">
            <v>Andere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249</v>
          </cell>
        </row>
        <row r="59">
          <cell r="A59">
            <v>45970</v>
          </cell>
          <cell r="B59" t="str">
            <v>Fuel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2095</v>
          </cell>
        </row>
        <row r="60">
          <cell r="A60">
            <v>45970</v>
          </cell>
          <cell r="B60" t="str">
            <v>LM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309</v>
          </cell>
        </row>
        <row r="65">
          <cell r="A65">
            <v>45971</v>
          </cell>
          <cell r="B65" t="str">
            <v>Andere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1038</v>
          </cell>
        </row>
        <row r="66">
          <cell r="A66">
            <v>45971</v>
          </cell>
          <cell r="B66" t="str">
            <v>Andere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1000</v>
          </cell>
        </row>
        <row r="67">
          <cell r="A67">
            <v>45971</v>
          </cell>
          <cell r="B67" t="str">
            <v>Refill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117810.52</v>
          </cell>
          <cell r="H67">
            <v>0</v>
          </cell>
        </row>
        <row r="68">
          <cell r="A68">
            <v>45971</v>
          </cell>
          <cell r="B68" t="str">
            <v>for me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3920</v>
          </cell>
        </row>
        <row r="72">
          <cell r="A72">
            <v>45972</v>
          </cell>
          <cell r="B72" t="str">
            <v>CarMaint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100</v>
          </cell>
        </row>
        <row r="73">
          <cell r="A73">
            <v>45972</v>
          </cell>
          <cell r="B73" t="str">
            <v>none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10000</v>
          </cell>
          <cell r="H73">
            <v>0</v>
          </cell>
        </row>
        <row r="74">
          <cell r="A74">
            <v>45972</v>
          </cell>
          <cell r="B74" t="str">
            <v>LM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639</v>
          </cell>
        </row>
        <row r="79">
          <cell r="A79">
            <v>45973</v>
          </cell>
          <cell r="B79" t="str">
            <v>Frauen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1000</v>
          </cell>
        </row>
        <row r="80">
          <cell r="A80">
            <v>45973</v>
          </cell>
          <cell r="B80" t="str">
            <v>CarMaint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200</v>
          </cell>
        </row>
        <row r="86">
          <cell r="A86">
            <v>45974</v>
          </cell>
          <cell r="B86" t="str">
            <v>LM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249.99</v>
          </cell>
        </row>
        <row r="87">
          <cell r="A87">
            <v>45974</v>
          </cell>
          <cell r="B87" t="str">
            <v>for me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5000</v>
          </cell>
        </row>
        <row r="93">
          <cell r="A93">
            <v>45975</v>
          </cell>
          <cell r="B93" t="str">
            <v>Frauen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239</v>
          </cell>
        </row>
        <row r="94">
          <cell r="A94">
            <v>45975</v>
          </cell>
          <cell r="B94" t="str">
            <v>LM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1509.58</v>
          </cell>
        </row>
        <row r="95">
          <cell r="A95">
            <v>45975</v>
          </cell>
          <cell r="B95" t="str">
            <v>Andere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265</v>
          </cell>
        </row>
        <row r="100">
          <cell r="A100">
            <v>45976</v>
          </cell>
          <cell r="B100" t="str">
            <v>Andere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478</v>
          </cell>
        </row>
        <row r="101">
          <cell r="A101">
            <v>45976</v>
          </cell>
          <cell r="B101" t="str">
            <v>Frauen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239</v>
          </cell>
        </row>
        <row r="102">
          <cell r="A102">
            <v>45976</v>
          </cell>
          <cell r="B102" t="str">
            <v>LM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504.85</v>
          </cell>
        </row>
        <row r="103">
          <cell r="A103">
            <v>45976</v>
          </cell>
          <cell r="B103" t="str">
            <v>Andere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485.99</v>
          </cell>
        </row>
        <row r="107">
          <cell r="A107">
            <v>45977</v>
          </cell>
          <cell r="B107" t="str">
            <v>LM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10846.83</v>
          </cell>
        </row>
        <row r="108">
          <cell r="A108">
            <v>45977</v>
          </cell>
          <cell r="B108" t="str">
            <v>CarMaint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517</v>
          </cell>
        </row>
        <row r="114">
          <cell r="A114">
            <v>45978</v>
          </cell>
          <cell r="B114" t="str">
            <v>Refill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12984.89</v>
          </cell>
          <cell r="H114">
            <v>0</v>
          </cell>
        </row>
        <row r="115">
          <cell r="A115">
            <v>45978</v>
          </cell>
          <cell r="B115" t="str">
            <v>rent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62823</v>
          </cell>
        </row>
        <row r="121">
          <cell r="A121">
            <v>45979</v>
          </cell>
          <cell r="B121" t="str">
            <v>Refill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33000</v>
          </cell>
          <cell r="H121">
            <v>0</v>
          </cell>
        </row>
        <row r="128">
          <cell r="A128">
            <v>45980</v>
          </cell>
          <cell r="B128" t="str">
            <v>Andere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3000</v>
          </cell>
        </row>
        <row r="129">
          <cell r="A129">
            <v>45980</v>
          </cell>
          <cell r="B129" t="str">
            <v>Frauen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525</v>
          </cell>
        </row>
        <row r="142">
          <cell r="A142">
            <v>45982</v>
          </cell>
          <cell r="B142" t="str">
            <v>Car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85000</v>
          </cell>
        </row>
        <row r="149">
          <cell r="A149">
            <v>45983</v>
          </cell>
          <cell r="B149" t="str">
            <v>Frauen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1000</v>
          </cell>
        </row>
        <row r="156">
          <cell r="A156">
            <v>45984</v>
          </cell>
          <cell r="B156" t="str">
            <v>CarMaint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1125</v>
          </cell>
        </row>
        <row r="157">
          <cell r="A157">
            <v>45984</v>
          </cell>
          <cell r="B157" t="str">
            <v>Andere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564</v>
          </cell>
        </row>
        <row r="158">
          <cell r="A158">
            <v>45984</v>
          </cell>
          <cell r="B158" t="str">
            <v>Frauen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3579</v>
          </cell>
        </row>
        <row r="163">
          <cell r="A163">
            <v>45985</v>
          </cell>
          <cell r="B163" t="str">
            <v>Frauen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16595.400000000001</v>
          </cell>
        </row>
        <row r="170">
          <cell r="A170">
            <v>45986</v>
          </cell>
          <cell r="B170" t="str">
            <v>Refill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2575.4</v>
          </cell>
          <cell r="H170">
            <v>0</v>
          </cell>
        </row>
        <row r="171">
          <cell r="A171">
            <v>45986</v>
          </cell>
          <cell r="B171" t="str">
            <v>Refill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106959.69</v>
          </cell>
          <cell r="H171">
            <v>0</v>
          </cell>
        </row>
        <row r="172">
          <cell r="A172">
            <v>45986</v>
          </cell>
          <cell r="B172" t="str">
            <v>CarMaint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1101</v>
          </cell>
        </row>
        <row r="184">
          <cell r="A184">
            <v>45988</v>
          </cell>
          <cell r="B184" t="str">
            <v>Andere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195</v>
          </cell>
        </row>
        <row r="191">
          <cell r="A191">
            <v>45989</v>
          </cell>
          <cell r="B191" t="str">
            <v>Andere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571</v>
          </cell>
        </row>
        <row r="192">
          <cell r="A192">
            <v>45989</v>
          </cell>
          <cell r="B192" t="str">
            <v>Frauen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500</v>
          </cell>
        </row>
        <row r="193">
          <cell r="A193">
            <v>45989</v>
          </cell>
          <cell r="B193" t="str">
            <v>Andere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3000</v>
          </cell>
        </row>
        <row r="198">
          <cell r="A198">
            <v>45990</v>
          </cell>
          <cell r="B198" t="str">
            <v>LM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5282.05</v>
          </cell>
        </row>
        <row r="199">
          <cell r="A199">
            <v>45990</v>
          </cell>
          <cell r="B199" t="str">
            <v>Andere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215</v>
          </cell>
        </row>
      </sheetData>
      <sheetData sheetId="62">
        <row r="9">
          <cell r="A9">
            <v>45993</v>
          </cell>
          <cell r="B9" t="str">
            <v>CarMaint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704</v>
          </cell>
        </row>
        <row r="23">
          <cell r="A23">
            <v>45995</v>
          </cell>
          <cell r="B23" t="str">
            <v>Frauen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2728.83</v>
          </cell>
        </row>
        <row r="24">
          <cell r="A24">
            <v>45995</v>
          </cell>
          <cell r="B24" t="str">
            <v>Education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2500</v>
          </cell>
        </row>
        <row r="30">
          <cell r="A30">
            <v>45996</v>
          </cell>
          <cell r="B30" t="str">
            <v>LM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2599.9899999999998</v>
          </cell>
        </row>
        <row r="31">
          <cell r="A31">
            <v>45996</v>
          </cell>
          <cell r="B31" t="str">
            <v>Frauen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3415</v>
          </cell>
        </row>
        <row r="32">
          <cell r="A32">
            <v>45996</v>
          </cell>
          <cell r="B32" t="str">
            <v>CarMaint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5000</v>
          </cell>
        </row>
        <row r="37">
          <cell r="A37">
            <v>45997</v>
          </cell>
          <cell r="B37" t="str">
            <v>LM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1281.69</v>
          </cell>
        </row>
        <row r="44">
          <cell r="A44">
            <v>45998</v>
          </cell>
          <cell r="B44" t="str">
            <v>Andere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1168</v>
          </cell>
        </row>
        <row r="45">
          <cell r="A45">
            <v>45998</v>
          </cell>
          <cell r="B45" t="str">
            <v>Frauen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239</v>
          </cell>
        </row>
        <row r="46">
          <cell r="A46">
            <v>45998</v>
          </cell>
          <cell r="B46" t="str">
            <v>LM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4905.41</v>
          </cell>
        </row>
        <row r="47">
          <cell r="A47">
            <v>45998</v>
          </cell>
          <cell r="B47" t="str">
            <v>CarMaint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2136</v>
          </cell>
        </row>
        <row r="48">
          <cell r="A48">
            <v>45998</v>
          </cell>
          <cell r="B48" t="str">
            <v>Andere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1520</v>
          </cell>
        </row>
        <row r="51">
          <cell r="A51">
            <v>45999</v>
          </cell>
          <cell r="B51" t="str">
            <v>CarMaint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2750</v>
          </cell>
        </row>
        <row r="52">
          <cell r="A52">
            <v>45999</v>
          </cell>
          <cell r="B52" t="str">
            <v>CarMaint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100</v>
          </cell>
        </row>
        <row r="53">
          <cell r="A53">
            <v>45999</v>
          </cell>
          <cell r="B53" t="str">
            <v>none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1499.98</v>
          </cell>
        </row>
        <row r="58">
          <cell r="A58">
            <v>46000</v>
          </cell>
          <cell r="B58" t="str">
            <v>CarMaint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100</v>
          </cell>
        </row>
        <row r="59">
          <cell r="A59">
            <v>46000</v>
          </cell>
          <cell r="B59" t="str">
            <v>Andere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1090</v>
          </cell>
        </row>
        <row r="60">
          <cell r="A60">
            <v>46000</v>
          </cell>
          <cell r="B60" t="str">
            <v>Andere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9500</v>
          </cell>
        </row>
        <row r="65">
          <cell r="A65">
            <v>46001</v>
          </cell>
          <cell r="B65" t="str">
            <v>Andere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249</v>
          </cell>
        </row>
        <row r="66">
          <cell r="A66">
            <v>46001</v>
          </cell>
          <cell r="B66" t="str">
            <v>LM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446.87</v>
          </cell>
        </row>
        <row r="67">
          <cell r="A67">
            <v>46001</v>
          </cell>
          <cell r="B67" t="str">
            <v>Refill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118843.31</v>
          </cell>
          <cell r="H67">
            <v>0</v>
          </cell>
        </row>
        <row r="72">
          <cell r="A72">
            <v>46002</v>
          </cell>
          <cell r="B72" t="str">
            <v>LM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204.96999999999997</v>
          </cell>
        </row>
        <row r="73">
          <cell r="A73">
            <v>46002</v>
          </cell>
          <cell r="B73" t="str">
            <v>Andere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1000</v>
          </cell>
        </row>
        <row r="79">
          <cell r="A79">
            <v>46003</v>
          </cell>
          <cell r="B79" t="str">
            <v>LM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2007.99</v>
          </cell>
        </row>
        <row r="86">
          <cell r="A86">
            <v>46004</v>
          </cell>
          <cell r="B86" t="str">
            <v>Fuel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4018.6</v>
          </cell>
        </row>
        <row r="93">
          <cell r="A93">
            <v>46005</v>
          </cell>
          <cell r="B93" t="str">
            <v>LM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1149.9299999999998</v>
          </cell>
        </row>
        <row r="94">
          <cell r="A94">
            <v>46005</v>
          </cell>
          <cell r="B94" t="str">
            <v>for me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31140</v>
          </cell>
        </row>
        <row r="95">
          <cell r="A95">
            <v>46005</v>
          </cell>
          <cell r="B95" t="str">
            <v>none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900</v>
          </cell>
        </row>
        <row r="100">
          <cell r="A100">
            <v>46006</v>
          </cell>
          <cell r="B100" t="str">
            <v>LM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1129.95</v>
          </cell>
        </row>
        <row r="101">
          <cell r="A101">
            <v>46006</v>
          </cell>
          <cell r="B101" t="str">
            <v>CarMaint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300</v>
          </cell>
        </row>
        <row r="102">
          <cell r="A102">
            <v>46006</v>
          </cell>
          <cell r="B102" t="str">
            <v>LM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274.88</v>
          </cell>
        </row>
        <row r="107">
          <cell r="A107">
            <v>46007</v>
          </cell>
          <cell r="B107" t="str">
            <v>LM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4763.04</v>
          </cell>
        </row>
        <row r="108">
          <cell r="A108">
            <v>46007</v>
          </cell>
          <cell r="B108" t="str">
            <v>Frauen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480</v>
          </cell>
        </row>
        <row r="114">
          <cell r="A114">
            <v>46008</v>
          </cell>
          <cell r="B114" t="str">
            <v>Refill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12000</v>
          </cell>
          <cell r="H114">
            <v>0</v>
          </cell>
        </row>
        <row r="115">
          <cell r="A115">
            <v>46008</v>
          </cell>
          <cell r="B115" t="str">
            <v>rent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55000</v>
          </cell>
        </row>
        <row r="116">
          <cell r="A116">
            <v>46008</v>
          </cell>
          <cell r="B116" t="str">
            <v>LM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438</v>
          </cell>
        </row>
        <row r="117">
          <cell r="A117">
            <v>46008</v>
          </cell>
          <cell r="B117" t="str">
            <v>Refill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45700</v>
          </cell>
          <cell r="H117">
            <v>0</v>
          </cell>
        </row>
        <row r="121">
          <cell r="A121">
            <v>46009</v>
          </cell>
          <cell r="B121" t="str">
            <v>Frauen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986</v>
          </cell>
        </row>
        <row r="122">
          <cell r="A122">
            <v>46009</v>
          </cell>
          <cell r="B122" t="str">
            <v>Andere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7686</v>
          </cell>
        </row>
        <row r="123">
          <cell r="A123">
            <v>46009</v>
          </cell>
          <cell r="B123" t="str">
            <v>LM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1040</v>
          </cell>
        </row>
        <row r="128">
          <cell r="A128">
            <v>46010</v>
          </cell>
          <cell r="B128" t="str">
            <v>LM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1095</v>
          </cell>
        </row>
        <row r="129">
          <cell r="A129">
            <v>46010</v>
          </cell>
          <cell r="B129" t="str">
            <v>VM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74</v>
          </cell>
        </row>
        <row r="135">
          <cell r="A135">
            <v>46011</v>
          </cell>
          <cell r="B135" t="str">
            <v>VM</v>
          </cell>
          <cell r="C135">
            <v>0</v>
          </cell>
          <cell r="D135">
            <v>0</v>
          </cell>
          <cell r="E135">
            <v>0</v>
          </cell>
          <cell r="F135">
            <v>150</v>
          </cell>
          <cell r="G135">
            <v>0</v>
          </cell>
          <cell r="H135">
            <v>1541</v>
          </cell>
        </row>
        <row r="142">
          <cell r="A142">
            <v>46012</v>
          </cell>
          <cell r="B142" t="str">
            <v>LM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949.79</v>
          </cell>
        </row>
        <row r="143">
          <cell r="A143">
            <v>46012</v>
          </cell>
          <cell r="B143" t="str">
            <v>Andere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1532</v>
          </cell>
        </row>
        <row r="149">
          <cell r="A149">
            <v>46013</v>
          </cell>
          <cell r="B149" t="str">
            <v>CarMaint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100</v>
          </cell>
        </row>
        <row r="150">
          <cell r="A150">
            <v>46013</v>
          </cell>
          <cell r="B150" t="str">
            <v>LM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5875.53</v>
          </cell>
        </row>
        <row r="151">
          <cell r="A151">
            <v>46013</v>
          </cell>
          <cell r="B151" t="str">
            <v>Andere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218</v>
          </cell>
        </row>
        <row r="156">
          <cell r="A156">
            <v>46014</v>
          </cell>
          <cell r="B156" t="str">
            <v>Fuel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2128</v>
          </cell>
        </row>
        <row r="157">
          <cell r="A157">
            <v>46014</v>
          </cell>
          <cell r="B157" t="str">
            <v>LM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312.96999999999997</v>
          </cell>
        </row>
        <row r="158">
          <cell r="A158">
            <v>46014</v>
          </cell>
          <cell r="B158" t="str">
            <v>Andere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1370</v>
          </cell>
        </row>
        <row r="163">
          <cell r="A163">
            <v>46015</v>
          </cell>
          <cell r="B163" t="str">
            <v>LM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1098.96</v>
          </cell>
        </row>
        <row r="164">
          <cell r="A164">
            <v>46015</v>
          </cell>
          <cell r="B164" t="str">
            <v>Andere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1322</v>
          </cell>
        </row>
        <row r="170">
          <cell r="A170">
            <v>46016</v>
          </cell>
          <cell r="B170" t="str">
            <v>LM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598.68000000000006</v>
          </cell>
        </row>
        <row r="171">
          <cell r="A171">
            <v>46016</v>
          </cell>
          <cell r="B171" t="str">
            <v>Frauen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1530</v>
          </cell>
        </row>
        <row r="172">
          <cell r="A172">
            <v>46016</v>
          </cell>
          <cell r="B172" t="str">
            <v>Refill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161767.5</v>
          </cell>
          <cell r="H172">
            <v>0</v>
          </cell>
        </row>
        <row r="173">
          <cell r="A173">
            <v>46016</v>
          </cell>
          <cell r="B173" t="str">
            <v>VM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74</v>
          </cell>
        </row>
        <row r="174">
          <cell r="A174">
            <v>46016</v>
          </cell>
          <cell r="B174" t="str">
            <v>Refill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2718.53</v>
          </cell>
          <cell r="H174">
            <v>0</v>
          </cell>
        </row>
        <row r="177">
          <cell r="A177">
            <v>46017</v>
          </cell>
          <cell r="B177" t="str">
            <v>VM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74</v>
          </cell>
        </row>
        <row r="178">
          <cell r="A178">
            <v>46017</v>
          </cell>
          <cell r="B178" t="str">
            <v>Andere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1967</v>
          </cell>
        </row>
        <row r="179">
          <cell r="A179">
            <v>46017</v>
          </cell>
          <cell r="B179" t="str">
            <v>LM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1531</v>
          </cell>
        </row>
        <row r="184">
          <cell r="A184">
            <v>46018</v>
          </cell>
          <cell r="B184" t="str">
            <v>Andere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409</v>
          </cell>
        </row>
        <row r="185">
          <cell r="A185">
            <v>46018</v>
          </cell>
          <cell r="B185" t="str">
            <v>LM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1025.8499999999999</v>
          </cell>
        </row>
        <row r="191">
          <cell r="A191">
            <v>46019</v>
          </cell>
          <cell r="B191" t="str">
            <v>LM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6295.1900000000005</v>
          </cell>
        </row>
        <row r="192">
          <cell r="A192">
            <v>46019</v>
          </cell>
          <cell r="B192" t="str">
            <v>for me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279</v>
          </cell>
        </row>
        <row r="193">
          <cell r="A193">
            <v>46019</v>
          </cell>
          <cell r="B193" t="str">
            <v>Andere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1755</v>
          </cell>
        </row>
        <row r="198">
          <cell r="A198">
            <v>46020</v>
          </cell>
          <cell r="B198" t="str">
            <v>LM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82.99</v>
          </cell>
        </row>
        <row r="199">
          <cell r="A199">
            <v>46020</v>
          </cell>
          <cell r="B199" t="str">
            <v>Frauen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13980</v>
          </cell>
        </row>
        <row r="202">
          <cell r="A202">
            <v>46020</v>
          </cell>
          <cell r="B202" t="str">
            <v>none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5000</v>
          </cell>
        </row>
        <row r="205">
          <cell r="A205">
            <v>46021</v>
          </cell>
          <cell r="B205" t="str">
            <v>for me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1600</v>
          </cell>
        </row>
        <row r="206">
          <cell r="A206">
            <v>46021</v>
          </cell>
          <cell r="B206" t="str">
            <v>Andere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3955</v>
          </cell>
        </row>
        <row r="207">
          <cell r="A207">
            <v>46021</v>
          </cell>
          <cell r="B207" t="str">
            <v>LM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2906.87</v>
          </cell>
        </row>
        <row r="208">
          <cell r="A208">
            <v>46021</v>
          </cell>
          <cell r="B208" t="str">
            <v>Car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100000</v>
          </cell>
        </row>
        <row r="209">
          <cell r="A209">
            <v>46021</v>
          </cell>
          <cell r="B209" t="str">
            <v>Refill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693349</v>
          </cell>
          <cell r="H209">
            <v>0</v>
          </cell>
        </row>
        <row r="212">
          <cell r="A212">
            <v>46022</v>
          </cell>
          <cell r="B212" t="str">
            <v>Andere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21.7</v>
          </cell>
        </row>
        <row r="213">
          <cell r="A213">
            <v>46022</v>
          </cell>
          <cell r="B213" t="str">
            <v>LM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4060.0800000000004</v>
          </cell>
        </row>
      </sheetData>
      <sheetData sheetId="63">
        <row r="2">
          <cell r="A2">
            <v>46023</v>
          </cell>
          <cell r="B2" t="str">
            <v>LM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299.98</v>
          </cell>
        </row>
        <row r="3">
          <cell r="A3">
            <v>46023</v>
          </cell>
          <cell r="B3" t="str">
            <v>Refill</v>
          </cell>
          <cell r="C3">
            <v>196</v>
          </cell>
          <cell r="D3">
            <v>0</v>
          </cell>
          <cell r="E3">
            <v>0</v>
          </cell>
          <cell r="F3">
            <v>0</v>
          </cell>
          <cell r="G3">
            <v>112901.5</v>
          </cell>
          <cell r="H3">
            <v>0</v>
          </cell>
        </row>
        <row r="9">
          <cell r="A9">
            <v>46024</v>
          </cell>
          <cell r="B9" t="str">
            <v>Andere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217</v>
          </cell>
        </row>
        <row r="10">
          <cell r="A10">
            <v>46024</v>
          </cell>
          <cell r="B10" t="str">
            <v>Frauen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2154.94</v>
          </cell>
        </row>
        <row r="11">
          <cell r="A11">
            <v>46024</v>
          </cell>
          <cell r="B11" t="str">
            <v>LM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1203.6199999999999</v>
          </cell>
        </row>
        <row r="12">
          <cell r="A12">
            <v>46024</v>
          </cell>
          <cell r="B12" t="str">
            <v>Andere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89</v>
          </cell>
        </row>
        <row r="16">
          <cell r="A16">
            <v>46025</v>
          </cell>
          <cell r="B16" t="str">
            <v>Fuel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3454</v>
          </cell>
        </row>
        <row r="23">
          <cell r="A23">
            <v>46026</v>
          </cell>
          <cell r="B23" t="str">
            <v>Andere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340</v>
          </cell>
        </row>
        <row r="24">
          <cell r="A24">
            <v>46026</v>
          </cell>
          <cell r="B24" t="str">
            <v>LM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769.97</v>
          </cell>
        </row>
        <row r="25">
          <cell r="A25">
            <v>46026</v>
          </cell>
          <cell r="B25" t="str">
            <v>LM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1741</v>
          </cell>
        </row>
        <row r="30">
          <cell r="A30">
            <v>46027</v>
          </cell>
          <cell r="B30" t="str">
            <v>LM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938.97</v>
          </cell>
        </row>
        <row r="38">
          <cell r="A38">
            <v>46028</v>
          </cell>
          <cell r="B38" t="str">
            <v>LM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242.86</v>
          </cell>
        </row>
        <row r="39">
          <cell r="A39">
            <v>46028</v>
          </cell>
          <cell r="B39" t="str">
            <v>Andere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600</v>
          </cell>
        </row>
        <row r="42">
          <cell r="A42">
            <v>46028</v>
          </cell>
          <cell r="B42" t="str">
            <v>none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1</v>
          </cell>
        </row>
        <row r="44">
          <cell r="A44">
            <v>46029</v>
          </cell>
          <cell r="B44" t="str">
            <v>LM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3189</v>
          </cell>
        </row>
        <row r="45">
          <cell r="A45">
            <v>46029</v>
          </cell>
          <cell r="B45" t="str">
            <v>none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9000</v>
          </cell>
          <cell r="H45">
            <v>0</v>
          </cell>
        </row>
        <row r="46">
          <cell r="A46">
            <v>46029</v>
          </cell>
          <cell r="B46" t="str">
            <v>none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600</v>
          </cell>
        </row>
        <row r="51">
          <cell r="A51">
            <v>46030</v>
          </cell>
          <cell r="B51" t="str">
            <v>LM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1052.8699999999999</v>
          </cell>
        </row>
        <row r="52">
          <cell r="A52">
            <v>46030</v>
          </cell>
          <cell r="B52" t="str">
            <v>Frauen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1937</v>
          </cell>
        </row>
        <row r="53">
          <cell r="A53">
            <v>46030</v>
          </cell>
          <cell r="B53" t="str">
            <v>Andere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1290</v>
          </cell>
        </row>
        <row r="58">
          <cell r="A58">
            <v>46031</v>
          </cell>
          <cell r="B58" t="str">
            <v>LM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697.97</v>
          </cell>
        </row>
        <row r="65">
          <cell r="A65">
            <v>46032</v>
          </cell>
          <cell r="B65" t="str">
            <v>Andere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402</v>
          </cell>
        </row>
        <row r="66">
          <cell r="A66">
            <v>46032</v>
          </cell>
          <cell r="B66" t="str">
            <v>LM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1070.98</v>
          </cell>
        </row>
        <row r="72">
          <cell r="A72">
            <v>46033</v>
          </cell>
          <cell r="B72" t="str">
            <v>LM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2281</v>
          </cell>
        </row>
        <row r="73">
          <cell r="A73">
            <v>46033</v>
          </cell>
          <cell r="B73" t="str">
            <v>Fuel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2859</v>
          </cell>
        </row>
        <row r="74">
          <cell r="A74">
            <v>46033</v>
          </cell>
          <cell r="B74" t="str">
            <v>Andere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369</v>
          </cell>
        </row>
        <row r="79">
          <cell r="A79">
            <v>46034</v>
          </cell>
          <cell r="B79" t="str">
            <v>Andere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100</v>
          </cell>
        </row>
        <row r="86">
          <cell r="A86">
            <v>46035</v>
          </cell>
          <cell r="B86" t="str">
            <v>LM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7000</v>
          </cell>
        </row>
        <row r="107">
          <cell r="A107">
            <v>46038</v>
          </cell>
          <cell r="B107" t="str">
            <v>CarMaint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562.5</v>
          </cell>
        </row>
        <row r="108">
          <cell r="A108">
            <v>46038</v>
          </cell>
          <cell r="B108" t="str">
            <v>for me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31140</v>
          </cell>
        </row>
        <row r="109">
          <cell r="A109">
            <v>46038</v>
          </cell>
          <cell r="B109" t="str">
            <v>Frauen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1500</v>
          </cell>
        </row>
        <row r="110">
          <cell r="A110">
            <v>46038</v>
          </cell>
          <cell r="B110" t="str">
            <v>VM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397.31</v>
          </cell>
        </row>
        <row r="111">
          <cell r="A111">
            <v>46038</v>
          </cell>
          <cell r="B111" t="str">
            <v>Refill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12000</v>
          </cell>
          <cell r="H111">
            <v>0</v>
          </cell>
        </row>
        <row r="114">
          <cell r="A114">
            <v>46039</v>
          </cell>
          <cell r="B114" t="str">
            <v>rent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55000</v>
          </cell>
        </row>
        <row r="115">
          <cell r="A115">
            <v>46039</v>
          </cell>
          <cell r="B115" t="str">
            <v>VM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390.08</v>
          </cell>
        </row>
        <row r="121">
          <cell r="A121">
            <v>46040</v>
          </cell>
          <cell r="B121" t="str">
            <v>LM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2000</v>
          </cell>
        </row>
        <row r="122">
          <cell r="A122">
            <v>46040</v>
          </cell>
          <cell r="B122" t="str">
            <v>VM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430.07</v>
          </cell>
        </row>
        <row r="128">
          <cell r="A128">
            <v>46041</v>
          </cell>
          <cell r="B128" t="str">
            <v>VM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435.25</v>
          </cell>
        </row>
        <row r="129">
          <cell r="A129">
            <v>46041</v>
          </cell>
          <cell r="B129" t="str">
            <v>Frauen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5231.5</v>
          </cell>
        </row>
        <row r="135">
          <cell r="A135">
            <v>46042</v>
          </cell>
          <cell r="B135" t="str">
            <v>none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1000</v>
          </cell>
        </row>
        <row r="136">
          <cell r="A136">
            <v>46042</v>
          </cell>
          <cell r="B136" t="str">
            <v>Frauen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300</v>
          </cell>
        </row>
        <row r="137">
          <cell r="A137">
            <v>46042</v>
          </cell>
          <cell r="B137" t="str">
            <v>LM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149</v>
          </cell>
        </row>
        <row r="138">
          <cell r="A138">
            <v>46042</v>
          </cell>
          <cell r="B138" t="str">
            <v>CarMaint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50</v>
          </cell>
        </row>
        <row r="142">
          <cell r="A142">
            <v>46043</v>
          </cell>
          <cell r="B142" t="str">
            <v>Andere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5254</v>
          </cell>
        </row>
        <row r="143">
          <cell r="A143">
            <v>46043</v>
          </cell>
          <cell r="B143" t="str">
            <v>LM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535.77</v>
          </cell>
        </row>
        <row r="149">
          <cell r="A149">
            <v>46044</v>
          </cell>
          <cell r="B149" t="str">
            <v>LM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6411.42</v>
          </cell>
        </row>
        <row r="150">
          <cell r="A150">
            <v>46044</v>
          </cell>
          <cell r="B150" t="str">
            <v>Frauen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2250</v>
          </cell>
        </row>
        <row r="151">
          <cell r="A151">
            <v>46044</v>
          </cell>
          <cell r="B151" t="str">
            <v>Andere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200</v>
          </cell>
        </row>
        <row r="156">
          <cell r="A156">
            <v>46045</v>
          </cell>
          <cell r="B156" t="str">
            <v>Refill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61631.26</v>
          </cell>
          <cell r="H156">
            <v>0</v>
          </cell>
        </row>
        <row r="157">
          <cell r="A157">
            <v>46045</v>
          </cell>
          <cell r="B157" t="str">
            <v>LM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424.98</v>
          </cell>
        </row>
        <row r="158">
          <cell r="A158">
            <v>46045</v>
          </cell>
          <cell r="B158" t="str">
            <v>Andere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854</v>
          </cell>
        </row>
        <row r="159">
          <cell r="A159">
            <v>46045</v>
          </cell>
          <cell r="B159" t="str">
            <v>Car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85000</v>
          </cell>
        </row>
        <row r="163">
          <cell r="A163">
            <v>46046</v>
          </cell>
          <cell r="B163" t="str">
            <v>LM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1196.8600000000001</v>
          </cell>
        </row>
        <row r="164">
          <cell r="A164">
            <v>46046</v>
          </cell>
          <cell r="B164" t="str">
            <v>CarMaint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160</v>
          </cell>
        </row>
        <row r="165">
          <cell r="A165">
            <v>46046</v>
          </cell>
          <cell r="B165" t="str">
            <v>Andere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699</v>
          </cell>
        </row>
        <row r="170">
          <cell r="A170">
            <v>46047</v>
          </cell>
          <cell r="B170" t="str">
            <v>Party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3800</v>
          </cell>
        </row>
        <row r="171">
          <cell r="A171">
            <v>46047</v>
          </cell>
          <cell r="B171" t="str">
            <v>LM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545.86</v>
          </cell>
        </row>
        <row r="172">
          <cell r="A172">
            <v>46047</v>
          </cell>
          <cell r="B172" t="str">
            <v>Refill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3631.12</v>
          </cell>
          <cell r="H172">
            <v>0</v>
          </cell>
        </row>
        <row r="177">
          <cell r="A177">
            <v>46048</v>
          </cell>
          <cell r="B177" t="str">
            <v>LM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321.8</v>
          </cell>
        </row>
        <row r="178">
          <cell r="A178">
            <v>46048</v>
          </cell>
          <cell r="B178" t="str">
            <v>CarMaint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1687.5</v>
          </cell>
        </row>
        <row r="179">
          <cell r="A179">
            <v>46048</v>
          </cell>
          <cell r="B179" t="str">
            <v>Andere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1000</v>
          </cell>
        </row>
        <row r="180">
          <cell r="A180">
            <v>46048</v>
          </cell>
          <cell r="B180" t="str">
            <v>none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7</v>
          </cell>
          <cell r="H180">
            <v>0</v>
          </cell>
        </row>
        <row r="184">
          <cell r="A184">
            <v>46049</v>
          </cell>
          <cell r="B184" t="str">
            <v>Andere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6000</v>
          </cell>
        </row>
        <row r="185">
          <cell r="A185">
            <v>46049</v>
          </cell>
          <cell r="B185" t="str">
            <v>Party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3000</v>
          </cell>
        </row>
        <row r="186">
          <cell r="A186">
            <v>46049</v>
          </cell>
          <cell r="B186" t="str">
            <v>LM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3250</v>
          </cell>
        </row>
        <row r="191">
          <cell r="A191">
            <v>46050</v>
          </cell>
          <cell r="B191" t="str">
            <v>LM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10</v>
          </cell>
        </row>
        <row r="192">
          <cell r="A192">
            <v>46050</v>
          </cell>
          <cell r="B192" t="str">
            <v>Kleidung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5155</v>
          </cell>
        </row>
        <row r="193">
          <cell r="A193">
            <v>46050</v>
          </cell>
          <cell r="B193" t="str">
            <v>LM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615.48</v>
          </cell>
        </row>
        <row r="198">
          <cell r="A198">
            <v>46051</v>
          </cell>
          <cell r="B198" t="str">
            <v>Frauen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720</v>
          </cell>
        </row>
        <row r="199">
          <cell r="A199">
            <v>46051</v>
          </cell>
          <cell r="B199" t="str">
            <v>LM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1184.24</v>
          </cell>
        </row>
        <row r="200">
          <cell r="A200">
            <v>46051</v>
          </cell>
          <cell r="B200" t="str">
            <v>Andere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3.4200000000000159</v>
          </cell>
        </row>
        <row r="205">
          <cell r="A205">
            <v>46052</v>
          </cell>
          <cell r="B205" t="str">
            <v>Andere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195</v>
          </cell>
        </row>
        <row r="206">
          <cell r="A206">
            <v>46052</v>
          </cell>
          <cell r="B206" t="str">
            <v>LM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550</v>
          </cell>
        </row>
        <row r="207">
          <cell r="A207">
            <v>46052</v>
          </cell>
          <cell r="B207" t="str">
            <v>CarMaint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100</v>
          </cell>
        </row>
        <row r="208">
          <cell r="A208">
            <v>46052</v>
          </cell>
          <cell r="B208" t="str">
            <v>LM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564.76</v>
          </cell>
        </row>
        <row r="212">
          <cell r="A212">
            <v>46053</v>
          </cell>
          <cell r="B212" t="str">
            <v>LM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444</v>
          </cell>
        </row>
        <row r="213">
          <cell r="A213">
            <v>46053</v>
          </cell>
          <cell r="B213" t="str">
            <v>Andere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2499.92</v>
          </cell>
        </row>
        <row r="214">
          <cell r="A214">
            <v>46053</v>
          </cell>
          <cell r="B214" t="str">
            <v>Fuel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3200</v>
          </cell>
        </row>
      </sheetData>
      <sheetData sheetId="64">
        <row r="2">
          <cell r="A2">
            <v>46054</v>
          </cell>
          <cell r="B2" t="str">
            <v>Andere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500</v>
          </cell>
        </row>
        <row r="3">
          <cell r="A3">
            <v>46054</v>
          </cell>
          <cell r="B3" t="str">
            <v>LM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277</v>
          </cell>
        </row>
        <row r="4">
          <cell r="A4">
            <v>46054</v>
          </cell>
          <cell r="B4" t="str">
            <v>none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</v>
          </cell>
          <cell r="H4">
            <v>0</v>
          </cell>
        </row>
        <row r="9">
          <cell r="A9">
            <v>46055</v>
          </cell>
          <cell r="B9" t="str">
            <v>LM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822.86</v>
          </cell>
        </row>
        <row r="10">
          <cell r="A10">
            <v>46055</v>
          </cell>
          <cell r="B10" t="str">
            <v>none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680</v>
          </cell>
          <cell r="H10">
            <v>0</v>
          </cell>
        </row>
        <row r="16">
          <cell r="A16">
            <v>46056</v>
          </cell>
          <cell r="B16" t="str">
            <v>LM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6547.25</v>
          </cell>
        </row>
        <row r="23">
          <cell r="A23">
            <v>46057</v>
          </cell>
          <cell r="B23" t="str">
            <v>LM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174.99</v>
          </cell>
        </row>
        <row r="30">
          <cell r="A30">
            <v>46058</v>
          </cell>
          <cell r="B30" t="str">
            <v>LM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99.99</v>
          </cell>
        </row>
        <row r="31">
          <cell r="A31">
            <v>46058</v>
          </cell>
          <cell r="B31" t="str">
            <v>Andere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1800</v>
          </cell>
        </row>
        <row r="32">
          <cell r="A32">
            <v>46058</v>
          </cell>
          <cell r="B32" t="str">
            <v>CarMaint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400</v>
          </cell>
        </row>
        <row r="37">
          <cell r="A37">
            <v>46059</v>
          </cell>
          <cell r="B37" t="str">
            <v>LM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730.14</v>
          </cell>
        </row>
        <row r="44">
          <cell r="A44">
            <v>46060</v>
          </cell>
          <cell r="B44" t="str">
            <v>LM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2121.71</v>
          </cell>
        </row>
        <row r="45">
          <cell r="A45">
            <v>46060</v>
          </cell>
          <cell r="B45" t="str">
            <v>Frauen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399</v>
          </cell>
        </row>
        <row r="46">
          <cell r="A46">
            <v>46060</v>
          </cell>
          <cell r="B46" t="str">
            <v>CarMaint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100</v>
          </cell>
        </row>
        <row r="51">
          <cell r="A51">
            <v>46061</v>
          </cell>
          <cell r="B51" t="str">
            <v>LM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634.96</v>
          </cell>
        </row>
        <row r="58">
          <cell r="A58">
            <v>46062</v>
          </cell>
          <cell r="B58" t="str">
            <v>LM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59.99</v>
          </cell>
        </row>
        <row r="65">
          <cell r="A65">
            <v>46063</v>
          </cell>
          <cell r="B65" t="str">
            <v>Refill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169484.74</v>
          </cell>
          <cell r="H65">
            <v>0</v>
          </cell>
        </row>
        <row r="66">
          <cell r="A66">
            <v>46063</v>
          </cell>
          <cell r="B66" t="str">
            <v>Frauen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12300</v>
          </cell>
        </row>
        <row r="67">
          <cell r="A67">
            <v>46063</v>
          </cell>
          <cell r="B67" t="str">
            <v>Andere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575</v>
          </cell>
        </row>
        <row r="68">
          <cell r="A68">
            <v>46063</v>
          </cell>
          <cell r="B68" t="str">
            <v>LM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63.99</v>
          </cell>
        </row>
        <row r="72">
          <cell r="A72">
            <v>46064</v>
          </cell>
          <cell r="B72" t="str">
            <v>LM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255</v>
          </cell>
        </row>
        <row r="73">
          <cell r="A73">
            <v>46064</v>
          </cell>
          <cell r="B73" t="str">
            <v>Andere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3100</v>
          </cell>
        </row>
        <row r="79">
          <cell r="A79">
            <v>46065</v>
          </cell>
          <cell r="B79" t="str">
            <v>LM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7569.17</v>
          </cell>
        </row>
        <row r="86">
          <cell r="A86">
            <v>46066</v>
          </cell>
          <cell r="B86" t="str">
            <v>Andere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1721</v>
          </cell>
        </row>
        <row r="87">
          <cell r="A87">
            <v>46066</v>
          </cell>
          <cell r="B87" t="str">
            <v>Andere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790</v>
          </cell>
        </row>
        <row r="93">
          <cell r="A93">
            <v>46067</v>
          </cell>
          <cell r="B93" t="str">
            <v>LM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2998.58</v>
          </cell>
        </row>
        <row r="94">
          <cell r="A94">
            <v>46067</v>
          </cell>
          <cell r="B94" t="str">
            <v>Frauen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900</v>
          </cell>
        </row>
        <row r="100">
          <cell r="A100">
            <v>46068</v>
          </cell>
          <cell r="B100" t="str">
            <v>LM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3040.59</v>
          </cell>
        </row>
        <row r="101">
          <cell r="A101">
            <v>46068</v>
          </cell>
          <cell r="B101" t="str">
            <v>Fuel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3987</v>
          </cell>
        </row>
        <row r="107">
          <cell r="A107">
            <v>46069</v>
          </cell>
          <cell r="B107" t="str">
            <v>LM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400.9</v>
          </cell>
        </row>
        <row r="108">
          <cell r="A108">
            <v>46069</v>
          </cell>
          <cell r="B108" t="str">
            <v>for me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1700</v>
          </cell>
        </row>
        <row r="114">
          <cell r="A114">
            <v>46070</v>
          </cell>
          <cell r="B114" t="str">
            <v>Andere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2400</v>
          </cell>
        </row>
        <row r="115">
          <cell r="A115">
            <v>46070</v>
          </cell>
          <cell r="B115" t="str">
            <v>none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30</v>
          </cell>
        </row>
        <row r="116">
          <cell r="A116">
            <v>46070</v>
          </cell>
          <cell r="B116" t="str">
            <v>Refill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12400</v>
          </cell>
          <cell r="H116">
            <v>0</v>
          </cell>
        </row>
        <row r="121">
          <cell r="A121">
            <v>46071</v>
          </cell>
          <cell r="B121" t="str">
            <v>rent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66787</v>
          </cell>
        </row>
        <row r="122">
          <cell r="A122">
            <v>46071</v>
          </cell>
          <cell r="B122" t="str">
            <v>Andere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1990</v>
          </cell>
        </row>
        <row r="128">
          <cell r="A128">
            <v>46072</v>
          </cell>
          <cell r="B128" t="str">
            <v>LM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349.9</v>
          </cell>
        </row>
        <row r="129">
          <cell r="A129">
            <v>46072</v>
          </cell>
          <cell r="B129" t="str">
            <v>Rauchen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230</v>
          </cell>
        </row>
        <row r="135">
          <cell r="A135">
            <v>46073</v>
          </cell>
          <cell r="B135" t="str">
            <v>LM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409.99</v>
          </cell>
        </row>
        <row r="136">
          <cell r="A136">
            <v>46073</v>
          </cell>
          <cell r="B136" t="str">
            <v>Andere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31140</v>
          </cell>
        </row>
        <row r="137">
          <cell r="A137">
            <v>46073</v>
          </cell>
          <cell r="B137" t="str">
            <v>Car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200000</v>
          </cell>
        </row>
        <row r="142">
          <cell r="A142">
            <v>46074</v>
          </cell>
          <cell r="B142" t="str">
            <v>LM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2357.79</v>
          </cell>
        </row>
        <row r="149">
          <cell r="A149">
            <v>46075</v>
          </cell>
          <cell r="B149" t="str">
            <v>Andere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1500</v>
          </cell>
        </row>
        <row r="150">
          <cell r="A150">
            <v>46075</v>
          </cell>
          <cell r="B150" t="str">
            <v>none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557.44000000000005</v>
          </cell>
        </row>
        <row r="156">
          <cell r="A156">
            <v>46076</v>
          </cell>
          <cell r="B156" t="str">
            <v>Andere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102.21</v>
          </cell>
        </row>
        <row r="157">
          <cell r="A157">
            <v>46076</v>
          </cell>
          <cell r="B157" t="str">
            <v>Kleidung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4237.3999999999996</v>
          </cell>
        </row>
        <row r="158">
          <cell r="A158">
            <v>46076</v>
          </cell>
          <cell r="B158" t="str">
            <v>LM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5914.84</v>
          </cell>
        </row>
        <row r="159">
          <cell r="A159">
            <v>46076</v>
          </cell>
          <cell r="B159" t="str">
            <v>CarMaint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200</v>
          </cell>
        </row>
        <row r="160">
          <cell r="A160">
            <v>46076</v>
          </cell>
          <cell r="B160" t="str">
            <v>LM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551.38</v>
          </cell>
        </row>
        <row r="161">
          <cell r="A161">
            <v>46076</v>
          </cell>
          <cell r="B161" t="str">
            <v>for me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589.4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edor" id="{A1C5F080-99D5-E84B-BAE8-21A86899CA69}" userId="Fedor" providerId="None"/>
  <person displayName="Maliugin, Fedor" id="{598A3994-0B69-7C46-AB9C-D6C953E37D6B}" userId="Maliugin, Fedor" providerId="None"/>
  <person displayName="Maliugin, Fedor" id="{F282A385-D5D9-DD4A-B56A-4B669FF14569}" userId="S::fedor.maliugin@accenture.com::5ebabcb6-d37b-4ad1-b6ce-344c5234f3e0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6637A2-59D6-A649-9B50-9D1152975690}" name="Table1" displayName="Table1" ref="A1:H3977" totalsRowShown="0" headerRowDxfId="18" dataDxfId="16" headerRowBorderDxfId="17" tableBorderDxfId="15">
  <autoFilter ref="A1:H3977" xr:uid="{656637A2-59D6-A649-9B50-9D1152975690}"/>
  <sortState xmlns:xlrd2="http://schemas.microsoft.com/office/spreadsheetml/2017/richdata2" ref="A2:H3977">
    <sortCondition ref="A1:A3977"/>
  </sortState>
  <tableColumns count="8">
    <tableColumn id="1" xr3:uid="{D910F1F1-D3F7-F746-9D1D-E707F1B47B56}" name="Date" dataDxfId="14"/>
    <tableColumn id="2" xr3:uid="{695C5E9E-2DF3-2243-9C59-69B66CFB3E1D}" name="Category" dataDxfId="13"/>
    <tableColumn id="3" xr3:uid="{055F1E08-3492-7E47-AD75-C2CFDB8D6401}" name="Alfa Income" dataDxfId="12"/>
    <tableColumn id="4" xr3:uid="{9487A0C4-A99F-4747-A5AF-28F759C66789}" name="Alfa Outcome" dataDxfId="11"/>
    <tableColumn id="5" xr3:uid="{F3E3F716-07D0-2948-97B3-0FD956DDB1F4}" name="Sber Income" dataDxfId="10"/>
    <tableColumn id="6" xr3:uid="{953BB79E-1109-714D-8C82-0ADD0B524421}" name="Sber Outcome2" dataDxfId="9"/>
    <tableColumn id="7" xr3:uid="{8EF2F87B-7625-8941-8654-F49814AB6E0E}" name="Tinkoff Income" dataDxfId="8"/>
    <tableColumn id="8" xr3:uid="{0AF91084-263F-134F-8043-59CC022D753A}" name="Tinkoff Outcome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" dT="2021-10-21T20:50:06.69" personId="{A1C5F080-99D5-E84B-BAE8-21A86899CA69}" id="{CFDA4981-BAC5-3D4F-921A-CD2CD50EC7AC}">
    <text>TAXI</text>
  </threadedComment>
  <threadedComment ref="B7" dT="2021-10-21T20:49:54.40" personId="{A1C5F080-99D5-E84B-BAE8-21A86899CA69}" id="{C6F15E30-59C2-9341-9134-6334AFD31B68}">
    <text>TAXI</text>
  </threadedComment>
  <threadedComment ref="B13" dT="2021-10-21T20:52:37.11" personId="{A1C5F080-99D5-E84B-BAE8-21A86899CA69}" id="{21A7698B-3FDE-6146-BC23-494E6D47B017}">
    <text>TAXi</text>
  </threadedComment>
  <threadedComment ref="B18" dT="2021-10-24T10:36:45.23" personId="{A1C5F080-99D5-E84B-BAE8-21A86899CA69}" id="{69AC492C-82A2-C24E-A32B-9199905120AC}">
    <text>ДР САНИ</text>
  </threadedComment>
  <threadedComment ref="B19" dT="2021-10-24T10:37:23.09" personId="{A1C5F080-99D5-E84B-BAE8-21A86899CA69}" id="{97B33400-2630-3047-B119-8751BBDE986E}">
    <text>600 за мою и данину, 450 гусейну</text>
  </threadedComment>
  <threadedComment ref="B20" dT="2021-10-24T10:53:10.74" personId="{A1C5F080-99D5-E84B-BAE8-21A86899CA69}" id="{F474A684-3C84-7A46-A4D5-78FDEC267A24}">
    <text>TAXI</text>
  </threadedComment>
  <threadedComment ref="B25" dT="2021-10-26T07:41:09.86" personId="{A1C5F080-99D5-E84B-BAE8-21A86899CA69}" id="{3F6C56C1-D151-8944-BEDF-04B542019CE9}">
    <text>Tele 2</text>
  </threadedComment>
  <threadedComment ref="B30" dT="2021-10-27T10:00:25.04" personId="{A1C5F080-99D5-E84B-BAE8-21A86899CA69}" id="{13ACB9FA-C115-1F4F-82C7-0992AC92AD9D}">
    <text>TICKETS S7 in WOLGOGRAD UND ZURÜCK</text>
  </threadedComment>
  <threadedComment ref="B31" dT="2021-10-27T11:24:14.32" personId="{A1C5F080-99D5-E84B-BAE8-21A86899CA69}" id="{584095EA-AF71-034C-BB3E-B883377B5A4B}">
    <text>AEROEXPRESS</text>
  </threadedComment>
  <threadedComment ref="B32" dT="2021-10-28T16:57:04.19" personId="{A1C5F080-99D5-E84B-BAE8-21A86899CA69}" id="{6E2A31D1-63FD-6941-9B67-B5A591E3598D}">
    <text>USBECHKA</text>
  </threadedComment>
  <threadedComment ref="B34" dT="2021-10-28T16:58:26.00" personId="{A1C5F080-99D5-E84B-BAE8-21A86899CA69}" id="{63ECF4EF-128C-C84E-A2C5-5DD4F689CC2C}">
    <text>PIZZA IN HOOKAH</text>
  </threadedComment>
  <threadedComment ref="B35" dT="2021-10-28T16:59:45.05" personId="{A1C5F080-99D5-E84B-BAE8-21A86899CA69}" id="{08C5C4D0-D10B-0C4C-978B-E545ACEA1CDE}">
    <text>SCHOKOLADNIZA MIT ANNA</text>
  </threadedComment>
  <threadedComment ref="B38" dT="2021-10-29T15:32:44.77" personId="{A1C5F080-99D5-E84B-BAE8-21A86899CA69}" id="{75D9ED90-0201-3542-9789-EA4AABBAA217}">
    <text>internet</text>
  </threadedComment>
  <threadedComment ref="B39" dT="2021-10-29T15:34:07.08" personId="{A1C5F080-99D5-E84B-BAE8-21A86899CA69}" id="{CA4258A2-4703-5D46-9E68-6CE0683A3A9E}">
    <text>in aeroexpress</text>
  </threadedComment>
  <threadedComment ref="B40" dT="2021-10-29T15:35:00.31" personId="{A1C5F080-99D5-E84B-BAE8-21A86899CA69}" id="{CB8D3A6E-5942-6947-8FB8-EF7D4B6EF567}">
    <text>TAXI AUS LUFTHAFEN</text>
  </threadedComment>
  <threadedComment ref="B43" dT="2021-10-29T15:39:13.43" personId="{A1C5F080-99D5-E84B-BAE8-21A86899CA69}" id="{ABAA49E5-F503-C04B-B534-5850338F1CF0}">
    <text>IN HOOKAH MIT VLG UND IGUL</text>
  </threadedComment>
  <threadedComment ref="B45" dT="2021-10-30T17:19:24.88" personId="{A1C5F080-99D5-E84B-BAE8-21A86899CA69}" id="{57E1293A-7B24-0548-A42A-ED6028923CB4}">
    <text>U-BAHN zum Lufthaffen</text>
  </threadedComment>
  <threadedComment ref="B46" dT="2021-10-31T16:34:06.92" personId="{A1C5F080-99D5-E84B-BAE8-21A86899CA69}" id="{FADA3FC3-5615-5F4C-9670-16FF1EA7A346}">
    <text>TICKETS ZU LECHA</text>
  </threadedComment>
  <threadedComment ref="B50" dT="2021-11-03T14:36:27.75" personId="{A1C5F080-99D5-E84B-BAE8-21A86899CA69}" id="{6442E0A3-11E4-1C4C-9E99-B3EBD4D4D850}">
    <text>Apple</text>
  </threadedComment>
  <threadedComment ref="B51" dT="2021-11-03T14:36:57.69" personId="{A1C5F080-99D5-E84B-BAE8-21A86899CA69}" id="{2613B02C-1F9B-D749-9A85-1FB848D9B7D7}">
    <text>Gläse für mein Iphone</text>
  </threadedComment>
  <threadedComment ref="B64" dT="2021-11-14T11:15:01.89" personId="{A1C5F080-99D5-E84B-BAE8-21A86899CA69}" id="{4E98FE72-7BAB-3443-8947-116981D18E04}">
    <text>SCHEISSE SBER BENACHRICHTINGUNGEN</text>
  </threadedComment>
  <threadedComment ref="B66" dT="2021-11-14T11:04:11.12" personId="{A1C5F080-99D5-E84B-BAE8-21A86899CA69}" id="{5B87172F-4997-E640-B9B1-D9AADF9C6A01}">
    <text>LICHT In WG</text>
  </threadedComment>
  <threadedComment ref="B71" dT="2021-11-14T11:06:23.34" personId="{A1C5F080-99D5-E84B-BAE8-21A86899CA69}" id="{8D3C771B-B7CB-7C4E-B029-CA698B1EAEC4}">
    <text>MIETTE FUR WG</text>
  </threadedComment>
  <threadedComment ref="B95" dT="2021-11-22T08:40:40.76" personId="{A1C5F080-99D5-E84B-BAE8-21A86899CA69}" id="{296879F6-BB78-9843-A042-5AA63DF86CF7}">
    <text>1500 ивану за кальянку и 450 я был должен за предыдущую неделю + 150 за таксу</text>
  </threadedComment>
  <threadedComment ref="B96" dT="2021-11-22T08:42:31.79" personId="{A1C5F080-99D5-E84B-BAE8-21A86899CA69}" id="{7AD40F2E-8B28-4E44-8C51-4773CB541061}">
    <text>от эмина за предыдущий день</text>
  </threadedComment>
  <threadedComment ref="B97" dT="2021-11-26T12:24:49.57" personId="{A1C5F080-99D5-E84B-BAE8-21A86899CA69}" id="{3960EA77-0C78-7445-9D84-81DE56E641FF}">
    <text>Taxi in universitet</text>
  </threadedComment>
  <threadedComment ref="B100" dT="2021-11-30T14:06:42.04" personId="{A1C5F080-99D5-E84B-BAE8-21A86899CA69}" id="{7FF53CF0-154B-6E43-BC25-63FC195F31B3}">
    <text>Tele 2</text>
  </threadedComment>
  <threadedComment ref="B102" dT="2021-11-30T14:09:58.56" personId="{A1C5F080-99D5-E84B-BAE8-21A86899CA69}" id="{EC11F5BD-1034-D54B-8BD7-3E38D090F6EE}">
    <text>Алкашка с кальянкой</text>
  </threadedComment>
  <threadedComment ref="B106" dT="2021-11-30T14:09:45.33" personId="{A1C5F080-99D5-E84B-BAE8-21A86899CA69}" id="{7B2CE49A-4740-974B-B868-B6BE03B12C56}">
    <text>Перевод от девчонок  за калю</text>
  </threadedComment>
  <threadedComment ref="B109" dT="2021-12-05T09:06:08.32" personId="{A1C5F080-99D5-E84B-BAE8-21A86899CA69}" id="{69CD7CBD-E715-7346-A0AE-A1A66E72654C}">
    <text>Apple ICloud</text>
  </threadedComment>
  <threadedComment ref="B110" dT="2021-12-05T09:08:51.66" personId="{A1C5F080-99D5-E84B-BAE8-21A86899CA69}" id="{7BA45916-0B3C-A34E-9990-2BF890DA2ABF}">
    <text>Mittagessen zu Arbeit</text>
  </threadedComment>
  <threadedComment ref="B112" dT="2021-12-05T09:08:08.99" personId="{A1C5F080-99D5-E84B-BAE8-21A86899CA69}" id="{88F86604-F8AF-2F4E-8C3B-8BC8E1C06BB6}">
    <text>Buch</text>
  </threadedComment>
  <threadedComment ref="B114" dT="2021-12-05T09:11:46.71" personId="{A1C5F080-99D5-E84B-BAE8-21A86899CA69}" id="{C2CF96CF-7376-6D40-8FD0-8469787348A9}">
    <text>black born</text>
  </threadedComment>
  <threadedComment ref="B120" dT="2021-12-05T12:25:38.65" personId="{A1C5F080-99D5-E84B-BAE8-21A86899CA69}" id="{502DE55E-8F42-6941-BECB-6F628511D0D9}">
    <text>Tickets in VLG</text>
  </threadedComment>
  <threadedComment ref="B121" dT="2021-12-05T20:11:14.50" personId="{A1C5F080-99D5-E84B-BAE8-21A86899CA69}" id="{C157B7F0-7F81-FB48-814E-886AC419AC4C}">
    <text>Kino+ schaichana</text>
  </threadedComment>
  <threadedComment ref="B122" dT="2021-12-05T09:16:40.79" personId="{A1C5F080-99D5-E84B-BAE8-21A86899CA69}" id="{9A93EAAB-7F12-C44C-8C3E-75DD645821C1}">
    <text>Geschenk for Dimas</text>
  </threadedComment>
  <threadedComment ref="B123" dT="2021-12-05T20:09:42.57" personId="{A1C5F080-99D5-E84B-BAE8-21A86899CA69}" id="{C67A4D54-0EAE-A947-89A1-21D3247F575F}">
    <text>bus + monatliche ticket</text>
  </threadedComment>
  <threadedComment ref="B126" dT="2021-12-06T20:03:29.30" personId="{A1C5F080-99D5-E84B-BAE8-21A86899CA69}" id="{968A20CA-9743-DA44-BECB-65DC68F20518}">
    <text>von anna</text>
  </threadedComment>
  <threadedComment ref="B127" dT="2021-12-06T19:58:01.13" personId="{A1C5F080-99D5-E84B-BAE8-21A86899CA69}" id="{67DBF3A5-EF3F-E74D-9BFD-7308F3FF7815}">
    <text>fitness</text>
  </threadedComment>
  <threadedComment ref="B137" dT="2021-12-12T11:03:33.69" personId="{A1C5F080-99D5-E84B-BAE8-21A86899CA69}" id="{8C21754B-3B6F-8B48-A1C9-77B998CBCBA7}">
    <text>sber online</text>
  </threadedComment>
  <threadedComment ref="B138" dT="2021-12-12T10:59:35.95" personId="{A1C5F080-99D5-E84B-BAE8-21A86899CA69}" id="{594AEBC4-57AA-EA4A-A0AF-516FF16836E1}">
    <text>skyeng</text>
  </threadedComment>
  <threadedComment ref="B142" dT="2021-12-15T16:38:22.66" personId="{A1C5F080-99D5-E84B-BAE8-21A86899CA69}" id="{A075B7A1-1DFA-E44F-A5C7-770E4371600C}">
    <text>За фому</text>
  </threadedComment>
  <threadedComment ref="B145" dT="2021-12-15T16:38:43.06" personId="{A1C5F080-99D5-E84B-BAE8-21A86899CA69}" id="{1CB5F688-9F3D-2B4C-969F-FD3717EB8FD8}">
    <text>скай енг</text>
  </threadedComment>
  <threadedComment ref="B148" dT="2021-12-15T16:40:52.57" personId="{A1C5F080-99D5-E84B-BAE8-21A86899CA69}" id="{562DFBE1-9199-EC4E-90F5-E04BD365561D}">
    <text>все остальное</text>
  </threadedComment>
  <threadedComment ref="B149" dT="2021-12-15T16:40:30.44" personId="{A1C5F080-99D5-E84B-BAE8-21A86899CA69}" id="{54460EB4-1F49-E849-B219-D4BF19D9D3FD}">
    <text>котлетки</text>
  </threadedComment>
  <threadedComment ref="B155" dT="2021-12-18T19:13:20.90" personId="{A1C5F080-99D5-E84B-BAE8-21A86899CA69}" id="{4D691C06-290F-4947-BE18-B3E1364DCCBD}">
    <text>Налог на имущество с пенни</text>
  </threadedComment>
  <threadedComment ref="B173" dT="2021-12-26T15:05:54.02" personId="{A1C5F080-99D5-E84B-BAE8-21A86899CA69}" id="{6550C880-AC6F-5B4E-8B23-65D26E700E1F}">
    <text>Ботинки</text>
  </threadedComment>
  <threadedComment ref="B174" dT="2021-12-26T15:06:01.30" personId="{A1C5F080-99D5-E84B-BAE8-21A86899CA69}" id="{C2536F16-F2DE-8F4F-BB65-A8AB2E2E2697}">
    <text>ДР фомы</text>
  </threadedComment>
  <threadedComment ref="B179" dT="2021-12-26T15:05:44.04" personId="{A1C5F080-99D5-E84B-BAE8-21A86899CA69}" id="{89CA6514-8E92-9A4E-9722-A9042A97749B}">
    <text>Связь</text>
  </threadedComment>
  <threadedComment ref="B184" dT="2021-12-30T19:53:46.94" personId="{F282A385-D5D9-DD4A-B56A-4B669FF14569}" id="{CFD3F827-3F69-E840-8E38-F1FEF1F1040F}">
    <text>internet</text>
  </threadedComment>
  <threadedComment ref="B190" dT="2022-01-05T09:59:50.32" personId="{598A3994-0B69-7C46-AB9C-D6C953E37D6B}" id="{37A8334E-D977-3C46-8838-5BF16D56AC2A}">
    <text>ticket in club for Anna</text>
  </threadedComment>
  <threadedComment ref="B191" dT="2022-01-05T10:00:03.17" personId="{598A3994-0B69-7C46-AB9C-D6C953E37D6B}" id="{51130B5A-FD51-9E42-9C81-A096997EC669}">
    <text>taxi for Anna</text>
  </threadedComment>
  <threadedComment ref="B192" dT="2022-01-05T09:59:30.81" personId="{598A3994-0B69-7C46-AB9C-D6C953E37D6B}" id="{09B3184F-014B-1844-92D7-C0AC124BAC74}">
    <text>apple</text>
  </threadedComment>
  <threadedComment ref="B201" dT="2022-01-05T10:04:14.67" personId="{598A3994-0B69-7C46-AB9C-D6C953E37D6B}" id="{088215D8-F7DA-484F-B5A1-73C32F4930D2}">
    <text>подарок родителям</text>
  </threadedComment>
  <threadedComment ref="B214" dT="2022-01-08T18:14:36.88" personId="{598A3994-0B69-7C46-AB9C-D6C953E37D6B}" id="{6B875922-685F-F048-8283-C6799042BE22}">
    <text>caffe in airport</text>
  </threadedComment>
  <threadedComment ref="B215" dT="2022-01-08T18:15:00.27" personId="{598A3994-0B69-7C46-AB9C-D6C953E37D6B}" id="{D3720765-F3CA-9B48-94D1-C4B970122319}">
    <text>wash</text>
  </threadedComment>
  <threadedComment ref="B236" dT="2022-01-13T18:50:43.97" personId="{598A3994-0B69-7C46-AB9C-D6C953E37D6B}" id="{27083A64-96C7-3D4C-B434-9C03C4CBB929}">
    <text>Такси в уник, с Сани 200 за обе поездки</text>
  </threadedComment>
  <threadedComment ref="B252" dT="2022-01-24T11:53:45.35" personId="{598A3994-0B69-7C46-AB9C-D6C953E37D6B}" id="{F350F39E-1DA3-0242-8CE9-0C4E8A3A18F7}">
    <text>Стрижка</text>
  </threadedComment>
  <threadedComment ref="B253" dT="2022-01-24T11:53:51.97" personId="{598A3994-0B69-7C46-AB9C-D6C953E37D6B}" id="{EB52C2F6-D4D9-E04E-923E-6DC1B2AE9A51}">
    <text>Ногти</text>
  </threadedComment>
  <threadedComment ref="B259" dT="2022-01-26T21:07:37.86" personId="{598A3994-0B69-7C46-AB9C-D6C953E37D6B}" id="{5751B47F-9C95-8448-A04E-1A8C9E22515F}">
    <text>Tele2</text>
  </threadedComment>
  <threadedComment ref="B262" dT="2022-01-27T19:11:11.39" personId="{598A3994-0B69-7C46-AB9C-D6C953E37D6B}" id="{9746BF8F-B8F7-2D41-B5DF-ADC3B7775928}">
    <text>Flower for my grandma</text>
  </threadedComment>
  <threadedComment ref="B265" dT="2022-01-30T21:59:08.81" personId="{598A3994-0B69-7C46-AB9C-D6C953E37D6B}" id="{1ACD72F6-1C1D-394E-83E5-5F672D160EAA}">
    <text>pizza for me and Alexandr</text>
  </threadedComment>
  <threadedComment ref="B266" dT="2022-01-30T21:59:31.84" personId="{598A3994-0B69-7C46-AB9C-D6C953E37D6B}" id="{9F67BFE0-B5AA-F146-959B-CA693E876899}">
    <text>Internet</text>
  </threadedComment>
  <threadedComment ref="B268" dT="2022-01-30T22:00:33.62" personId="{598A3994-0B69-7C46-AB9C-D6C953E37D6B}" id="{3620DAC1-8719-7948-B27A-D049735A6227}">
    <text>from Alexandr</text>
  </threadedComment>
  <threadedComment ref="B269" dT="2022-02-05T15:16:48.17" personId="{598A3994-0B69-7C46-AB9C-D6C953E37D6B}" id="{C49E29ED-5311-1A46-BC3C-584809EACE64}">
    <text>apple</text>
  </threadedComment>
  <threadedComment ref="B318" dT="2022-02-24T15:13:05.88" personId="{598A3994-0B69-7C46-AB9C-D6C953E37D6B}" id="{82F402B2-7508-6C4A-96BC-0F4A0164C077}">
    <text>From mutti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8E0A8-8F00-0348-841F-473C80A4D86F}">
  <dimension ref="A1:H3977"/>
  <sheetViews>
    <sheetView tabSelected="1" topLeftCell="A751" workbookViewId="0">
      <selection activeCell="L3058" sqref="L3058"/>
    </sheetView>
  </sheetViews>
  <sheetFormatPr baseColWidth="10" defaultRowHeight="16" x14ac:dyDescent="0.2"/>
  <cols>
    <col min="1" max="1" width="14.5" style="5" customWidth="1"/>
    <col min="2" max="8" width="12" style="5" customWidth="1"/>
    <col min="9" max="16384" width="10.83203125" style="5"/>
  </cols>
  <sheetData>
    <row r="1" spans="1:8" x14ac:dyDescent="0.2">
      <c r="A1" s="28" t="s">
        <v>28</v>
      </c>
      <c r="B1" s="29" t="s">
        <v>29</v>
      </c>
      <c r="C1" s="30" t="s">
        <v>31</v>
      </c>
      <c r="D1" s="30" t="s">
        <v>33</v>
      </c>
      <c r="E1" s="31" t="s">
        <v>30</v>
      </c>
      <c r="F1" s="31" t="s">
        <v>32</v>
      </c>
      <c r="G1" s="32" t="s">
        <v>34</v>
      </c>
      <c r="H1" s="32" t="s">
        <v>35</v>
      </c>
    </row>
    <row r="2" spans="1:8" x14ac:dyDescent="0.2">
      <c r="A2" s="1">
        <v>44487</v>
      </c>
      <c r="B2" s="2" t="s">
        <v>9</v>
      </c>
      <c r="C2" s="3">
        <f t="shared" ref="C2:C16" si="0">IF(0,0,0)</f>
        <v>0</v>
      </c>
      <c r="D2" s="3">
        <v>106.2</v>
      </c>
      <c r="E2" s="3">
        <f>IF(0,0,0)</f>
        <v>0</v>
      </c>
      <c r="F2" s="6">
        <f>IF(0,0,0)</f>
        <v>0</v>
      </c>
      <c r="G2" s="4"/>
      <c r="H2" s="4"/>
    </row>
    <row r="3" spans="1:8" x14ac:dyDescent="0.2">
      <c r="A3" s="1">
        <v>44487</v>
      </c>
      <c r="B3" s="7" t="s">
        <v>7</v>
      </c>
      <c r="C3" s="3">
        <f t="shared" si="0"/>
        <v>0</v>
      </c>
      <c r="D3" s="3">
        <v>406</v>
      </c>
      <c r="E3" s="4">
        <f>IF(0,0,0)</f>
        <v>0</v>
      </c>
      <c r="F3" s="6">
        <f>IF(0,0,0)</f>
        <v>0</v>
      </c>
      <c r="G3" s="4"/>
      <c r="H3" s="4"/>
    </row>
    <row r="4" spans="1:8" x14ac:dyDescent="0.2">
      <c r="A4" s="1">
        <v>44488</v>
      </c>
      <c r="B4" s="7" t="s">
        <v>2</v>
      </c>
      <c r="C4" s="3">
        <f t="shared" si="0"/>
        <v>0</v>
      </c>
      <c r="D4" s="3">
        <f>IF(0,0,0)</f>
        <v>0</v>
      </c>
      <c r="E4" s="4">
        <f>IF(0,0,0)</f>
        <v>0</v>
      </c>
      <c r="F4" s="6">
        <f>360-180</f>
        <v>180</v>
      </c>
      <c r="G4" s="4"/>
      <c r="H4" s="4"/>
    </row>
    <row r="5" spans="1:8" x14ac:dyDescent="0.2">
      <c r="A5" s="1">
        <v>44489</v>
      </c>
      <c r="B5" s="7" t="s">
        <v>9</v>
      </c>
      <c r="C5" s="3">
        <f t="shared" si="0"/>
        <v>0</v>
      </c>
      <c r="D5" s="3">
        <v>1349.24</v>
      </c>
      <c r="E5" s="4">
        <f>IF(0,0,0)</f>
        <v>0</v>
      </c>
      <c r="F5" s="6">
        <f>IF(0,0,0)</f>
        <v>0</v>
      </c>
      <c r="G5" s="4"/>
      <c r="H5" s="4"/>
    </row>
    <row r="6" spans="1:8" x14ac:dyDescent="0.2">
      <c r="A6" s="1">
        <v>44489</v>
      </c>
      <c r="B6" s="7" t="s">
        <v>9</v>
      </c>
      <c r="C6" s="3">
        <f t="shared" si="0"/>
        <v>0</v>
      </c>
      <c r="D6" s="3">
        <v>73</v>
      </c>
      <c r="E6" s="4">
        <f>IF(0,0,0)</f>
        <v>0</v>
      </c>
      <c r="F6" s="6">
        <f>IF(0,0,0)</f>
        <v>0</v>
      </c>
      <c r="G6" s="4"/>
      <c r="H6" s="4"/>
    </row>
    <row r="7" spans="1:8" x14ac:dyDescent="0.2">
      <c r="A7" s="1">
        <v>44489</v>
      </c>
      <c r="B7" s="7" t="s">
        <v>2</v>
      </c>
      <c r="C7" s="3">
        <f t="shared" si="0"/>
        <v>0</v>
      </c>
      <c r="D7" s="3">
        <f>IF(0,0,0)</f>
        <v>0</v>
      </c>
      <c r="E7" s="4">
        <f>IF(0,0,0)</f>
        <v>0</v>
      </c>
      <c r="F7" s="6">
        <v>300</v>
      </c>
      <c r="G7" s="4"/>
      <c r="H7" s="4"/>
    </row>
    <row r="8" spans="1:8" ht="17" thickBot="1" x14ac:dyDescent="0.25">
      <c r="A8" s="1">
        <v>44490</v>
      </c>
      <c r="B8" s="8" t="s">
        <v>9</v>
      </c>
      <c r="C8" s="9">
        <f t="shared" si="0"/>
        <v>0</v>
      </c>
      <c r="D8" s="9">
        <v>55</v>
      </c>
      <c r="E8" s="9">
        <f t="shared" ref="E8:F10" si="1">IF(0,0,0)</f>
        <v>0</v>
      </c>
      <c r="F8" s="10">
        <f t="shared" si="1"/>
        <v>0</v>
      </c>
      <c r="G8" s="4"/>
      <c r="H8" s="4"/>
    </row>
    <row r="9" spans="1:8" x14ac:dyDescent="0.2">
      <c r="A9" s="11">
        <v>44490</v>
      </c>
      <c r="B9" s="12" t="s">
        <v>9</v>
      </c>
      <c r="C9" s="3">
        <f t="shared" si="0"/>
        <v>0</v>
      </c>
      <c r="D9" s="3">
        <v>160</v>
      </c>
      <c r="E9" s="4">
        <f t="shared" si="1"/>
        <v>0</v>
      </c>
      <c r="F9" s="6">
        <f t="shared" si="1"/>
        <v>0</v>
      </c>
      <c r="G9" s="4"/>
      <c r="H9" s="4"/>
    </row>
    <row r="10" spans="1:8" x14ac:dyDescent="0.2">
      <c r="A10" s="11">
        <v>44490</v>
      </c>
      <c r="B10" s="12" t="s">
        <v>8</v>
      </c>
      <c r="C10" s="3">
        <f t="shared" si="0"/>
        <v>0</v>
      </c>
      <c r="D10" s="3">
        <v>860</v>
      </c>
      <c r="E10" s="4">
        <f t="shared" si="1"/>
        <v>0</v>
      </c>
      <c r="F10" s="6">
        <f t="shared" si="1"/>
        <v>0</v>
      </c>
      <c r="G10" s="4"/>
      <c r="H10" s="4"/>
    </row>
    <row r="11" spans="1:8" x14ac:dyDescent="0.2">
      <c r="A11" s="11">
        <v>44490</v>
      </c>
      <c r="B11" s="12" t="s">
        <v>15</v>
      </c>
      <c r="C11" s="3">
        <f t="shared" si="0"/>
        <v>0</v>
      </c>
      <c r="D11" s="3">
        <v>1000</v>
      </c>
      <c r="E11" s="4">
        <v>1000</v>
      </c>
      <c r="F11" s="6">
        <f>IF(0,0,0)</f>
        <v>0</v>
      </c>
      <c r="G11" s="4"/>
      <c r="H11" s="4"/>
    </row>
    <row r="12" spans="1:8" x14ac:dyDescent="0.2">
      <c r="A12" s="11">
        <v>44490</v>
      </c>
      <c r="B12" s="12" t="s">
        <v>8</v>
      </c>
      <c r="C12" s="3">
        <f t="shared" si="0"/>
        <v>0</v>
      </c>
      <c r="D12" s="3">
        <f t="shared" ref="D12:D17" si="2">IF(0,0,0)</f>
        <v>0</v>
      </c>
      <c r="E12" s="4">
        <v>150</v>
      </c>
      <c r="F12" s="6">
        <f>IF(0,0,0)</f>
        <v>0</v>
      </c>
      <c r="G12" s="4"/>
      <c r="H12" s="4"/>
    </row>
    <row r="13" spans="1:8" x14ac:dyDescent="0.2">
      <c r="A13" s="11">
        <v>44490</v>
      </c>
      <c r="B13" s="12" t="s">
        <v>2</v>
      </c>
      <c r="C13" s="3">
        <f t="shared" si="0"/>
        <v>0</v>
      </c>
      <c r="D13" s="3">
        <f t="shared" si="2"/>
        <v>0</v>
      </c>
      <c r="E13" s="4">
        <f>IF(0,0,0)</f>
        <v>0</v>
      </c>
      <c r="F13" s="6">
        <v>300</v>
      </c>
      <c r="G13" s="4"/>
      <c r="H13" s="4"/>
    </row>
    <row r="14" spans="1:8" x14ac:dyDescent="0.2">
      <c r="A14" s="11">
        <v>44490</v>
      </c>
      <c r="B14" s="12" t="s">
        <v>2</v>
      </c>
      <c r="C14" s="3">
        <f t="shared" si="0"/>
        <v>0</v>
      </c>
      <c r="D14" s="3">
        <f t="shared" si="2"/>
        <v>0</v>
      </c>
      <c r="E14" s="4">
        <f>IF(0,0,0)</f>
        <v>0</v>
      </c>
      <c r="F14" s="6">
        <v>46</v>
      </c>
      <c r="G14" s="4"/>
      <c r="H14" s="4"/>
    </row>
    <row r="15" spans="1:8" ht="17" thickBot="1" x14ac:dyDescent="0.25">
      <c r="A15" s="11">
        <v>44491</v>
      </c>
      <c r="B15" s="34" t="s">
        <v>16</v>
      </c>
      <c r="C15" s="9">
        <f t="shared" si="0"/>
        <v>0</v>
      </c>
      <c r="D15" s="9">
        <f t="shared" si="2"/>
        <v>0</v>
      </c>
      <c r="E15" s="9">
        <v>5000</v>
      </c>
      <c r="F15" s="10">
        <f>IF(0,0,0)</f>
        <v>0</v>
      </c>
      <c r="G15" s="4"/>
      <c r="H15" s="4"/>
    </row>
    <row r="16" spans="1:8" x14ac:dyDescent="0.2">
      <c r="A16" s="1">
        <v>44491</v>
      </c>
      <c r="B16" s="19" t="s">
        <v>17</v>
      </c>
      <c r="C16" s="3">
        <f t="shared" si="0"/>
        <v>0</v>
      </c>
      <c r="D16" s="3">
        <f t="shared" si="2"/>
        <v>0</v>
      </c>
      <c r="E16" s="4">
        <v>5000</v>
      </c>
      <c r="F16" s="6">
        <f>IF(0,0,0)</f>
        <v>0</v>
      </c>
      <c r="G16" s="4"/>
      <c r="H16" s="4"/>
    </row>
    <row r="17" spans="1:8" x14ac:dyDescent="0.2">
      <c r="A17" s="1">
        <v>44491</v>
      </c>
      <c r="B17" s="19" t="s">
        <v>16</v>
      </c>
      <c r="C17" s="3">
        <v>5000</v>
      </c>
      <c r="D17" s="3">
        <f t="shared" si="2"/>
        <v>0</v>
      </c>
      <c r="E17" s="4">
        <f>IF(0,0,0)</f>
        <v>0</v>
      </c>
      <c r="F17" s="6">
        <v>5000</v>
      </c>
      <c r="G17" s="4"/>
      <c r="H17" s="4"/>
    </row>
    <row r="18" spans="1:8" x14ac:dyDescent="0.2">
      <c r="A18" s="1">
        <v>44491</v>
      </c>
      <c r="B18" s="12" t="s">
        <v>7</v>
      </c>
      <c r="C18" s="3">
        <f t="shared" ref="C18:C25" si="3">IF(0,0,0)</f>
        <v>0</v>
      </c>
      <c r="D18" s="3">
        <f>1028.89+23.98+867.87</f>
        <v>1920.7400000000002</v>
      </c>
      <c r="E18" s="4">
        <f>IF(0,0,0)</f>
        <v>0</v>
      </c>
      <c r="F18" s="6">
        <f t="shared" ref="F18:F31" si="4">IF(0,0,0)</f>
        <v>0</v>
      </c>
      <c r="G18" s="4"/>
      <c r="H18" s="4"/>
    </row>
    <row r="19" spans="1:8" x14ac:dyDescent="0.2">
      <c r="A19" s="1">
        <v>44491</v>
      </c>
      <c r="B19" s="12" t="s">
        <v>10</v>
      </c>
      <c r="C19" s="3">
        <f t="shared" si="3"/>
        <v>0</v>
      </c>
      <c r="D19" s="3">
        <v>1650</v>
      </c>
      <c r="E19" s="4">
        <f>IF(0,0,0)</f>
        <v>0</v>
      </c>
      <c r="F19" s="6">
        <f t="shared" si="4"/>
        <v>0</v>
      </c>
      <c r="G19" s="4"/>
      <c r="H19" s="4"/>
    </row>
    <row r="20" spans="1:8" x14ac:dyDescent="0.2">
      <c r="A20" s="1">
        <v>44492</v>
      </c>
      <c r="B20" s="12" t="s">
        <v>2</v>
      </c>
      <c r="C20" s="3">
        <f t="shared" si="3"/>
        <v>0</v>
      </c>
      <c r="D20" s="3">
        <v>400</v>
      </c>
      <c r="E20" s="4">
        <f>IF(0,0,0)</f>
        <v>0</v>
      </c>
      <c r="F20" s="6">
        <f t="shared" si="4"/>
        <v>0</v>
      </c>
      <c r="G20" s="4"/>
      <c r="H20" s="4"/>
    </row>
    <row r="21" spans="1:8" x14ac:dyDescent="0.2">
      <c r="A21" s="1">
        <v>44492</v>
      </c>
      <c r="B21" s="12" t="s">
        <v>9</v>
      </c>
      <c r="C21" s="3">
        <f t="shared" si="3"/>
        <v>0</v>
      </c>
      <c r="D21" s="3">
        <v>149</v>
      </c>
      <c r="E21" s="4">
        <f>IF(0,0,0)</f>
        <v>0</v>
      </c>
      <c r="F21" s="6">
        <f t="shared" si="4"/>
        <v>0</v>
      </c>
      <c r="G21" s="4"/>
      <c r="H21" s="4"/>
    </row>
    <row r="22" spans="1:8" ht="17" thickBot="1" x14ac:dyDescent="0.25">
      <c r="A22" s="1">
        <v>44493</v>
      </c>
      <c r="B22" s="13" t="s">
        <v>18</v>
      </c>
      <c r="C22" s="9">
        <f t="shared" si="3"/>
        <v>0</v>
      </c>
      <c r="D22" s="9">
        <f>IF(0,0,0)</f>
        <v>0</v>
      </c>
      <c r="E22" s="9">
        <v>450</v>
      </c>
      <c r="F22" s="10">
        <f t="shared" si="4"/>
        <v>0</v>
      </c>
      <c r="G22" s="4"/>
      <c r="H22" s="4"/>
    </row>
    <row r="23" spans="1:8" x14ac:dyDescent="0.2">
      <c r="A23" s="11">
        <v>44493</v>
      </c>
      <c r="B23" s="12" t="s">
        <v>9</v>
      </c>
      <c r="C23" s="3">
        <f t="shared" si="3"/>
        <v>0</v>
      </c>
      <c r="D23" s="3">
        <v>330</v>
      </c>
      <c r="E23" s="4">
        <f t="shared" ref="E23:E40" si="5">IF(0,0,0)</f>
        <v>0</v>
      </c>
      <c r="F23" s="6">
        <f t="shared" si="4"/>
        <v>0</v>
      </c>
      <c r="G23" s="4"/>
      <c r="H23" s="4"/>
    </row>
    <row r="24" spans="1:8" x14ac:dyDescent="0.2">
      <c r="A24" s="11">
        <v>44493</v>
      </c>
      <c r="B24" s="12" t="s">
        <v>7</v>
      </c>
      <c r="C24" s="3">
        <f t="shared" si="3"/>
        <v>0</v>
      </c>
      <c r="D24" s="3">
        <v>195</v>
      </c>
      <c r="E24" s="4">
        <f t="shared" si="5"/>
        <v>0</v>
      </c>
      <c r="F24" s="6">
        <f t="shared" si="4"/>
        <v>0</v>
      </c>
      <c r="G24" s="4"/>
      <c r="H24" s="4"/>
    </row>
    <row r="25" spans="1:8" x14ac:dyDescent="0.2">
      <c r="A25" s="11">
        <v>44494</v>
      </c>
      <c r="B25" s="12" t="s">
        <v>8</v>
      </c>
      <c r="C25" s="3">
        <f t="shared" si="3"/>
        <v>0</v>
      </c>
      <c r="D25" s="3">
        <v>500</v>
      </c>
      <c r="E25" s="4">
        <f t="shared" si="5"/>
        <v>0</v>
      </c>
      <c r="F25" s="6">
        <f t="shared" si="4"/>
        <v>0</v>
      </c>
      <c r="G25" s="4"/>
      <c r="H25" s="4"/>
    </row>
    <row r="26" spans="1:8" x14ac:dyDescent="0.2">
      <c r="A26" s="11">
        <v>44495</v>
      </c>
      <c r="B26" s="19" t="s">
        <v>16</v>
      </c>
      <c r="C26" s="3">
        <v>2000</v>
      </c>
      <c r="D26" s="3">
        <f>IF(0,0,0)</f>
        <v>0</v>
      </c>
      <c r="E26" s="4">
        <f t="shared" si="5"/>
        <v>0</v>
      </c>
      <c r="F26" s="6">
        <f t="shared" si="4"/>
        <v>0</v>
      </c>
      <c r="G26" s="4"/>
      <c r="H26" s="4"/>
    </row>
    <row r="27" spans="1:8" x14ac:dyDescent="0.2">
      <c r="A27" s="11">
        <v>44495</v>
      </c>
      <c r="B27" s="12" t="s">
        <v>10</v>
      </c>
      <c r="C27" s="3">
        <f>IF(0,0,0)</f>
        <v>0</v>
      </c>
      <c r="D27" s="3">
        <v>500</v>
      </c>
      <c r="E27" s="4">
        <f t="shared" si="5"/>
        <v>0</v>
      </c>
      <c r="F27" s="6">
        <f t="shared" si="4"/>
        <v>0</v>
      </c>
      <c r="G27" s="4"/>
      <c r="H27" s="4"/>
    </row>
    <row r="28" spans="1:8" x14ac:dyDescent="0.2">
      <c r="A28" s="11">
        <v>44495</v>
      </c>
      <c r="B28" s="12" t="s">
        <v>9</v>
      </c>
      <c r="C28" s="3">
        <f>IF(0,0,0)</f>
        <v>0</v>
      </c>
      <c r="D28" s="3">
        <f>60+55</f>
        <v>115</v>
      </c>
      <c r="E28" s="4">
        <f t="shared" si="5"/>
        <v>0</v>
      </c>
      <c r="F28" s="6">
        <f t="shared" si="4"/>
        <v>0</v>
      </c>
      <c r="G28" s="4"/>
      <c r="H28" s="4"/>
    </row>
    <row r="29" spans="1:8" ht="17" thickBot="1" x14ac:dyDescent="0.25">
      <c r="A29" s="11">
        <v>44495</v>
      </c>
      <c r="B29" s="33" t="s">
        <v>19</v>
      </c>
      <c r="C29" s="9">
        <v>10000</v>
      </c>
      <c r="D29" s="9">
        <f>IF(0,0,0)</f>
        <v>0</v>
      </c>
      <c r="E29" s="9">
        <f t="shared" si="5"/>
        <v>0</v>
      </c>
      <c r="F29" s="10">
        <f t="shared" si="4"/>
        <v>0</v>
      </c>
      <c r="G29" s="4"/>
      <c r="H29" s="4"/>
    </row>
    <row r="30" spans="1:8" x14ac:dyDescent="0.2">
      <c r="A30" s="1">
        <v>44495</v>
      </c>
      <c r="B30" s="12" t="s">
        <v>2</v>
      </c>
      <c r="C30" s="3">
        <f t="shared" ref="C30:C36" si="6">IF(0,0,0)</f>
        <v>0</v>
      </c>
      <c r="D30" s="3">
        <v>8678</v>
      </c>
      <c r="E30" s="4">
        <f t="shared" si="5"/>
        <v>0</v>
      </c>
      <c r="F30" s="6">
        <f t="shared" si="4"/>
        <v>0</v>
      </c>
      <c r="G30" s="4"/>
      <c r="H30" s="4"/>
    </row>
    <row r="31" spans="1:8" x14ac:dyDescent="0.2">
      <c r="A31" s="1">
        <v>44496</v>
      </c>
      <c r="B31" s="12" t="s">
        <v>2</v>
      </c>
      <c r="C31" s="3">
        <f t="shared" si="6"/>
        <v>0</v>
      </c>
      <c r="D31" s="3">
        <v>600</v>
      </c>
      <c r="E31" s="4">
        <f t="shared" si="5"/>
        <v>0</v>
      </c>
      <c r="F31" s="6">
        <f t="shared" si="4"/>
        <v>0</v>
      </c>
      <c r="G31" s="4"/>
      <c r="H31" s="4"/>
    </row>
    <row r="32" spans="1:8" x14ac:dyDescent="0.2">
      <c r="A32" s="1">
        <v>44496</v>
      </c>
      <c r="B32" s="12" t="s">
        <v>9</v>
      </c>
      <c r="C32" s="3">
        <f t="shared" si="6"/>
        <v>0</v>
      </c>
      <c r="D32" s="3">
        <f>0</f>
        <v>0</v>
      </c>
      <c r="E32" s="4">
        <f t="shared" si="5"/>
        <v>0</v>
      </c>
      <c r="F32" s="6">
        <v>230</v>
      </c>
      <c r="G32" s="4"/>
      <c r="H32" s="4"/>
    </row>
    <row r="33" spans="1:8" x14ac:dyDescent="0.2">
      <c r="A33" s="1">
        <v>44496</v>
      </c>
      <c r="B33" s="12" t="s">
        <v>2</v>
      </c>
      <c r="C33" s="3">
        <f t="shared" si="6"/>
        <v>0</v>
      </c>
      <c r="D33" s="3">
        <f>IF(0,0,0)</f>
        <v>0</v>
      </c>
      <c r="E33" s="4">
        <f t="shared" si="5"/>
        <v>0</v>
      </c>
      <c r="F33" s="6">
        <v>138</v>
      </c>
      <c r="G33" s="4"/>
      <c r="H33" s="4"/>
    </row>
    <row r="34" spans="1:8" x14ac:dyDescent="0.2">
      <c r="A34" s="1">
        <v>44496</v>
      </c>
      <c r="B34" s="12" t="s">
        <v>9</v>
      </c>
      <c r="C34" s="3">
        <f t="shared" si="6"/>
        <v>0</v>
      </c>
      <c r="D34" s="3">
        <f>IF(0,0,0)</f>
        <v>0</v>
      </c>
      <c r="E34" s="4">
        <f t="shared" si="5"/>
        <v>0</v>
      </c>
      <c r="F34" s="6">
        <v>600</v>
      </c>
      <c r="G34" s="4"/>
      <c r="H34" s="4"/>
    </row>
    <row r="35" spans="1:8" x14ac:dyDescent="0.2">
      <c r="A35" s="1">
        <v>44496</v>
      </c>
      <c r="B35" s="12" t="s">
        <v>6</v>
      </c>
      <c r="C35" s="3">
        <f t="shared" si="6"/>
        <v>0</v>
      </c>
      <c r="D35" s="3">
        <v>1080</v>
      </c>
      <c r="E35" s="4">
        <f t="shared" si="5"/>
        <v>0</v>
      </c>
      <c r="F35" s="6">
        <f>IF(0,0,0)</f>
        <v>0</v>
      </c>
      <c r="G35" s="4"/>
      <c r="H35" s="4"/>
    </row>
    <row r="36" spans="1:8" ht="17" thickBot="1" x14ac:dyDescent="0.25">
      <c r="A36" s="1">
        <v>44496</v>
      </c>
      <c r="B36" s="12" t="s">
        <v>7</v>
      </c>
      <c r="C36" s="9">
        <f t="shared" si="6"/>
        <v>0</v>
      </c>
      <c r="D36" s="9">
        <v>2800</v>
      </c>
      <c r="E36" s="9">
        <f t="shared" si="5"/>
        <v>0</v>
      </c>
      <c r="F36" s="10">
        <f>IF(0,0,0)</f>
        <v>0</v>
      </c>
      <c r="G36" s="4"/>
      <c r="H36" s="4"/>
    </row>
    <row r="37" spans="1:8" x14ac:dyDescent="0.2">
      <c r="A37" s="11">
        <v>44496</v>
      </c>
      <c r="B37" s="19" t="s">
        <v>20</v>
      </c>
      <c r="C37" s="3">
        <v>800</v>
      </c>
      <c r="D37" s="3">
        <f>IF(0,0,0)</f>
        <v>0</v>
      </c>
      <c r="E37" s="4">
        <f t="shared" si="5"/>
        <v>0</v>
      </c>
      <c r="F37" s="6">
        <f>IF(0,0,0)</f>
        <v>0</v>
      </c>
      <c r="G37" s="4"/>
      <c r="H37" s="4"/>
    </row>
    <row r="38" spans="1:8" x14ac:dyDescent="0.2">
      <c r="A38" s="11">
        <v>44497</v>
      </c>
      <c r="B38" s="12" t="s">
        <v>8</v>
      </c>
      <c r="C38" s="3">
        <f>IF(0,0,0)</f>
        <v>0</v>
      </c>
      <c r="D38" s="3">
        <f>IF(0,0,0)</f>
        <v>0</v>
      </c>
      <c r="E38" s="4">
        <f t="shared" si="5"/>
        <v>0</v>
      </c>
      <c r="F38" s="6">
        <v>500</v>
      </c>
      <c r="G38" s="4"/>
      <c r="H38" s="4"/>
    </row>
    <row r="39" spans="1:8" x14ac:dyDescent="0.2">
      <c r="A39" s="11">
        <v>44498</v>
      </c>
      <c r="B39" s="12" t="s">
        <v>9</v>
      </c>
      <c r="C39" s="3">
        <f>IF(0,0,0)</f>
        <v>0</v>
      </c>
      <c r="D39" s="3">
        <v>400</v>
      </c>
      <c r="E39" s="4">
        <f t="shared" si="5"/>
        <v>0</v>
      </c>
      <c r="F39" s="6">
        <f>IF(0,0,0)</f>
        <v>0</v>
      </c>
      <c r="G39" s="4"/>
      <c r="H39" s="4"/>
    </row>
    <row r="40" spans="1:8" x14ac:dyDescent="0.2">
      <c r="A40" s="11">
        <v>44498</v>
      </c>
      <c r="B40" s="12" t="s">
        <v>2</v>
      </c>
      <c r="C40" s="3">
        <f>IF(0,0,0)</f>
        <v>0</v>
      </c>
      <c r="D40" s="3">
        <f>IF(0,0,0)</f>
        <v>0</v>
      </c>
      <c r="E40" s="4">
        <f t="shared" si="5"/>
        <v>0</v>
      </c>
      <c r="F40" s="6">
        <v>651</v>
      </c>
      <c r="G40" s="4"/>
      <c r="H40" s="4"/>
    </row>
    <row r="41" spans="1:8" x14ac:dyDescent="0.2">
      <c r="A41" s="11">
        <v>44498</v>
      </c>
      <c r="B41" s="19" t="s">
        <v>21</v>
      </c>
      <c r="C41" s="3">
        <f>IF(0,0,0)</f>
        <v>0</v>
      </c>
      <c r="D41" s="3">
        <f>IF(0,0,0)</f>
        <v>0</v>
      </c>
      <c r="E41" s="4">
        <v>250</v>
      </c>
      <c r="F41" s="6">
        <f>IF(0,0,0)</f>
        <v>0</v>
      </c>
      <c r="G41" s="4"/>
      <c r="H41" s="4"/>
    </row>
    <row r="42" spans="1:8" x14ac:dyDescent="0.2">
      <c r="A42" s="11">
        <v>44498</v>
      </c>
      <c r="B42" s="19" t="s">
        <v>16</v>
      </c>
      <c r="C42" s="3">
        <v>2000</v>
      </c>
      <c r="D42" s="3">
        <f>IF(0,0,0)</f>
        <v>0</v>
      </c>
      <c r="E42" s="4">
        <f>IF(0,0,0)</f>
        <v>0</v>
      </c>
      <c r="F42" s="6">
        <v>2000</v>
      </c>
      <c r="G42" s="4"/>
      <c r="H42" s="4"/>
    </row>
    <row r="43" spans="1:8" ht="17" thickBot="1" x14ac:dyDescent="0.25">
      <c r="A43" s="11">
        <v>44498</v>
      </c>
      <c r="B43" s="13" t="s">
        <v>7</v>
      </c>
      <c r="C43" s="9">
        <f t="shared" ref="C43:C48" si="7">IF(0,0,0)</f>
        <v>0</v>
      </c>
      <c r="D43" s="9">
        <v>1025</v>
      </c>
      <c r="E43" s="9">
        <f>IF(0,0,0)</f>
        <v>0</v>
      </c>
      <c r="F43" s="10">
        <f>IF(0,0,0)</f>
        <v>0</v>
      </c>
      <c r="G43" s="4"/>
      <c r="H43" s="4"/>
    </row>
    <row r="44" spans="1:8" x14ac:dyDescent="0.2">
      <c r="A44" s="1">
        <v>44498</v>
      </c>
      <c r="B44" s="19" t="s">
        <v>22</v>
      </c>
      <c r="C44" s="3">
        <f t="shared" si="7"/>
        <v>0</v>
      </c>
      <c r="D44" s="3">
        <f>IF(0,0,0)</f>
        <v>0</v>
      </c>
      <c r="E44" s="4">
        <v>1200</v>
      </c>
      <c r="F44" s="6">
        <f>IF(0,0,0)</f>
        <v>0</v>
      </c>
      <c r="G44" s="4"/>
      <c r="H44" s="4"/>
    </row>
    <row r="45" spans="1:8" x14ac:dyDescent="0.2">
      <c r="A45" s="1">
        <v>44499</v>
      </c>
      <c r="B45" s="12" t="s">
        <v>2</v>
      </c>
      <c r="C45" s="3">
        <f t="shared" si="7"/>
        <v>0</v>
      </c>
      <c r="D45" s="3">
        <f>IF(0,0,0)</f>
        <v>0</v>
      </c>
      <c r="E45" s="4">
        <f t="shared" ref="E45:E67" si="8">IF(0,0,0)</f>
        <v>0</v>
      </c>
      <c r="F45" s="6">
        <v>46</v>
      </c>
      <c r="G45" s="4"/>
      <c r="H45" s="4"/>
    </row>
    <row r="46" spans="1:8" x14ac:dyDescent="0.2">
      <c r="A46" s="1">
        <v>44500</v>
      </c>
      <c r="B46" s="12" t="s">
        <v>2</v>
      </c>
      <c r="C46" s="3">
        <f t="shared" si="7"/>
        <v>0</v>
      </c>
      <c r="D46" s="3">
        <f>IF(0,0,0)</f>
        <v>0</v>
      </c>
      <c r="E46" s="4">
        <f t="shared" si="8"/>
        <v>0</v>
      </c>
      <c r="F46" s="6">
        <v>755</v>
      </c>
      <c r="G46" s="4"/>
      <c r="H46" s="4"/>
    </row>
    <row r="47" spans="1:8" x14ac:dyDescent="0.2">
      <c r="A47" s="1">
        <v>44500</v>
      </c>
      <c r="B47" s="12" t="s">
        <v>10</v>
      </c>
      <c r="C47" s="3">
        <f t="shared" si="7"/>
        <v>0</v>
      </c>
      <c r="D47" s="3">
        <v>650</v>
      </c>
      <c r="E47" s="4">
        <f t="shared" si="8"/>
        <v>0</v>
      </c>
      <c r="F47" s="6">
        <f>IF(0,0,0)</f>
        <v>0</v>
      </c>
      <c r="G47" s="4"/>
      <c r="H47" s="4"/>
    </row>
    <row r="48" spans="1:8" x14ac:dyDescent="0.2">
      <c r="A48" s="1">
        <v>44500</v>
      </c>
      <c r="B48" s="12" t="s">
        <v>9</v>
      </c>
      <c r="C48" s="3">
        <f t="shared" si="7"/>
        <v>0</v>
      </c>
      <c r="D48" s="3">
        <v>154.99</v>
      </c>
      <c r="E48" s="4">
        <f t="shared" si="8"/>
        <v>0</v>
      </c>
      <c r="F48" s="6">
        <f>IF(0,0,0)</f>
        <v>0</v>
      </c>
      <c r="G48" s="4"/>
      <c r="H48" s="4"/>
    </row>
    <row r="49" spans="1:8" x14ac:dyDescent="0.2">
      <c r="A49" s="1">
        <v>44500</v>
      </c>
      <c r="B49" s="19" t="s">
        <v>16</v>
      </c>
      <c r="C49" s="3">
        <v>25.07</v>
      </c>
      <c r="D49" s="3">
        <f>IF(0,0,0)</f>
        <v>0</v>
      </c>
      <c r="E49" s="4">
        <f t="shared" si="8"/>
        <v>0</v>
      </c>
      <c r="F49" s="6">
        <f>IF(0,0,0)</f>
        <v>0</v>
      </c>
      <c r="G49" s="4"/>
      <c r="H49" s="4"/>
    </row>
    <row r="50" spans="1:8" ht="17" thickBot="1" x14ac:dyDescent="0.25">
      <c r="A50" s="1">
        <v>44501</v>
      </c>
      <c r="B50" s="13" t="s">
        <v>8</v>
      </c>
      <c r="C50" s="9">
        <f>IF(0,0,0)</f>
        <v>0</v>
      </c>
      <c r="D50" s="9">
        <v>59</v>
      </c>
      <c r="E50" s="9">
        <f t="shared" si="8"/>
        <v>0</v>
      </c>
      <c r="F50" s="10">
        <f>IF(0,0,0)</f>
        <v>0</v>
      </c>
      <c r="G50" s="4"/>
      <c r="H50" s="4"/>
    </row>
    <row r="51" spans="1:8" x14ac:dyDescent="0.2">
      <c r="A51" s="11">
        <v>44502</v>
      </c>
      <c r="B51" s="12" t="s">
        <v>8</v>
      </c>
      <c r="C51" s="3">
        <f>IF(0,0,0)</f>
        <v>0</v>
      </c>
      <c r="D51" s="3">
        <v>720</v>
      </c>
      <c r="E51" s="4">
        <f t="shared" si="8"/>
        <v>0</v>
      </c>
      <c r="F51" s="6">
        <f>IF(0,0,0)</f>
        <v>0</v>
      </c>
      <c r="G51" s="4"/>
      <c r="H51" s="4"/>
    </row>
    <row r="52" spans="1:8" x14ac:dyDescent="0.2">
      <c r="A52" s="11">
        <v>44503</v>
      </c>
      <c r="B52" s="12" t="s">
        <v>5</v>
      </c>
      <c r="C52" s="3">
        <v>2000</v>
      </c>
      <c r="D52" s="3">
        <f>IF(0,0,0)</f>
        <v>0</v>
      </c>
      <c r="E52" s="4">
        <f t="shared" si="8"/>
        <v>0</v>
      </c>
      <c r="F52" s="6">
        <v>2000</v>
      </c>
      <c r="G52" s="4"/>
      <c r="H52" s="4"/>
    </row>
    <row r="53" spans="1:8" x14ac:dyDescent="0.2">
      <c r="A53" s="11">
        <v>44503</v>
      </c>
      <c r="B53" s="12" t="s">
        <v>9</v>
      </c>
      <c r="C53" s="3">
        <f t="shared" ref="C53:C58" si="9">IF(0,0,0)</f>
        <v>0</v>
      </c>
      <c r="D53" s="3">
        <v>1170</v>
      </c>
      <c r="E53" s="4">
        <f t="shared" si="8"/>
        <v>0</v>
      </c>
      <c r="F53" s="6">
        <f t="shared" ref="F53:F62" si="10">IF(0,0,0)</f>
        <v>0</v>
      </c>
      <c r="G53" s="4"/>
      <c r="H53" s="4"/>
    </row>
    <row r="54" spans="1:8" x14ac:dyDescent="0.2">
      <c r="A54" s="11">
        <v>44505</v>
      </c>
      <c r="B54" s="12" t="s">
        <v>9</v>
      </c>
      <c r="C54" s="3">
        <f t="shared" si="9"/>
        <v>0</v>
      </c>
      <c r="D54" s="3">
        <v>200</v>
      </c>
      <c r="E54" s="4">
        <f t="shared" si="8"/>
        <v>0</v>
      </c>
      <c r="F54" s="6">
        <f t="shared" si="10"/>
        <v>0</v>
      </c>
      <c r="G54" s="4"/>
      <c r="H54" s="4"/>
    </row>
    <row r="55" spans="1:8" x14ac:dyDescent="0.2">
      <c r="A55" s="11">
        <v>44506</v>
      </c>
      <c r="B55" s="12" t="s">
        <v>9</v>
      </c>
      <c r="C55" s="3">
        <f t="shared" si="9"/>
        <v>0</v>
      </c>
      <c r="D55" s="3">
        <v>420</v>
      </c>
      <c r="E55" s="4">
        <f t="shared" si="8"/>
        <v>0</v>
      </c>
      <c r="F55" s="6">
        <f t="shared" si="10"/>
        <v>0</v>
      </c>
      <c r="G55" s="4"/>
      <c r="H55" s="4"/>
    </row>
    <row r="56" spans="1:8" x14ac:dyDescent="0.2">
      <c r="A56" s="11">
        <v>44506</v>
      </c>
      <c r="B56" s="12" t="s">
        <v>2</v>
      </c>
      <c r="C56" s="3">
        <f t="shared" si="9"/>
        <v>0</v>
      </c>
      <c r="D56" s="3">
        <v>46</v>
      </c>
      <c r="E56" s="4">
        <f t="shared" si="8"/>
        <v>0</v>
      </c>
      <c r="F56" s="6">
        <f t="shared" si="10"/>
        <v>0</v>
      </c>
      <c r="G56" s="4"/>
      <c r="H56" s="4"/>
    </row>
    <row r="57" spans="1:8" ht="17" thickBot="1" x14ac:dyDescent="0.25">
      <c r="A57" s="11">
        <v>44507</v>
      </c>
      <c r="B57" s="13" t="s">
        <v>8</v>
      </c>
      <c r="C57" s="9">
        <f t="shared" si="9"/>
        <v>0</v>
      </c>
      <c r="D57" s="9">
        <v>120</v>
      </c>
      <c r="E57" s="9">
        <f t="shared" si="8"/>
        <v>0</v>
      </c>
      <c r="F57" s="10">
        <f t="shared" si="10"/>
        <v>0</v>
      </c>
      <c r="G57" s="4"/>
      <c r="H57" s="4"/>
    </row>
    <row r="58" spans="1:8" x14ac:dyDescent="0.2">
      <c r="A58" s="1">
        <v>44507</v>
      </c>
      <c r="B58" s="12" t="s">
        <v>9</v>
      </c>
      <c r="C58" s="3">
        <f t="shared" si="9"/>
        <v>0</v>
      </c>
      <c r="D58" s="3">
        <v>35</v>
      </c>
      <c r="E58" s="4">
        <f t="shared" si="8"/>
        <v>0</v>
      </c>
      <c r="F58" s="6">
        <f t="shared" si="10"/>
        <v>0</v>
      </c>
      <c r="G58" s="4"/>
      <c r="H58" s="4"/>
    </row>
    <row r="59" spans="1:8" x14ac:dyDescent="0.2">
      <c r="A59" s="1">
        <v>44508</v>
      </c>
      <c r="B59" s="12" t="s">
        <v>5</v>
      </c>
      <c r="C59" s="3">
        <v>420</v>
      </c>
      <c r="D59" s="3">
        <f>IF(0,0,0)</f>
        <v>0</v>
      </c>
      <c r="E59" s="4">
        <f t="shared" si="8"/>
        <v>0</v>
      </c>
      <c r="F59" s="6">
        <f t="shared" si="10"/>
        <v>0</v>
      </c>
      <c r="G59" s="4"/>
      <c r="H59" s="4"/>
    </row>
    <row r="60" spans="1:8" x14ac:dyDescent="0.2">
      <c r="A60" s="1">
        <v>44508</v>
      </c>
      <c r="B60" s="12" t="s">
        <v>2</v>
      </c>
      <c r="C60" s="3">
        <f>IF(0,0,0)</f>
        <v>0</v>
      </c>
      <c r="D60" s="3">
        <v>420</v>
      </c>
      <c r="E60" s="4">
        <f t="shared" si="8"/>
        <v>0</v>
      </c>
      <c r="F60" s="6">
        <f t="shared" si="10"/>
        <v>0</v>
      </c>
      <c r="G60" s="4"/>
      <c r="H60" s="4"/>
    </row>
    <row r="61" spans="1:8" x14ac:dyDescent="0.2">
      <c r="A61" s="1">
        <v>44508</v>
      </c>
      <c r="B61" s="12" t="s">
        <v>9</v>
      </c>
      <c r="C61" s="3">
        <f>IF(0,0,0)</f>
        <v>0</v>
      </c>
      <c r="D61" s="3">
        <v>470</v>
      </c>
      <c r="E61" s="4">
        <f t="shared" si="8"/>
        <v>0</v>
      </c>
      <c r="F61" s="6">
        <f t="shared" si="10"/>
        <v>0</v>
      </c>
      <c r="G61" s="4"/>
      <c r="H61" s="4"/>
    </row>
    <row r="62" spans="1:8" x14ac:dyDescent="0.2">
      <c r="A62" s="1">
        <v>44509</v>
      </c>
      <c r="B62" s="12" t="s">
        <v>2</v>
      </c>
      <c r="C62" s="3">
        <f>IF(0,0,0)</f>
        <v>0</v>
      </c>
      <c r="D62" s="3">
        <v>46</v>
      </c>
      <c r="E62" s="4">
        <f t="shared" si="8"/>
        <v>0</v>
      </c>
      <c r="F62" s="6">
        <f t="shared" si="10"/>
        <v>0</v>
      </c>
      <c r="G62" s="4"/>
      <c r="H62" s="4"/>
    </row>
    <row r="63" spans="1:8" x14ac:dyDescent="0.2">
      <c r="A63" s="1">
        <v>44510</v>
      </c>
      <c r="B63" s="12" t="s">
        <v>2</v>
      </c>
      <c r="C63" s="3">
        <f>IF(0,0,0)</f>
        <v>0</v>
      </c>
      <c r="D63" s="3">
        <f>IF(0,0,0)</f>
        <v>0</v>
      </c>
      <c r="E63" s="4">
        <f t="shared" si="8"/>
        <v>0</v>
      </c>
      <c r="F63" s="6">
        <v>180</v>
      </c>
      <c r="G63" s="4"/>
      <c r="H63" s="4"/>
    </row>
    <row r="64" spans="1:8" ht="17" thickBot="1" x14ac:dyDescent="0.25">
      <c r="A64" s="1">
        <v>44510</v>
      </c>
      <c r="B64" s="13" t="s">
        <v>8</v>
      </c>
      <c r="C64" s="9">
        <f>IF(0,0,0)</f>
        <v>0</v>
      </c>
      <c r="D64" s="9">
        <f>IF(0,0,0)</f>
        <v>0</v>
      </c>
      <c r="E64" s="9">
        <f t="shared" si="8"/>
        <v>0</v>
      </c>
      <c r="F64" s="10">
        <v>60</v>
      </c>
      <c r="G64" s="4"/>
      <c r="H64" s="4"/>
    </row>
    <row r="65" spans="1:8" x14ac:dyDescent="0.2">
      <c r="A65" s="11">
        <v>44511</v>
      </c>
      <c r="B65" s="12" t="s">
        <v>5</v>
      </c>
      <c r="C65" s="3">
        <v>2000</v>
      </c>
      <c r="D65" s="3">
        <f>IF(0,0,0)</f>
        <v>0</v>
      </c>
      <c r="E65" s="4">
        <f t="shared" si="8"/>
        <v>0</v>
      </c>
      <c r="F65" s="6">
        <f>IF(0,0,0)</f>
        <v>0</v>
      </c>
      <c r="G65" s="4"/>
      <c r="H65" s="4"/>
    </row>
    <row r="66" spans="1:8" x14ac:dyDescent="0.2">
      <c r="A66" s="11">
        <v>44511</v>
      </c>
      <c r="B66" s="12" t="s">
        <v>8</v>
      </c>
      <c r="C66" s="3">
        <f t="shared" ref="C66:C74" si="11">IF(0,0,0)</f>
        <v>0</v>
      </c>
      <c r="D66" s="3">
        <f>IF(0,0,0)</f>
        <v>0</v>
      </c>
      <c r="E66" s="4">
        <f t="shared" si="8"/>
        <v>0</v>
      </c>
      <c r="F66" s="6">
        <f>433+4.33</f>
        <v>437.33</v>
      </c>
      <c r="G66" s="4"/>
      <c r="H66" s="4"/>
    </row>
    <row r="67" spans="1:8" x14ac:dyDescent="0.2">
      <c r="A67" s="11">
        <v>44511</v>
      </c>
      <c r="B67" s="12" t="s">
        <v>9</v>
      </c>
      <c r="C67" s="3">
        <f t="shared" si="11"/>
        <v>0</v>
      </c>
      <c r="D67" s="3">
        <v>799</v>
      </c>
      <c r="E67" s="4">
        <f t="shared" si="8"/>
        <v>0</v>
      </c>
      <c r="F67" s="6">
        <f>IF(0,0,0)</f>
        <v>0</v>
      </c>
      <c r="G67" s="4"/>
      <c r="H67" s="4"/>
    </row>
    <row r="68" spans="1:8" x14ac:dyDescent="0.2">
      <c r="A68" s="11">
        <v>44511</v>
      </c>
      <c r="B68" s="12" t="s">
        <v>21</v>
      </c>
      <c r="C68" s="3">
        <f t="shared" si="11"/>
        <v>0</v>
      </c>
      <c r="D68" s="3">
        <f>IF(0,0,0)</f>
        <v>0</v>
      </c>
      <c r="E68" s="4">
        <v>217</v>
      </c>
      <c r="F68" s="6">
        <f>IF(0,0,0)</f>
        <v>0</v>
      </c>
      <c r="G68" s="4"/>
      <c r="H68" s="4"/>
    </row>
    <row r="69" spans="1:8" ht="17" thickBot="1" x14ac:dyDescent="0.25">
      <c r="A69" s="1">
        <v>44512</v>
      </c>
      <c r="B69" s="13" t="s">
        <v>9</v>
      </c>
      <c r="C69" s="9">
        <f t="shared" si="11"/>
        <v>0</v>
      </c>
      <c r="D69" s="9">
        <v>381</v>
      </c>
      <c r="E69" s="9">
        <f>IF(0,0,0)</f>
        <v>0</v>
      </c>
      <c r="F69" s="10">
        <f>IF(0,0,0)</f>
        <v>0</v>
      </c>
      <c r="G69" s="4"/>
      <c r="H69" s="4"/>
    </row>
    <row r="70" spans="1:8" x14ac:dyDescent="0.2">
      <c r="A70" s="1">
        <v>44512</v>
      </c>
      <c r="B70" s="12" t="s">
        <v>23</v>
      </c>
      <c r="C70" s="3">
        <f t="shared" si="11"/>
        <v>0</v>
      </c>
      <c r="D70" s="3">
        <f>IF(0,0,0)</f>
        <v>0</v>
      </c>
      <c r="E70" s="4">
        <v>12000</v>
      </c>
      <c r="F70" s="6">
        <f>IF(0,0,0)</f>
        <v>0</v>
      </c>
      <c r="G70" s="4"/>
      <c r="H70" s="4"/>
    </row>
    <row r="71" spans="1:8" x14ac:dyDescent="0.2">
      <c r="A71" s="1">
        <v>44512</v>
      </c>
      <c r="B71" s="12" t="s">
        <v>8</v>
      </c>
      <c r="C71" s="3">
        <f t="shared" si="11"/>
        <v>0</v>
      </c>
      <c r="D71" s="3">
        <f>IF(0,0,0)</f>
        <v>0</v>
      </c>
      <c r="E71" s="4">
        <f>IF(0,0,0)</f>
        <v>0</v>
      </c>
      <c r="F71" s="6">
        <f>11832+118.32</f>
        <v>11950.32</v>
      </c>
      <c r="G71" s="4"/>
      <c r="H71" s="4"/>
    </row>
    <row r="72" spans="1:8" ht="17" thickBot="1" x14ac:dyDescent="0.25">
      <c r="A72" s="11">
        <v>44512</v>
      </c>
      <c r="B72" s="12" t="s">
        <v>2</v>
      </c>
      <c r="C72" s="3">
        <f t="shared" si="11"/>
        <v>0</v>
      </c>
      <c r="D72" s="3">
        <f>IF(0,0,0)</f>
        <v>0</v>
      </c>
      <c r="E72" s="4">
        <f>IF(0,0,0)</f>
        <v>0</v>
      </c>
      <c r="F72" s="6">
        <v>240</v>
      </c>
      <c r="G72" s="4"/>
      <c r="H72" s="4"/>
    </row>
    <row r="73" spans="1:8" x14ac:dyDescent="0.2">
      <c r="A73" s="11">
        <v>44514</v>
      </c>
      <c r="B73" s="15" t="s">
        <v>2</v>
      </c>
      <c r="C73" s="3">
        <f t="shared" si="11"/>
        <v>0</v>
      </c>
      <c r="D73" s="3">
        <f>IF(0,0,0)</f>
        <v>0</v>
      </c>
      <c r="E73" s="4">
        <f>IF(0,0,0)</f>
        <v>0</v>
      </c>
      <c r="F73" s="6">
        <v>222</v>
      </c>
      <c r="G73" s="4"/>
      <c r="H73" s="4"/>
    </row>
    <row r="74" spans="1:8" x14ac:dyDescent="0.2">
      <c r="A74" s="11">
        <v>44514</v>
      </c>
      <c r="B74" s="12" t="s">
        <v>9</v>
      </c>
      <c r="C74" s="3">
        <f t="shared" si="11"/>
        <v>0</v>
      </c>
      <c r="D74" s="3">
        <v>591.1</v>
      </c>
      <c r="E74" s="4">
        <f>IF(0,0,0)</f>
        <v>0</v>
      </c>
      <c r="F74" s="6">
        <f>IF(0,0,0)</f>
        <v>0</v>
      </c>
      <c r="G74" s="4"/>
      <c r="H74" s="4"/>
    </row>
    <row r="75" spans="1:8" x14ac:dyDescent="0.2">
      <c r="A75" s="11">
        <v>44515</v>
      </c>
      <c r="B75" s="12" t="s">
        <v>24</v>
      </c>
      <c r="C75" s="3">
        <v>0</v>
      </c>
      <c r="D75" s="3">
        <f>IF(0,0,0)</f>
        <v>0</v>
      </c>
      <c r="E75" s="4">
        <v>2000</v>
      </c>
      <c r="F75" s="6">
        <f>IF(0,0,0)</f>
        <v>0</v>
      </c>
      <c r="G75" s="4"/>
      <c r="H75" s="4"/>
    </row>
    <row r="76" spans="1:8" x14ac:dyDescent="0.2">
      <c r="A76" s="11">
        <v>44515</v>
      </c>
      <c r="B76" s="12" t="s">
        <v>2</v>
      </c>
      <c r="C76" s="3">
        <f>IF(0,0,0)</f>
        <v>0</v>
      </c>
      <c r="D76" s="3">
        <v>0</v>
      </c>
      <c r="E76" s="4">
        <f>IF(0,0,0)</f>
        <v>0</v>
      </c>
      <c r="F76" s="6">
        <v>300</v>
      </c>
      <c r="G76" s="4"/>
      <c r="H76" s="4"/>
    </row>
    <row r="77" spans="1:8" x14ac:dyDescent="0.2">
      <c r="A77" s="11">
        <v>44515</v>
      </c>
      <c r="B77" s="12" t="s">
        <v>8</v>
      </c>
      <c r="C77" s="3">
        <v>200</v>
      </c>
      <c r="D77" s="3">
        <f>IF(0,0,0)</f>
        <v>0</v>
      </c>
      <c r="E77" s="4">
        <v>150</v>
      </c>
      <c r="F77" s="6">
        <f>IF(0,0,0)</f>
        <v>0</v>
      </c>
      <c r="G77" s="4"/>
      <c r="H77" s="4"/>
    </row>
    <row r="78" spans="1:8" x14ac:dyDescent="0.2">
      <c r="A78" s="1">
        <v>44515</v>
      </c>
      <c r="B78" s="2" t="s">
        <v>5</v>
      </c>
      <c r="C78" s="3">
        <v>1000</v>
      </c>
      <c r="D78" s="3">
        <f>IF(0,0,0)</f>
        <v>0</v>
      </c>
      <c r="E78" s="4">
        <f>IF(0,0,0)</f>
        <v>0</v>
      </c>
      <c r="F78" s="6">
        <v>1000</v>
      </c>
      <c r="G78" s="4"/>
      <c r="H78" s="4"/>
    </row>
    <row r="79" spans="1:8" x14ac:dyDescent="0.2">
      <c r="A79" s="1">
        <v>44515</v>
      </c>
      <c r="B79" s="12" t="s">
        <v>9</v>
      </c>
      <c r="C79" s="3">
        <f>IF(0,0,0)</f>
        <v>0</v>
      </c>
      <c r="D79" s="3">
        <f>475+631</f>
        <v>1106</v>
      </c>
      <c r="E79" s="4">
        <f>IF(0,0,0)</f>
        <v>0</v>
      </c>
      <c r="F79" s="6">
        <f t="shared" ref="F79:F85" si="12">IF(0,0,0)</f>
        <v>0</v>
      </c>
      <c r="G79" s="4"/>
      <c r="H79" s="4"/>
    </row>
    <row r="80" spans="1:8" ht="17" thickBot="1" x14ac:dyDescent="0.25">
      <c r="A80" s="1">
        <v>44516</v>
      </c>
      <c r="B80" s="12" t="s">
        <v>9</v>
      </c>
      <c r="C80" s="3">
        <f>IF(0,0,0)</f>
        <v>0</v>
      </c>
      <c r="D80" s="3">
        <v>420</v>
      </c>
      <c r="E80" s="4">
        <f>IF(0,0,0)</f>
        <v>0</v>
      </c>
      <c r="F80" s="6">
        <f t="shared" si="12"/>
        <v>0</v>
      </c>
      <c r="G80" s="4"/>
      <c r="H80" s="4"/>
    </row>
    <row r="81" spans="1:8" ht="17" thickBot="1" x14ac:dyDescent="0.25">
      <c r="A81" s="11">
        <v>44517</v>
      </c>
      <c r="B81" s="15" t="s">
        <v>23</v>
      </c>
      <c r="C81" s="3">
        <f>IF(0,0,0)</f>
        <v>0</v>
      </c>
      <c r="D81" s="3">
        <f>IF(0,0,0)</f>
        <v>0</v>
      </c>
      <c r="E81" s="4">
        <v>5000</v>
      </c>
      <c r="F81" s="6">
        <f t="shared" si="12"/>
        <v>0</v>
      </c>
      <c r="G81" s="4"/>
      <c r="H81" s="4"/>
    </row>
    <row r="82" spans="1:8" x14ac:dyDescent="0.2">
      <c r="A82" s="1">
        <v>44517</v>
      </c>
      <c r="B82" s="15" t="s">
        <v>19</v>
      </c>
      <c r="C82" s="3">
        <v>5000</v>
      </c>
      <c r="D82" s="3">
        <f>IF(0,0,0)</f>
        <v>0</v>
      </c>
      <c r="E82" s="4">
        <f t="shared" ref="E82:E95" si="13">IF(0,0,0)</f>
        <v>0</v>
      </c>
      <c r="F82" s="6">
        <f t="shared" si="12"/>
        <v>0</v>
      </c>
      <c r="G82" s="4"/>
      <c r="H82" s="4"/>
    </row>
    <row r="83" spans="1:8" x14ac:dyDescent="0.2">
      <c r="A83" s="1">
        <v>44517</v>
      </c>
      <c r="B83" s="12" t="s">
        <v>9</v>
      </c>
      <c r="C83" s="3">
        <f t="shared" ref="C83:C89" si="14">IF(0,0,0)</f>
        <v>0</v>
      </c>
      <c r="D83" s="3">
        <v>320</v>
      </c>
      <c r="E83" s="4">
        <f t="shared" si="13"/>
        <v>0</v>
      </c>
      <c r="F83" s="6">
        <f t="shared" si="12"/>
        <v>0</v>
      </c>
      <c r="G83" s="4"/>
      <c r="H83" s="4"/>
    </row>
    <row r="84" spans="1:8" x14ac:dyDescent="0.2">
      <c r="A84" s="1">
        <v>44517</v>
      </c>
      <c r="B84" s="2" t="s">
        <v>6</v>
      </c>
      <c r="C84" s="3">
        <f t="shared" si="14"/>
        <v>0</v>
      </c>
      <c r="D84" s="3">
        <f>55+60</f>
        <v>115</v>
      </c>
      <c r="E84" s="3">
        <f t="shared" si="13"/>
        <v>0</v>
      </c>
      <c r="F84" s="6">
        <f t="shared" si="12"/>
        <v>0</v>
      </c>
      <c r="G84" s="4"/>
      <c r="H84" s="4"/>
    </row>
    <row r="85" spans="1:8" x14ac:dyDescent="0.2">
      <c r="A85" s="1">
        <v>44518</v>
      </c>
      <c r="B85" s="2" t="s">
        <v>9</v>
      </c>
      <c r="C85" s="3">
        <f t="shared" si="14"/>
        <v>0</v>
      </c>
      <c r="D85" s="3">
        <v>140</v>
      </c>
      <c r="E85" s="4">
        <f t="shared" si="13"/>
        <v>0</v>
      </c>
      <c r="F85" s="6">
        <f t="shared" si="12"/>
        <v>0</v>
      </c>
      <c r="G85" s="4"/>
      <c r="H85" s="4"/>
    </row>
    <row r="86" spans="1:8" x14ac:dyDescent="0.2">
      <c r="A86" s="1">
        <v>44518</v>
      </c>
      <c r="B86" s="2" t="s">
        <v>2</v>
      </c>
      <c r="C86" s="3">
        <f t="shared" si="14"/>
        <v>0</v>
      </c>
      <c r="D86" s="3">
        <f>IF(0,0,0)</f>
        <v>0</v>
      </c>
      <c r="E86" s="4">
        <f t="shared" si="13"/>
        <v>0</v>
      </c>
      <c r="F86" s="6">
        <v>75</v>
      </c>
      <c r="G86" s="4"/>
      <c r="H86" s="4"/>
    </row>
    <row r="87" spans="1:8" x14ac:dyDescent="0.2">
      <c r="A87" s="1">
        <v>44518</v>
      </c>
      <c r="B87" s="2" t="s">
        <v>9</v>
      </c>
      <c r="C87" s="3">
        <f t="shared" si="14"/>
        <v>0</v>
      </c>
      <c r="D87" s="3">
        <v>325</v>
      </c>
      <c r="E87" s="4">
        <f t="shared" si="13"/>
        <v>0</v>
      </c>
      <c r="F87" s="6">
        <f t="shared" ref="F87:F92" si="15">IF(0,0,0)</f>
        <v>0</v>
      </c>
      <c r="G87" s="4"/>
      <c r="H87" s="4"/>
    </row>
    <row r="88" spans="1:8" x14ac:dyDescent="0.2">
      <c r="A88" s="1">
        <v>44518</v>
      </c>
      <c r="B88" s="2" t="s">
        <v>10</v>
      </c>
      <c r="C88" s="3">
        <f t="shared" si="14"/>
        <v>0</v>
      </c>
      <c r="D88" s="3">
        <v>390</v>
      </c>
      <c r="E88" s="4">
        <f t="shared" si="13"/>
        <v>0</v>
      </c>
      <c r="F88" s="6">
        <f t="shared" si="15"/>
        <v>0</v>
      </c>
      <c r="G88" s="4"/>
      <c r="H88" s="4"/>
    </row>
    <row r="89" spans="1:8" x14ac:dyDescent="0.2">
      <c r="A89" s="1">
        <v>44518</v>
      </c>
      <c r="B89" s="2" t="s">
        <v>2</v>
      </c>
      <c r="C89" s="3">
        <f t="shared" si="14"/>
        <v>0</v>
      </c>
      <c r="D89" s="3">
        <v>46</v>
      </c>
      <c r="E89" s="4">
        <f t="shared" si="13"/>
        <v>0</v>
      </c>
      <c r="F89" s="6">
        <f t="shared" si="15"/>
        <v>0</v>
      </c>
      <c r="G89" s="4"/>
      <c r="H89" s="4"/>
    </row>
    <row r="90" spans="1:8" ht="17" thickBot="1" x14ac:dyDescent="0.25">
      <c r="A90" s="1">
        <v>44519</v>
      </c>
      <c r="B90" s="2" t="s">
        <v>13</v>
      </c>
      <c r="C90" s="9">
        <v>16793</v>
      </c>
      <c r="D90" s="9">
        <f>IF(0,0,0)</f>
        <v>0</v>
      </c>
      <c r="E90" s="9">
        <f t="shared" si="13"/>
        <v>0</v>
      </c>
      <c r="F90" s="10">
        <f t="shared" si="15"/>
        <v>0</v>
      </c>
      <c r="G90" s="4"/>
      <c r="H90" s="4"/>
    </row>
    <row r="91" spans="1:8" x14ac:dyDescent="0.2">
      <c r="A91" s="11">
        <v>44519</v>
      </c>
      <c r="B91" s="2" t="s">
        <v>9</v>
      </c>
      <c r="C91" s="3">
        <f t="shared" ref="C91:C106" si="16">IF(0,0,0)</f>
        <v>0</v>
      </c>
      <c r="D91" s="3">
        <f>301+701.02</f>
        <v>1002.02</v>
      </c>
      <c r="E91" s="4">
        <f t="shared" si="13"/>
        <v>0</v>
      </c>
      <c r="F91" s="6">
        <f t="shared" si="15"/>
        <v>0</v>
      </c>
      <c r="G91" s="4"/>
      <c r="H91" s="4"/>
    </row>
    <row r="92" spans="1:8" x14ac:dyDescent="0.2">
      <c r="A92" s="11">
        <v>44519</v>
      </c>
      <c r="B92" s="2" t="s">
        <v>7</v>
      </c>
      <c r="C92" s="3">
        <f t="shared" si="16"/>
        <v>0</v>
      </c>
      <c r="D92" s="3">
        <v>629</v>
      </c>
      <c r="E92" s="4">
        <f t="shared" si="13"/>
        <v>0</v>
      </c>
      <c r="F92" s="6">
        <f t="shared" si="15"/>
        <v>0</v>
      </c>
      <c r="G92" s="4"/>
      <c r="H92" s="4"/>
    </row>
    <row r="93" spans="1:8" x14ac:dyDescent="0.2">
      <c r="A93" s="11">
        <v>44520</v>
      </c>
      <c r="B93" s="2" t="s">
        <v>25</v>
      </c>
      <c r="C93" s="3">
        <f t="shared" si="16"/>
        <v>0</v>
      </c>
      <c r="D93" s="3">
        <f>IF(0,0,0)</f>
        <v>0</v>
      </c>
      <c r="E93" s="4">
        <f t="shared" si="13"/>
        <v>0</v>
      </c>
      <c r="F93" s="6">
        <v>2000</v>
      </c>
      <c r="G93" s="4"/>
      <c r="H93" s="4"/>
    </row>
    <row r="94" spans="1:8" x14ac:dyDescent="0.2">
      <c r="A94" s="1">
        <v>44520</v>
      </c>
      <c r="B94" s="2" t="s">
        <v>7</v>
      </c>
      <c r="C94" s="3">
        <f t="shared" si="16"/>
        <v>0</v>
      </c>
      <c r="D94" s="3">
        <v>1026.8699999999999</v>
      </c>
      <c r="E94" s="4">
        <f t="shared" si="13"/>
        <v>0</v>
      </c>
      <c r="F94" s="6">
        <f>IF(0,0,0)</f>
        <v>0</v>
      </c>
      <c r="G94" s="4"/>
      <c r="H94" s="4"/>
    </row>
    <row r="95" spans="1:8" x14ac:dyDescent="0.2">
      <c r="A95" s="1">
        <v>44521</v>
      </c>
      <c r="B95" s="2" t="s">
        <v>7</v>
      </c>
      <c r="C95" s="3">
        <f t="shared" si="16"/>
        <v>0</v>
      </c>
      <c r="D95" s="3">
        <v>2100</v>
      </c>
      <c r="E95" s="4">
        <f t="shared" si="13"/>
        <v>0</v>
      </c>
      <c r="F95" s="6">
        <f>IF(0,0,0)</f>
        <v>0</v>
      </c>
      <c r="G95" s="4"/>
      <c r="H95" s="4"/>
    </row>
    <row r="96" spans="1:8" x14ac:dyDescent="0.2">
      <c r="A96" s="11">
        <v>44521</v>
      </c>
      <c r="B96" s="2" t="s">
        <v>7</v>
      </c>
      <c r="C96" s="3">
        <f t="shared" si="16"/>
        <v>0</v>
      </c>
      <c r="D96" s="3">
        <f>IF(0,0,0)</f>
        <v>0</v>
      </c>
      <c r="E96" s="4">
        <v>514.5</v>
      </c>
      <c r="F96" s="6">
        <f>IF(0,0,0)</f>
        <v>0</v>
      </c>
      <c r="G96" s="4"/>
      <c r="H96" s="4"/>
    </row>
    <row r="97" spans="1:8" x14ac:dyDescent="0.2">
      <c r="A97" s="1">
        <v>44523</v>
      </c>
      <c r="B97" s="2" t="s">
        <v>2</v>
      </c>
      <c r="C97" s="3">
        <f t="shared" si="16"/>
        <v>0</v>
      </c>
      <c r="D97" s="3">
        <f>IF(0,0,0)</f>
        <v>0</v>
      </c>
      <c r="E97" s="4">
        <f t="shared" ref="E97:E104" si="17">IF(0,0,0)</f>
        <v>0</v>
      </c>
      <c r="F97" s="6">
        <v>370</v>
      </c>
      <c r="G97" s="4"/>
      <c r="H97" s="4"/>
    </row>
    <row r="98" spans="1:8" x14ac:dyDescent="0.2">
      <c r="A98" s="1">
        <v>44523</v>
      </c>
      <c r="B98" s="2" t="s">
        <v>9</v>
      </c>
      <c r="C98" s="3">
        <f t="shared" si="16"/>
        <v>0</v>
      </c>
      <c r="D98" s="3">
        <v>404.95</v>
      </c>
      <c r="E98" s="4">
        <f t="shared" si="17"/>
        <v>0</v>
      </c>
      <c r="F98" s="6">
        <f>IF(0,0,0)</f>
        <v>0</v>
      </c>
      <c r="G98" s="4"/>
      <c r="H98" s="4"/>
    </row>
    <row r="99" spans="1:8" x14ac:dyDescent="0.2">
      <c r="A99" s="1">
        <v>44524</v>
      </c>
      <c r="B99" s="2" t="s">
        <v>10</v>
      </c>
      <c r="C99" s="3">
        <f t="shared" si="16"/>
        <v>0</v>
      </c>
      <c r="D99" s="3">
        <f>IF(0,0,0)</f>
        <v>0</v>
      </c>
      <c r="E99" s="4">
        <f t="shared" si="17"/>
        <v>0</v>
      </c>
      <c r="F99" s="6">
        <v>390</v>
      </c>
      <c r="G99" s="4"/>
      <c r="H99" s="4"/>
    </row>
    <row r="100" spans="1:8" x14ac:dyDescent="0.2">
      <c r="A100" s="1">
        <v>44526</v>
      </c>
      <c r="B100" s="2" t="s">
        <v>8</v>
      </c>
      <c r="C100" s="3">
        <f t="shared" si="16"/>
        <v>0</v>
      </c>
      <c r="D100" s="3">
        <v>500</v>
      </c>
      <c r="E100" s="4">
        <f t="shared" si="17"/>
        <v>0</v>
      </c>
      <c r="F100" s="6">
        <f>IF(0,0,0)</f>
        <v>0</v>
      </c>
      <c r="G100" s="4"/>
      <c r="H100" s="4"/>
    </row>
    <row r="101" spans="1:8" x14ac:dyDescent="0.2">
      <c r="A101" s="1">
        <v>44526</v>
      </c>
      <c r="B101" s="2" t="s">
        <v>2</v>
      </c>
      <c r="C101" s="3">
        <f t="shared" si="16"/>
        <v>0</v>
      </c>
      <c r="D101" s="3">
        <f>IF(0,0,0)</f>
        <v>0</v>
      </c>
      <c r="E101" s="4">
        <f t="shared" si="17"/>
        <v>0</v>
      </c>
      <c r="F101" s="6">
        <v>215</v>
      </c>
      <c r="G101" s="4"/>
      <c r="H101" s="4"/>
    </row>
    <row r="102" spans="1:8" x14ac:dyDescent="0.2">
      <c r="A102" s="1">
        <v>44526</v>
      </c>
      <c r="B102" s="2" t="s">
        <v>7</v>
      </c>
      <c r="C102" s="3">
        <f t="shared" si="16"/>
        <v>0</v>
      </c>
      <c r="D102" s="3">
        <f>8100+1683</f>
        <v>9783</v>
      </c>
      <c r="E102" s="4">
        <f t="shared" si="17"/>
        <v>0</v>
      </c>
      <c r="F102" s="6">
        <f>IF(0,0,0)</f>
        <v>0</v>
      </c>
      <c r="G102" s="4"/>
      <c r="H102" s="4"/>
    </row>
    <row r="103" spans="1:8" x14ac:dyDescent="0.2">
      <c r="A103" s="1">
        <v>44527</v>
      </c>
      <c r="B103" s="12" t="s">
        <v>7</v>
      </c>
      <c r="C103" s="3">
        <f t="shared" si="16"/>
        <v>0</v>
      </c>
      <c r="D103" s="3">
        <f>IF(0,0,0)</f>
        <v>0</v>
      </c>
      <c r="E103" s="4">
        <f t="shared" si="17"/>
        <v>0</v>
      </c>
      <c r="F103" s="6">
        <f>507+250</f>
        <v>757</v>
      </c>
      <c r="G103" s="4"/>
      <c r="H103" s="4"/>
    </row>
    <row r="104" spans="1:8" x14ac:dyDescent="0.2">
      <c r="A104" s="1">
        <v>44527</v>
      </c>
      <c r="B104" s="12" t="s">
        <v>2</v>
      </c>
      <c r="C104" s="3">
        <f t="shared" si="16"/>
        <v>0</v>
      </c>
      <c r="D104" s="3">
        <f>IF(0,0,0)</f>
        <v>0</v>
      </c>
      <c r="E104" s="4">
        <f t="shared" si="17"/>
        <v>0</v>
      </c>
      <c r="F104" s="6">
        <v>750</v>
      </c>
      <c r="G104" s="4"/>
      <c r="H104" s="4"/>
    </row>
    <row r="105" spans="1:8" x14ac:dyDescent="0.2">
      <c r="A105" s="1">
        <v>44527</v>
      </c>
      <c r="B105" s="12" t="s">
        <v>7</v>
      </c>
      <c r="C105" s="3">
        <f t="shared" si="16"/>
        <v>0</v>
      </c>
      <c r="D105" s="3">
        <f>IF(0,0,0)</f>
        <v>0</v>
      </c>
      <c r="E105" s="4">
        <v>250</v>
      </c>
      <c r="F105" s="6">
        <f t="shared" ref="F105:F110" si="18">IF(0,0,0)</f>
        <v>0</v>
      </c>
      <c r="G105" s="4"/>
      <c r="H105" s="4"/>
    </row>
    <row r="106" spans="1:8" x14ac:dyDescent="0.2">
      <c r="A106" s="1">
        <v>44529</v>
      </c>
      <c r="B106" s="2" t="s">
        <v>7</v>
      </c>
      <c r="C106" s="3">
        <f t="shared" si="16"/>
        <v>0</v>
      </c>
      <c r="D106" s="3">
        <f>IF(0,0,0)</f>
        <v>0</v>
      </c>
      <c r="E106" s="4">
        <v>3000</v>
      </c>
      <c r="F106" s="6">
        <f t="shared" si="18"/>
        <v>0</v>
      </c>
      <c r="G106" s="4"/>
      <c r="H106" s="4"/>
    </row>
    <row r="107" spans="1:8" x14ac:dyDescent="0.2">
      <c r="A107" s="1">
        <v>44530</v>
      </c>
      <c r="B107" s="2" t="s">
        <v>5</v>
      </c>
      <c r="C107" s="3">
        <v>17.149999999999999</v>
      </c>
      <c r="D107" s="3">
        <f>IF(0,0,0)</f>
        <v>0</v>
      </c>
      <c r="E107" s="4">
        <f t="shared" ref="E107:E112" si="19">IF(0,0,0)</f>
        <v>0</v>
      </c>
      <c r="F107" s="6">
        <f t="shared" si="18"/>
        <v>0</v>
      </c>
      <c r="G107" s="4"/>
      <c r="H107" s="4"/>
    </row>
    <row r="108" spans="1:8" x14ac:dyDescent="0.2">
      <c r="A108" s="1">
        <v>44531</v>
      </c>
      <c r="B108" s="2" t="s">
        <v>9</v>
      </c>
      <c r="C108" s="3">
        <f t="shared" ref="C108:C118" si="20">IF(0,0,0)</f>
        <v>0</v>
      </c>
      <c r="D108" s="3">
        <v>761</v>
      </c>
      <c r="E108" s="4">
        <f t="shared" si="19"/>
        <v>0</v>
      </c>
      <c r="F108" s="6">
        <f t="shared" si="18"/>
        <v>0</v>
      </c>
      <c r="G108" s="4"/>
      <c r="H108" s="4"/>
    </row>
    <row r="109" spans="1:8" x14ac:dyDescent="0.2">
      <c r="A109" s="11">
        <v>44531</v>
      </c>
      <c r="B109" s="2" t="s">
        <v>8</v>
      </c>
      <c r="C109" s="3">
        <f t="shared" si="20"/>
        <v>0</v>
      </c>
      <c r="D109" s="3">
        <v>59</v>
      </c>
      <c r="E109" s="4">
        <f t="shared" si="19"/>
        <v>0</v>
      </c>
      <c r="F109" s="6">
        <f t="shared" si="18"/>
        <v>0</v>
      </c>
      <c r="G109" s="4"/>
      <c r="H109" s="4"/>
    </row>
    <row r="110" spans="1:8" x14ac:dyDescent="0.2">
      <c r="A110" s="11">
        <v>44532</v>
      </c>
      <c r="B110" s="2" t="s">
        <v>9</v>
      </c>
      <c r="C110" s="3">
        <f t="shared" si="20"/>
        <v>0</v>
      </c>
      <c r="D110" s="3">
        <v>420</v>
      </c>
      <c r="E110" s="4">
        <f t="shared" si="19"/>
        <v>0</v>
      </c>
      <c r="F110" s="6">
        <f t="shared" si="18"/>
        <v>0</v>
      </c>
      <c r="G110" s="4"/>
      <c r="H110" s="4"/>
    </row>
    <row r="111" spans="1:8" x14ac:dyDescent="0.2">
      <c r="A111" s="11">
        <v>44532</v>
      </c>
      <c r="B111" s="2" t="s">
        <v>9</v>
      </c>
      <c r="C111" s="3">
        <f t="shared" si="20"/>
        <v>0</v>
      </c>
      <c r="D111" s="3">
        <f>IF(0,0,0)</f>
        <v>0</v>
      </c>
      <c r="E111" s="4">
        <f t="shared" si="19"/>
        <v>0</v>
      </c>
      <c r="F111" s="6">
        <v>200</v>
      </c>
      <c r="G111" s="4"/>
      <c r="H111" s="4"/>
    </row>
    <row r="112" spans="1:8" x14ac:dyDescent="0.2">
      <c r="A112" s="1">
        <v>44532</v>
      </c>
      <c r="B112" s="12" t="s">
        <v>8</v>
      </c>
      <c r="C112" s="3">
        <f t="shared" si="20"/>
        <v>0</v>
      </c>
      <c r="D112" s="3">
        <v>149</v>
      </c>
      <c r="E112" s="4">
        <f t="shared" si="19"/>
        <v>0</v>
      </c>
      <c r="F112" s="6">
        <f>IF(0,0,0)</f>
        <v>0</v>
      </c>
      <c r="G112" s="4"/>
      <c r="H112" s="4"/>
    </row>
    <row r="113" spans="1:8" x14ac:dyDescent="0.2">
      <c r="A113" s="1">
        <v>44533</v>
      </c>
      <c r="B113" s="12" t="s">
        <v>5</v>
      </c>
      <c r="C113" s="3">
        <f t="shared" si="20"/>
        <v>0</v>
      </c>
      <c r="D113" s="3">
        <v>3960</v>
      </c>
      <c r="E113" s="4">
        <v>3960</v>
      </c>
      <c r="F113" s="6">
        <f>IF(0,0,0)</f>
        <v>0</v>
      </c>
      <c r="G113" s="4"/>
      <c r="H113" s="4"/>
    </row>
    <row r="114" spans="1:8" x14ac:dyDescent="0.2">
      <c r="A114" s="11">
        <v>44533</v>
      </c>
      <c r="B114" s="12" t="s">
        <v>1</v>
      </c>
      <c r="C114" s="3">
        <f t="shared" si="20"/>
        <v>0</v>
      </c>
      <c r="D114" s="3">
        <f>IF(0,0,0)</f>
        <v>0</v>
      </c>
      <c r="E114" s="4">
        <f>IF(0,0,0)</f>
        <v>0</v>
      </c>
      <c r="F114" s="6">
        <v>1100</v>
      </c>
      <c r="G114" s="4"/>
      <c r="H114" s="4"/>
    </row>
    <row r="115" spans="1:8" x14ac:dyDescent="0.2">
      <c r="A115" s="11">
        <v>44533</v>
      </c>
      <c r="B115" s="12" t="s">
        <v>10</v>
      </c>
      <c r="C115" s="3">
        <f t="shared" si="20"/>
        <v>0</v>
      </c>
      <c r="D115" s="3">
        <v>850</v>
      </c>
      <c r="E115" s="4">
        <f t="shared" ref="E115:F127" si="21">IF(0,0,0)</f>
        <v>0</v>
      </c>
      <c r="F115" s="6">
        <f t="shared" si="21"/>
        <v>0</v>
      </c>
      <c r="G115" s="4"/>
      <c r="H115" s="4"/>
    </row>
    <row r="116" spans="1:8" x14ac:dyDescent="0.2">
      <c r="A116" s="11">
        <v>44533</v>
      </c>
      <c r="B116" s="12" t="s">
        <v>7</v>
      </c>
      <c r="C116" s="3">
        <f t="shared" si="20"/>
        <v>0</v>
      </c>
      <c r="D116" s="3">
        <v>800</v>
      </c>
      <c r="E116" s="4">
        <f t="shared" si="21"/>
        <v>0</v>
      </c>
      <c r="F116" s="6">
        <f t="shared" si="21"/>
        <v>0</v>
      </c>
      <c r="G116" s="4"/>
      <c r="H116" s="4"/>
    </row>
    <row r="117" spans="1:8" x14ac:dyDescent="0.2">
      <c r="A117" s="11">
        <v>44533</v>
      </c>
      <c r="B117" s="12" t="s">
        <v>9</v>
      </c>
      <c r="C117" s="3">
        <f t="shared" si="20"/>
        <v>0</v>
      </c>
      <c r="D117" s="3">
        <v>252</v>
      </c>
      <c r="E117" s="4">
        <f t="shared" si="21"/>
        <v>0</v>
      </c>
      <c r="F117" s="6">
        <f t="shared" si="21"/>
        <v>0</v>
      </c>
      <c r="G117" s="4"/>
      <c r="H117" s="4"/>
    </row>
    <row r="118" spans="1:8" x14ac:dyDescent="0.2">
      <c r="A118" s="11">
        <v>44533</v>
      </c>
      <c r="B118" s="12" t="s">
        <v>11</v>
      </c>
      <c r="C118" s="3">
        <f t="shared" si="20"/>
        <v>0</v>
      </c>
      <c r="D118" s="3">
        <v>92</v>
      </c>
      <c r="E118" s="4">
        <f t="shared" si="21"/>
        <v>0</v>
      </c>
      <c r="F118" s="6">
        <f t="shared" si="21"/>
        <v>0</v>
      </c>
      <c r="G118" s="4"/>
      <c r="H118" s="4"/>
    </row>
    <row r="119" spans="1:8" x14ac:dyDescent="0.2">
      <c r="A119" s="11">
        <v>44533</v>
      </c>
      <c r="B119" s="12" t="s">
        <v>13</v>
      </c>
      <c r="C119" s="3">
        <v>52930.1</v>
      </c>
      <c r="D119" s="3">
        <f>IF(0,0,0)</f>
        <v>0</v>
      </c>
      <c r="E119" s="4">
        <f t="shared" si="21"/>
        <v>0</v>
      </c>
      <c r="F119" s="6">
        <f t="shared" si="21"/>
        <v>0</v>
      </c>
      <c r="G119" s="4"/>
      <c r="H119" s="4"/>
    </row>
    <row r="120" spans="1:8" x14ac:dyDescent="0.2">
      <c r="A120" s="11">
        <v>44535</v>
      </c>
      <c r="B120" s="12" t="s">
        <v>2</v>
      </c>
      <c r="C120" s="3">
        <f>IF(0,0,0)</f>
        <v>0</v>
      </c>
      <c r="D120" s="3">
        <v>8608</v>
      </c>
      <c r="E120" s="4">
        <f t="shared" si="21"/>
        <v>0</v>
      </c>
      <c r="F120" s="6">
        <f t="shared" si="21"/>
        <v>0</v>
      </c>
      <c r="G120" s="4"/>
      <c r="H120" s="4"/>
    </row>
    <row r="121" spans="1:8" x14ac:dyDescent="0.2">
      <c r="A121" s="11">
        <v>44535</v>
      </c>
      <c r="B121" s="12" t="s">
        <v>6</v>
      </c>
      <c r="C121" s="3">
        <f>IF(0,0,0)</f>
        <v>0</v>
      </c>
      <c r="D121" s="3">
        <f>1690+1540</f>
        <v>3230</v>
      </c>
      <c r="E121" s="4">
        <f t="shared" si="21"/>
        <v>0</v>
      </c>
      <c r="F121" s="6">
        <f t="shared" si="21"/>
        <v>0</v>
      </c>
      <c r="G121" s="4"/>
      <c r="H121" s="4"/>
    </row>
    <row r="122" spans="1:8" x14ac:dyDescent="0.2">
      <c r="A122" s="11">
        <v>44535</v>
      </c>
      <c r="B122" s="12" t="s">
        <v>8</v>
      </c>
      <c r="C122" s="3">
        <f>IF(0,0,0)</f>
        <v>0</v>
      </c>
      <c r="D122" s="3">
        <v>2330</v>
      </c>
      <c r="E122" s="4">
        <f t="shared" si="21"/>
        <v>0</v>
      </c>
      <c r="F122" s="6">
        <f t="shared" si="21"/>
        <v>0</v>
      </c>
      <c r="G122" s="4"/>
      <c r="H122" s="4"/>
    </row>
    <row r="123" spans="1:8" x14ac:dyDescent="0.2">
      <c r="A123" s="11">
        <v>44535</v>
      </c>
      <c r="B123" s="12" t="s">
        <v>2</v>
      </c>
      <c r="C123" s="3">
        <f>IF(0,0,0)</f>
        <v>0</v>
      </c>
      <c r="D123" s="3">
        <f>138+415+46</f>
        <v>599</v>
      </c>
      <c r="E123" s="4">
        <f t="shared" si="21"/>
        <v>0</v>
      </c>
      <c r="F123" s="6">
        <f t="shared" si="21"/>
        <v>0</v>
      </c>
      <c r="G123" s="4"/>
      <c r="H123" s="4"/>
    </row>
    <row r="124" spans="1:8" ht="17" thickBot="1" x14ac:dyDescent="0.25">
      <c r="A124" s="11">
        <v>44535</v>
      </c>
      <c r="B124" s="12" t="s">
        <v>9</v>
      </c>
      <c r="C124" s="9">
        <f>IF(0,0,0)</f>
        <v>0</v>
      </c>
      <c r="D124" s="9">
        <v>308</v>
      </c>
      <c r="E124" s="4">
        <f t="shared" si="21"/>
        <v>0</v>
      </c>
      <c r="F124" s="10">
        <f t="shared" si="21"/>
        <v>0</v>
      </c>
      <c r="G124" s="4"/>
      <c r="H124" s="4"/>
    </row>
    <row r="125" spans="1:8" x14ac:dyDescent="0.2">
      <c r="A125" s="11">
        <v>44535</v>
      </c>
      <c r="B125" s="12" t="s">
        <v>5</v>
      </c>
      <c r="C125" s="3">
        <v>4800</v>
      </c>
      <c r="D125" s="3">
        <f>IF(0,0,0)</f>
        <v>0</v>
      </c>
      <c r="E125" s="4">
        <f t="shared" si="21"/>
        <v>0</v>
      </c>
      <c r="F125" s="6">
        <f t="shared" si="21"/>
        <v>0</v>
      </c>
      <c r="G125" s="4"/>
      <c r="H125" s="4"/>
    </row>
    <row r="126" spans="1:8" x14ac:dyDescent="0.2">
      <c r="A126" s="11">
        <v>44535</v>
      </c>
      <c r="B126" s="12" t="s">
        <v>6</v>
      </c>
      <c r="C126" s="3">
        <v>1500</v>
      </c>
      <c r="D126" s="3">
        <f>IF(0,0,0)</f>
        <v>0</v>
      </c>
      <c r="E126" s="4">
        <f t="shared" si="21"/>
        <v>0</v>
      </c>
      <c r="F126" s="6">
        <f t="shared" si="21"/>
        <v>0</v>
      </c>
      <c r="G126" s="4"/>
      <c r="H126" s="4"/>
    </row>
    <row r="127" spans="1:8" x14ac:dyDescent="0.2">
      <c r="A127" s="11">
        <v>44536</v>
      </c>
      <c r="B127" s="12" t="s">
        <v>1</v>
      </c>
      <c r="C127" s="3">
        <f t="shared" ref="C127:C146" si="22">IF(0,0,0)</f>
        <v>0</v>
      </c>
      <c r="D127" s="3">
        <v>12000</v>
      </c>
      <c r="E127" s="4">
        <f t="shared" si="21"/>
        <v>0</v>
      </c>
      <c r="F127" s="6">
        <f t="shared" si="21"/>
        <v>0</v>
      </c>
      <c r="G127" s="4"/>
      <c r="H127" s="4"/>
    </row>
    <row r="128" spans="1:8" x14ac:dyDescent="0.2">
      <c r="A128" s="11">
        <v>44537</v>
      </c>
      <c r="B128" s="12" t="s">
        <v>10</v>
      </c>
      <c r="C128" s="3">
        <f t="shared" si="22"/>
        <v>0</v>
      </c>
      <c r="D128" s="3">
        <f>IF(0,0,0)</f>
        <v>0</v>
      </c>
      <c r="E128" s="4">
        <f>IF(0,0,0)</f>
        <v>0</v>
      </c>
      <c r="F128" s="6">
        <v>450</v>
      </c>
      <c r="G128" s="4"/>
      <c r="H128" s="4"/>
    </row>
    <row r="129" spans="1:8" x14ac:dyDescent="0.2">
      <c r="A129" s="11">
        <v>44537</v>
      </c>
      <c r="B129" s="12" t="s">
        <v>9</v>
      </c>
      <c r="C129" s="3">
        <f t="shared" si="22"/>
        <v>0</v>
      </c>
      <c r="D129" s="3">
        <v>420</v>
      </c>
      <c r="E129" s="4">
        <f>IF(0,0,0)</f>
        <v>0</v>
      </c>
      <c r="F129" s="6">
        <f>IF(0,0,0)</f>
        <v>0</v>
      </c>
      <c r="G129" s="4"/>
      <c r="H129" s="4"/>
    </row>
    <row r="130" spans="1:8" x14ac:dyDescent="0.2">
      <c r="A130" s="11">
        <v>44538</v>
      </c>
      <c r="B130" s="12" t="s">
        <v>9</v>
      </c>
      <c r="C130" s="3">
        <f t="shared" si="22"/>
        <v>0</v>
      </c>
      <c r="D130" s="3">
        <f>IF(0,0,0)</f>
        <v>0</v>
      </c>
      <c r="E130" s="4">
        <f>IF(0,0,0)</f>
        <v>0</v>
      </c>
      <c r="F130" s="6">
        <v>350</v>
      </c>
      <c r="G130" s="4"/>
      <c r="H130" s="4"/>
    </row>
    <row r="131" spans="1:8" x14ac:dyDescent="0.2">
      <c r="A131" s="11">
        <v>44538</v>
      </c>
      <c r="B131" s="12" t="s">
        <v>2</v>
      </c>
      <c r="C131" s="3">
        <f t="shared" si="22"/>
        <v>0</v>
      </c>
      <c r="D131" s="3">
        <f>IF(0,0,0)</f>
        <v>0</v>
      </c>
      <c r="E131" s="4">
        <f>IF(0,0,0)</f>
        <v>0</v>
      </c>
      <c r="F131" s="6">
        <v>300</v>
      </c>
      <c r="G131" s="4"/>
      <c r="H131" s="4"/>
    </row>
    <row r="132" spans="1:8" x14ac:dyDescent="0.2">
      <c r="A132" s="11">
        <v>44539</v>
      </c>
      <c r="B132" s="12" t="s">
        <v>9</v>
      </c>
      <c r="C132" s="3">
        <f t="shared" si="22"/>
        <v>0</v>
      </c>
      <c r="D132" s="3">
        <v>478</v>
      </c>
      <c r="E132" s="4">
        <f>IF(0,0,0)</f>
        <v>0</v>
      </c>
      <c r="F132" s="6">
        <f>IF(0,0,0)</f>
        <v>0</v>
      </c>
      <c r="G132" s="4"/>
      <c r="H132" s="4"/>
    </row>
    <row r="133" spans="1:8" x14ac:dyDescent="0.2">
      <c r="A133" s="11">
        <v>44540</v>
      </c>
      <c r="B133" s="12" t="s">
        <v>9</v>
      </c>
      <c r="C133" s="3">
        <f t="shared" si="22"/>
        <v>0</v>
      </c>
      <c r="D133" s="3">
        <v>403</v>
      </c>
      <c r="E133" s="4">
        <f>IF(0,0,0)</f>
        <v>0</v>
      </c>
      <c r="F133" s="6">
        <f>IF(0,0,0)</f>
        <v>0</v>
      </c>
      <c r="G133" s="4"/>
      <c r="H133" s="4"/>
    </row>
    <row r="134" spans="1:8" x14ac:dyDescent="0.2">
      <c r="A134" s="11">
        <v>44540</v>
      </c>
      <c r="B134" s="12" t="s">
        <v>8</v>
      </c>
      <c r="C134" s="3">
        <f t="shared" si="22"/>
        <v>0</v>
      </c>
      <c r="D134" s="3">
        <f>IF(0,0,0)</f>
        <v>0</v>
      </c>
      <c r="E134" s="4">
        <f>IF(0,0,0)</f>
        <v>0</v>
      </c>
      <c r="F134" s="6">
        <f>335+3.35</f>
        <v>338.35</v>
      </c>
      <c r="G134" s="4"/>
      <c r="H134" s="4"/>
    </row>
    <row r="135" spans="1:8" x14ac:dyDescent="0.2">
      <c r="A135" s="11">
        <v>44540</v>
      </c>
      <c r="B135" s="12" t="s">
        <v>7</v>
      </c>
      <c r="C135" s="3">
        <f t="shared" si="22"/>
        <v>0</v>
      </c>
      <c r="D135" s="3">
        <v>225</v>
      </c>
      <c r="E135" s="4">
        <f>IF(0,0,0)</f>
        <v>0</v>
      </c>
      <c r="F135" s="6">
        <f>IF(0,0,0)</f>
        <v>0</v>
      </c>
      <c r="G135" s="4"/>
      <c r="H135" s="4"/>
    </row>
    <row r="136" spans="1:8" x14ac:dyDescent="0.2">
      <c r="A136" s="11">
        <v>44540</v>
      </c>
      <c r="B136" s="12" t="s">
        <v>7</v>
      </c>
      <c r="C136" s="3">
        <f t="shared" si="22"/>
        <v>0</v>
      </c>
      <c r="D136" s="3">
        <v>107.99</v>
      </c>
      <c r="E136" s="4">
        <f>IF(0,0,0)</f>
        <v>0</v>
      </c>
      <c r="F136" s="6">
        <f>IF(0,0,0)</f>
        <v>0</v>
      </c>
      <c r="G136" s="4"/>
      <c r="H136" s="4"/>
    </row>
    <row r="137" spans="1:8" x14ac:dyDescent="0.2">
      <c r="A137" s="11">
        <v>44540</v>
      </c>
      <c r="B137" s="12" t="s">
        <v>8</v>
      </c>
      <c r="C137" s="3">
        <f t="shared" si="22"/>
        <v>0</v>
      </c>
      <c r="D137" s="3">
        <f>IF(0,0,0)</f>
        <v>0</v>
      </c>
      <c r="E137" s="4">
        <f>IF(0,0,0)</f>
        <v>0</v>
      </c>
      <c r="F137" s="6">
        <v>60</v>
      </c>
      <c r="G137" s="4"/>
      <c r="H137" s="4"/>
    </row>
    <row r="138" spans="1:8" x14ac:dyDescent="0.2">
      <c r="A138" s="11">
        <v>44541</v>
      </c>
      <c r="B138" s="12" t="s">
        <v>0</v>
      </c>
      <c r="C138" s="3">
        <f t="shared" si="22"/>
        <v>0</v>
      </c>
      <c r="D138" s="3">
        <v>14560</v>
      </c>
      <c r="E138" s="4">
        <f>IF(0,0,0)</f>
        <v>0</v>
      </c>
      <c r="F138" s="6">
        <f>IF(0,0,0)</f>
        <v>0</v>
      </c>
      <c r="G138" s="4"/>
      <c r="H138" s="4"/>
    </row>
    <row r="139" spans="1:8" x14ac:dyDescent="0.2">
      <c r="A139" s="11">
        <v>44541</v>
      </c>
      <c r="B139" s="12" t="s">
        <v>7</v>
      </c>
      <c r="C139" s="3">
        <f t="shared" si="22"/>
        <v>0</v>
      </c>
      <c r="D139" s="3">
        <f>IF(0,0,0)</f>
        <v>0</v>
      </c>
      <c r="E139" s="4">
        <f>IF(0,0,0)</f>
        <v>0</v>
      </c>
      <c r="F139" s="6">
        <v>1000</v>
      </c>
      <c r="G139" s="4"/>
      <c r="H139" s="4"/>
    </row>
    <row r="140" spans="1:8" x14ac:dyDescent="0.2">
      <c r="A140" s="11">
        <v>44541</v>
      </c>
      <c r="B140" s="12" t="s">
        <v>9</v>
      </c>
      <c r="C140" s="3">
        <f t="shared" si="22"/>
        <v>0</v>
      </c>
      <c r="D140" s="3">
        <v>437</v>
      </c>
      <c r="E140" s="4">
        <f t="shared" ref="E140:F146" si="23">IF(0,0,0)</f>
        <v>0</v>
      </c>
      <c r="F140" s="6">
        <f t="shared" si="23"/>
        <v>0</v>
      </c>
      <c r="G140" s="4"/>
      <c r="H140" s="4"/>
    </row>
    <row r="141" spans="1:8" x14ac:dyDescent="0.2">
      <c r="A141" s="11">
        <v>44542</v>
      </c>
      <c r="B141" s="12" t="s">
        <v>4</v>
      </c>
      <c r="C141" s="3">
        <f t="shared" si="22"/>
        <v>0</v>
      </c>
      <c r="D141" s="3">
        <v>4920</v>
      </c>
      <c r="E141" s="4">
        <f t="shared" si="23"/>
        <v>0</v>
      </c>
      <c r="F141" s="6">
        <f t="shared" si="23"/>
        <v>0</v>
      </c>
      <c r="G141" s="4"/>
      <c r="H141" s="4"/>
    </row>
    <row r="142" spans="1:8" x14ac:dyDescent="0.2">
      <c r="A142" s="11">
        <v>44542</v>
      </c>
      <c r="B142" s="12" t="s">
        <v>9</v>
      </c>
      <c r="C142" s="3">
        <f t="shared" si="22"/>
        <v>0</v>
      </c>
      <c r="D142" s="3">
        <v>502</v>
      </c>
      <c r="E142" s="4">
        <f t="shared" si="23"/>
        <v>0</v>
      </c>
      <c r="F142" s="6">
        <f t="shared" si="23"/>
        <v>0</v>
      </c>
      <c r="G142" s="4"/>
      <c r="H142" s="4"/>
    </row>
    <row r="143" spans="1:8" x14ac:dyDescent="0.2">
      <c r="A143" s="11">
        <v>44542</v>
      </c>
      <c r="B143" s="12" t="s">
        <v>9</v>
      </c>
      <c r="C143" s="3">
        <f t="shared" si="22"/>
        <v>0</v>
      </c>
      <c r="D143" s="3">
        <v>300</v>
      </c>
      <c r="E143" s="4">
        <f t="shared" si="23"/>
        <v>0</v>
      </c>
      <c r="F143" s="6">
        <f t="shared" si="23"/>
        <v>0</v>
      </c>
      <c r="G143" s="4"/>
      <c r="H143" s="4"/>
    </row>
    <row r="144" spans="1:8" x14ac:dyDescent="0.2">
      <c r="A144" s="11">
        <v>44543</v>
      </c>
      <c r="B144" s="12" t="s">
        <v>9</v>
      </c>
      <c r="C144" s="3">
        <f t="shared" si="22"/>
        <v>0</v>
      </c>
      <c r="D144" s="3">
        <v>259</v>
      </c>
      <c r="E144" s="4">
        <f t="shared" si="23"/>
        <v>0</v>
      </c>
      <c r="F144" s="6">
        <f t="shared" si="23"/>
        <v>0</v>
      </c>
      <c r="G144" s="4"/>
      <c r="H144" s="4"/>
    </row>
    <row r="145" spans="1:8" x14ac:dyDescent="0.2">
      <c r="A145" s="11">
        <v>44543</v>
      </c>
      <c r="B145" s="12" t="s">
        <v>12</v>
      </c>
      <c r="C145" s="3">
        <f t="shared" si="22"/>
        <v>0</v>
      </c>
      <c r="D145" s="3">
        <v>10</v>
      </c>
      <c r="E145" s="4">
        <f t="shared" si="23"/>
        <v>0</v>
      </c>
      <c r="F145" s="6">
        <f t="shared" si="23"/>
        <v>0</v>
      </c>
      <c r="G145" s="4"/>
      <c r="H145" s="4"/>
    </row>
    <row r="146" spans="1:8" x14ac:dyDescent="0.2">
      <c r="A146" s="11">
        <v>44544</v>
      </c>
      <c r="B146" s="12" t="s">
        <v>9</v>
      </c>
      <c r="C146" s="3">
        <f t="shared" si="22"/>
        <v>0</v>
      </c>
      <c r="D146" s="3">
        <v>409</v>
      </c>
      <c r="E146" s="4">
        <f t="shared" si="23"/>
        <v>0</v>
      </c>
      <c r="F146" s="6">
        <f t="shared" si="23"/>
        <v>0</v>
      </c>
      <c r="G146" s="4"/>
      <c r="H146" s="4"/>
    </row>
    <row r="147" spans="1:8" ht="17" thickBot="1" x14ac:dyDescent="0.25">
      <c r="A147" s="11">
        <v>44544</v>
      </c>
      <c r="B147" s="12" t="s">
        <v>9</v>
      </c>
      <c r="C147" s="9">
        <v>0</v>
      </c>
      <c r="D147" s="9">
        <f>IF(0,0,0)</f>
        <v>0</v>
      </c>
      <c r="E147" s="4">
        <v>300</v>
      </c>
      <c r="F147" s="10">
        <f>IF(0,0,0)</f>
        <v>0</v>
      </c>
      <c r="G147" s="4"/>
      <c r="H147" s="4"/>
    </row>
    <row r="148" spans="1:8" x14ac:dyDescent="0.2">
      <c r="A148" s="11">
        <v>44545</v>
      </c>
      <c r="B148" s="12" t="s">
        <v>9</v>
      </c>
      <c r="C148" s="3">
        <v>0</v>
      </c>
      <c r="D148" s="3">
        <v>1332.06</v>
      </c>
      <c r="E148" s="4">
        <f t="shared" ref="E148:E160" si="24">IF(0,0,0)</f>
        <v>0</v>
      </c>
      <c r="F148" s="6">
        <f>IF(0,0,0)</f>
        <v>0</v>
      </c>
      <c r="G148" s="4"/>
      <c r="H148" s="4"/>
    </row>
    <row r="149" spans="1:8" x14ac:dyDescent="0.2">
      <c r="A149" s="11">
        <v>44545</v>
      </c>
      <c r="B149" s="12" t="s">
        <v>9</v>
      </c>
      <c r="C149" s="3">
        <f t="shared" ref="C149:C165" si="25">IF(0,0,0)</f>
        <v>0</v>
      </c>
      <c r="D149" s="3">
        <v>446</v>
      </c>
      <c r="E149" s="4">
        <f t="shared" si="24"/>
        <v>0</v>
      </c>
      <c r="F149" s="6">
        <f>IF(0,0,0)</f>
        <v>0</v>
      </c>
      <c r="G149" s="4"/>
      <c r="H149" s="4"/>
    </row>
    <row r="150" spans="1:8" x14ac:dyDescent="0.2">
      <c r="A150" s="11">
        <v>44546</v>
      </c>
      <c r="B150" s="12" t="s">
        <v>9</v>
      </c>
      <c r="C150" s="3">
        <f t="shared" si="25"/>
        <v>0</v>
      </c>
      <c r="D150" s="3">
        <v>276</v>
      </c>
      <c r="E150" s="4">
        <f t="shared" si="24"/>
        <v>0</v>
      </c>
      <c r="F150" s="6">
        <f>IF(0,0,0)</f>
        <v>0</v>
      </c>
      <c r="G150" s="4"/>
      <c r="H150" s="4"/>
    </row>
    <row r="151" spans="1:8" x14ac:dyDescent="0.2">
      <c r="A151" s="11">
        <v>44547</v>
      </c>
      <c r="B151" s="12" t="s">
        <v>10</v>
      </c>
      <c r="C151" s="3">
        <f t="shared" si="25"/>
        <v>0</v>
      </c>
      <c r="D151" s="3">
        <f>IF(0,0,0)</f>
        <v>0</v>
      </c>
      <c r="E151" s="4">
        <f t="shared" si="24"/>
        <v>0</v>
      </c>
      <c r="F151" s="6">
        <v>450</v>
      </c>
      <c r="G151" s="4"/>
      <c r="H151" s="4"/>
    </row>
    <row r="152" spans="1:8" x14ac:dyDescent="0.2">
      <c r="A152" s="11">
        <v>44547</v>
      </c>
      <c r="B152" s="12" t="s">
        <v>9</v>
      </c>
      <c r="C152" s="3">
        <f t="shared" si="25"/>
        <v>0</v>
      </c>
      <c r="D152" s="3">
        <v>355</v>
      </c>
      <c r="E152" s="4">
        <f t="shared" si="24"/>
        <v>0</v>
      </c>
      <c r="F152" s="6">
        <f>IF(0,0,0)</f>
        <v>0</v>
      </c>
      <c r="G152" s="4"/>
      <c r="H152" s="4"/>
    </row>
    <row r="153" spans="1:8" x14ac:dyDescent="0.2">
      <c r="A153" s="11">
        <v>44547</v>
      </c>
      <c r="B153" s="12" t="s">
        <v>9</v>
      </c>
      <c r="C153" s="3">
        <f t="shared" si="25"/>
        <v>0</v>
      </c>
      <c r="D153" s="3">
        <v>339.7</v>
      </c>
      <c r="E153" s="4">
        <f t="shared" si="24"/>
        <v>0</v>
      </c>
      <c r="F153" s="6">
        <f>IF(0,0,0)</f>
        <v>0</v>
      </c>
      <c r="G153" s="4"/>
      <c r="H153" s="4"/>
    </row>
    <row r="154" spans="1:8" x14ac:dyDescent="0.2">
      <c r="A154" s="11">
        <v>44548</v>
      </c>
      <c r="B154" s="12" t="s">
        <v>2</v>
      </c>
      <c r="C154" s="3">
        <f t="shared" si="25"/>
        <v>0</v>
      </c>
      <c r="D154" s="3">
        <v>0</v>
      </c>
      <c r="E154" s="4">
        <f t="shared" si="24"/>
        <v>0</v>
      </c>
      <c r="F154" s="6">
        <v>355</v>
      </c>
      <c r="G154" s="4"/>
      <c r="H154" s="4"/>
    </row>
    <row r="155" spans="1:8" x14ac:dyDescent="0.2">
      <c r="A155" s="11">
        <v>44548</v>
      </c>
      <c r="B155" s="12" t="s">
        <v>8</v>
      </c>
      <c r="C155" s="3">
        <f t="shared" si="25"/>
        <v>0</v>
      </c>
      <c r="D155" s="3">
        <f>1.29+329</f>
        <v>330.29</v>
      </c>
      <c r="E155" s="4">
        <f t="shared" si="24"/>
        <v>0</v>
      </c>
      <c r="F155" s="6">
        <f>IF(0,0,0)</f>
        <v>0</v>
      </c>
      <c r="G155" s="4"/>
      <c r="H155" s="4"/>
    </row>
    <row r="156" spans="1:8" x14ac:dyDescent="0.2">
      <c r="A156" s="11">
        <v>44548</v>
      </c>
      <c r="B156" s="12" t="s">
        <v>9</v>
      </c>
      <c r="C156" s="3">
        <f t="shared" si="25"/>
        <v>0</v>
      </c>
      <c r="D156" s="3">
        <v>100</v>
      </c>
      <c r="E156" s="4">
        <f t="shared" si="24"/>
        <v>0</v>
      </c>
      <c r="F156" s="6">
        <f>IF(0,0,0)</f>
        <v>0</v>
      </c>
      <c r="G156" s="4"/>
      <c r="H156" s="4"/>
    </row>
    <row r="157" spans="1:8" x14ac:dyDescent="0.2">
      <c r="A157" s="11">
        <v>44548</v>
      </c>
      <c r="B157" s="12" t="s">
        <v>2</v>
      </c>
      <c r="C157" s="3">
        <f t="shared" si="25"/>
        <v>0</v>
      </c>
      <c r="D157" s="3">
        <v>46</v>
      </c>
      <c r="E157" s="4">
        <f t="shared" si="24"/>
        <v>0</v>
      </c>
      <c r="F157" s="6">
        <f>IF(0,0,0)</f>
        <v>0</v>
      </c>
      <c r="G157" s="4"/>
      <c r="H157" s="4"/>
    </row>
    <row r="158" spans="1:8" x14ac:dyDescent="0.2">
      <c r="A158" s="11">
        <v>44549</v>
      </c>
      <c r="B158" s="12" t="s">
        <v>9</v>
      </c>
      <c r="C158" s="3">
        <f t="shared" si="25"/>
        <v>0</v>
      </c>
      <c r="D158" s="3">
        <f>IF(0,0,0)</f>
        <v>0</v>
      </c>
      <c r="E158" s="4">
        <f t="shared" si="24"/>
        <v>0</v>
      </c>
      <c r="F158" s="6">
        <v>1534.74</v>
      </c>
      <c r="G158" s="4"/>
      <c r="H158" s="4"/>
    </row>
    <row r="159" spans="1:8" x14ac:dyDescent="0.2">
      <c r="A159" s="11">
        <v>44549</v>
      </c>
      <c r="B159" s="12" t="s">
        <v>9</v>
      </c>
      <c r="C159" s="3">
        <f t="shared" si="25"/>
        <v>0</v>
      </c>
      <c r="D159" s="3">
        <v>857</v>
      </c>
      <c r="E159" s="4">
        <f t="shared" si="24"/>
        <v>0</v>
      </c>
      <c r="F159" s="6">
        <f>IF(0,0,0)</f>
        <v>0</v>
      </c>
      <c r="G159" s="4"/>
      <c r="H159" s="4"/>
    </row>
    <row r="160" spans="1:8" x14ac:dyDescent="0.2">
      <c r="A160" s="1">
        <v>44549</v>
      </c>
      <c r="B160" s="12" t="s">
        <v>2</v>
      </c>
      <c r="C160" s="3">
        <f t="shared" si="25"/>
        <v>0</v>
      </c>
      <c r="D160" s="3">
        <v>46</v>
      </c>
      <c r="E160" s="4">
        <f t="shared" si="24"/>
        <v>0</v>
      </c>
      <c r="F160" s="6">
        <f>IF(0,0,0)</f>
        <v>0</v>
      </c>
      <c r="G160" s="4"/>
      <c r="H160" s="4"/>
    </row>
    <row r="161" spans="1:8" x14ac:dyDescent="0.2">
      <c r="A161" s="11">
        <v>44549</v>
      </c>
      <c r="B161" s="12" t="s">
        <v>8</v>
      </c>
      <c r="C161" s="3">
        <f t="shared" si="25"/>
        <v>0</v>
      </c>
      <c r="D161" s="3">
        <f>IF(0,0,0)</f>
        <v>0</v>
      </c>
      <c r="E161" s="4">
        <v>400</v>
      </c>
      <c r="F161" s="6">
        <f>IF(0,0,0)</f>
        <v>0</v>
      </c>
      <c r="G161" s="4"/>
      <c r="H161" s="4"/>
    </row>
    <row r="162" spans="1:8" x14ac:dyDescent="0.2">
      <c r="A162" s="11">
        <v>44549</v>
      </c>
      <c r="B162" s="12" t="s">
        <v>8</v>
      </c>
      <c r="C162" s="3">
        <f t="shared" si="25"/>
        <v>0</v>
      </c>
      <c r="D162" s="3">
        <f>IF(0,0,0)</f>
        <v>0</v>
      </c>
      <c r="E162" s="4">
        <v>200</v>
      </c>
      <c r="F162" s="6">
        <f>IF(0,0,0)</f>
        <v>0</v>
      </c>
      <c r="G162" s="4"/>
      <c r="H162" s="4"/>
    </row>
    <row r="163" spans="1:8" x14ac:dyDescent="0.2">
      <c r="A163" s="11">
        <v>44550</v>
      </c>
      <c r="B163" s="12" t="s">
        <v>9</v>
      </c>
      <c r="C163" s="3">
        <f t="shared" si="25"/>
        <v>0</v>
      </c>
      <c r="D163" s="3">
        <f>IF(0,0,0)</f>
        <v>0</v>
      </c>
      <c r="E163" s="4">
        <f t="shared" ref="E163:E208" si="26">IF(0,0,0)</f>
        <v>0</v>
      </c>
      <c r="F163" s="6">
        <v>250</v>
      </c>
      <c r="G163" s="4"/>
      <c r="H163" s="4"/>
    </row>
    <row r="164" spans="1:8" x14ac:dyDescent="0.2">
      <c r="A164" s="11">
        <v>44550</v>
      </c>
      <c r="B164" s="12" t="s">
        <v>8</v>
      </c>
      <c r="C164" s="3">
        <f t="shared" si="25"/>
        <v>0</v>
      </c>
      <c r="D164" s="3">
        <f>IF(0,0,0)</f>
        <v>0</v>
      </c>
      <c r="E164" s="4">
        <f t="shared" si="26"/>
        <v>0</v>
      </c>
      <c r="F164" s="6">
        <v>150</v>
      </c>
      <c r="G164" s="4"/>
      <c r="H164" s="4"/>
    </row>
    <row r="165" spans="1:8" x14ac:dyDescent="0.2">
      <c r="A165" s="11">
        <v>44550</v>
      </c>
      <c r="B165" s="12" t="s">
        <v>8</v>
      </c>
      <c r="C165" s="3">
        <f t="shared" si="25"/>
        <v>0</v>
      </c>
      <c r="D165" s="3">
        <v>50</v>
      </c>
      <c r="E165" s="4">
        <f t="shared" si="26"/>
        <v>0</v>
      </c>
      <c r="F165" s="6">
        <f>IF(0,0,0)</f>
        <v>0</v>
      </c>
      <c r="G165" s="4"/>
      <c r="H165" s="4"/>
    </row>
    <row r="166" spans="1:8" x14ac:dyDescent="0.2">
      <c r="A166" s="11">
        <v>44550</v>
      </c>
      <c r="B166" s="12" t="s">
        <v>13</v>
      </c>
      <c r="C166" s="3">
        <v>24840</v>
      </c>
      <c r="D166" s="3">
        <f>IF(0,0,0)</f>
        <v>0</v>
      </c>
      <c r="E166" s="4">
        <f t="shared" si="26"/>
        <v>0</v>
      </c>
      <c r="F166" s="6">
        <f>IF(0,0,0)</f>
        <v>0</v>
      </c>
      <c r="G166" s="4"/>
      <c r="H166" s="4"/>
    </row>
    <row r="167" spans="1:8" x14ac:dyDescent="0.2">
      <c r="A167" s="11">
        <v>44551</v>
      </c>
      <c r="B167" s="12" t="s">
        <v>8</v>
      </c>
      <c r="C167" s="3">
        <f t="shared" ref="C167:C180" si="27">IF(0,0,0)</f>
        <v>0</v>
      </c>
      <c r="D167" s="3">
        <v>1100</v>
      </c>
      <c r="E167" s="4">
        <f t="shared" si="26"/>
        <v>0</v>
      </c>
      <c r="F167" s="6">
        <f>IF(0,0,0)</f>
        <v>0</v>
      </c>
      <c r="G167" s="4"/>
      <c r="H167" s="4"/>
    </row>
    <row r="168" spans="1:8" x14ac:dyDescent="0.2">
      <c r="A168" s="11">
        <v>44551</v>
      </c>
      <c r="B168" s="12" t="s">
        <v>9</v>
      </c>
      <c r="C168" s="3">
        <f t="shared" si="27"/>
        <v>0</v>
      </c>
      <c r="D168" s="3">
        <v>450</v>
      </c>
      <c r="E168" s="4">
        <f t="shared" si="26"/>
        <v>0</v>
      </c>
      <c r="F168" s="6">
        <f>IF(0,0,0)</f>
        <v>0</v>
      </c>
      <c r="G168" s="4"/>
      <c r="H168" s="4"/>
    </row>
    <row r="169" spans="1:8" x14ac:dyDescent="0.2">
      <c r="A169" s="11">
        <v>44551</v>
      </c>
      <c r="B169" s="12" t="s">
        <v>9</v>
      </c>
      <c r="C169" s="3">
        <f t="shared" si="27"/>
        <v>0</v>
      </c>
      <c r="D169" s="3">
        <v>100</v>
      </c>
      <c r="E169" s="4">
        <f t="shared" si="26"/>
        <v>0</v>
      </c>
      <c r="F169" s="6">
        <f>IF(0,0,0)</f>
        <v>0</v>
      </c>
      <c r="G169" s="4"/>
      <c r="H169" s="4"/>
    </row>
    <row r="170" spans="1:8" x14ac:dyDescent="0.2">
      <c r="A170" s="11">
        <v>44552</v>
      </c>
      <c r="B170" s="12" t="s">
        <v>10</v>
      </c>
      <c r="C170" s="3">
        <f t="shared" si="27"/>
        <v>0</v>
      </c>
      <c r="D170" s="3">
        <v>250</v>
      </c>
      <c r="E170" s="4">
        <f t="shared" si="26"/>
        <v>0</v>
      </c>
      <c r="F170" s="6">
        <v>0</v>
      </c>
      <c r="G170" s="4"/>
      <c r="H170" s="4"/>
    </row>
    <row r="171" spans="1:8" x14ac:dyDescent="0.2">
      <c r="A171" s="11">
        <v>44552</v>
      </c>
      <c r="B171" s="12" t="s">
        <v>9</v>
      </c>
      <c r="C171" s="3">
        <f t="shared" si="27"/>
        <v>0</v>
      </c>
      <c r="D171" s="3">
        <v>190</v>
      </c>
      <c r="E171" s="4">
        <f t="shared" si="26"/>
        <v>0</v>
      </c>
      <c r="F171" s="6">
        <f>IF(0,0,0)</f>
        <v>0</v>
      </c>
      <c r="G171" s="4"/>
      <c r="H171" s="4"/>
    </row>
    <row r="172" spans="1:8" x14ac:dyDescent="0.2">
      <c r="A172" s="11">
        <v>44552</v>
      </c>
      <c r="B172" s="12" t="s">
        <v>2</v>
      </c>
      <c r="C172" s="3">
        <f t="shared" si="27"/>
        <v>0</v>
      </c>
      <c r="D172" s="3">
        <v>150</v>
      </c>
      <c r="E172" s="4">
        <f t="shared" si="26"/>
        <v>0</v>
      </c>
      <c r="F172" s="6">
        <f>IF(0,0,0)</f>
        <v>0</v>
      </c>
      <c r="G172" s="4"/>
      <c r="H172" s="4"/>
    </row>
    <row r="173" spans="1:8" x14ac:dyDescent="0.2">
      <c r="A173" s="11">
        <v>44553</v>
      </c>
      <c r="B173" s="12" t="s">
        <v>3</v>
      </c>
      <c r="C173" s="3">
        <f t="shared" si="27"/>
        <v>0</v>
      </c>
      <c r="D173" s="3">
        <v>6920</v>
      </c>
      <c r="E173" s="4">
        <f t="shared" si="26"/>
        <v>0</v>
      </c>
      <c r="F173" s="6">
        <f>IF(0,0,0)</f>
        <v>0</v>
      </c>
      <c r="G173" s="4"/>
      <c r="H173" s="4"/>
    </row>
    <row r="174" spans="1:8" x14ac:dyDescent="0.2">
      <c r="A174" s="11">
        <v>44554</v>
      </c>
      <c r="B174" s="12" t="s">
        <v>7</v>
      </c>
      <c r="C174" s="3">
        <f t="shared" si="27"/>
        <v>0</v>
      </c>
      <c r="D174" s="3">
        <v>2500</v>
      </c>
      <c r="E174" s="4">
        <f t="shared" si="26"/>
        <v>0</v>
      </c>
      <c r="F174" s="6">
        <f>IF(0,0,0)</f>
        <v>0</v>
      </c>
      <c r="G174" s="4"/>
      <c r="H174" s="4"/>
    </row>
    <row r="175" spans="1:8" x14ac:dyDescent="0.2">
      <c r="A175" s="11">
        <v>44554</v>
      </c>
      <c r="B175" s="12" t="s">
        <v>9</v>
      </c>
      <c r="C175" s="3">
        <f t="shared" si="27"/>
        <v>0</v>
      </c>
      <c r="D175" s="3">
        <v>576</v>
      </c>
      <c r="E175" s="4">
        <f t="shared" si="26"/>
        <v>0</v>
      </c>
      <c r="F175" s="6">
        <f>IF(0,0,0)</f>
        <v>0</v>
      </c>
      <c r="G175" s="4"/>
      <c r="H175" s="4"/>
    </row>
    <row r="176" spans="1:8" x14ac:dyDescent="0.2">
      <c r="A176" s="11">
        <v>44554</v>
      </c>
      <c r="B176" s="12" t="s">
        <v>10</v>
      </c>
      <c r="C176" s="3">
        <f t="shared" si="27"/>
        <v>0</v>
      </c>
      <c r="D176" s="3">
        <v>0</v>
      </c>
      <c r="E176" s="4">
        <f t="shared" si="26"/>
        <v>0</v>
      </c>
      <c r="F176" s="6">
        <v>450</v>
      </c>
      <c r="G176" s="4"/>
      <c r="H176" s="4"/>
    </row>
    <row r="177" spans="1:8" x14ac:dyDescent="0.2">
      <c r="A177" s="11">
        <v>44555</v>
      </c>
      <c r="B177" s="12" t="s">
        <v>7</v>
      </c>
      <c r="C177" s="3">
        <f t="shared" si="27"/>
        <v>0</v>
      </c>
      <c r="D177" s="3">
        <v>800</v>
      </c>
      <c r="E177" s="4">
        <f t="shared" si="26"/>
        <v>0</v>
      </c>
      <c r="F177" s="6">
        <f>IF(0,0,0)</f>
        <v>0</v>
      </c>
      <c r="G177" s="4"/>
      <c r="H177" s="4"/>
    </row>
    <row r="178" spans="1:8" x14ac:dyDescent="0.2">
      <c r="A178" s="11">
        <v>44555</v>
      </c>
      <c r="B178" s="12" t="s">
        <v>2</v>
      </c>
      <c r="C178" s="3">
        <f t="shared" si="27"/>
        <v>0</v>
      </c>
      <c r="D178" s="3">
        <v>0</v>
      </c>
      <c r="E178" s="4">
        <f t="shared" si="26"/>
        <v>0</v>
      </c>
      <c r="F178" s="6">
        <v>285</v>
      </c>
      <c r="G178" s="4"/>
      <c r="H178" s="4"/>
    </row>
    <row r="179" spans="1:8" x14ac:dyDescent="0.2">
      <c r="A179" s="11">
        <v>44556</v>
      </c>
      <c r="B179" s="12" t="s">
        <v>8</v>
      </c>
      <c r="C179" s="3">
        <f t="shared" si="27"/>
        <v>0</v>
      </c>
      <c r="D179" s="3">
        <v>550</v>
      </c>
      <c r="E179" s="4">
        <f t="shared" si="26"/>
        <v>0</v>
      </c>
      <c r="F179" s="6">
        <f t="shared" ref="F179:F185" si="28">IF(0,0,0)</f>
        <v>0</v>
      </c>
      <c r="G179" s="4"/>
      <c r="H179" s="4"/>
    </row>
    <row r="180" spans="1:8" x14ac:dyDescent="0.2">
      <c r="A180" s="11">
        <v>44556</v>
      </c>
      <c r="B180" s="12" t="s">
        <v>9</v>
      </c>
      <c r="C180" s="3">
        <f t="shared" si="27"/>
        <v>0</v>
      </c>
      <c r="D180" s="3">
        <v>150</v>
      </c>
      <c r="E180" s="4">
        <f t="shared" si="26"/>
        <v>0</v>
      </c>
      <c r="F180" s="6">
        <f t="shared" si="28"/>
        <v>0</v>
      </c>
      <c r="G180" s="4"/>
      <c r="H180" s="4"/>
    </row>
    <row r="181" spans="1:8" x14ac:dyDescent="0.2">
      <c r="A181" s="11">
        <v>44556</v>
      </c>
      <c r="B181" s="12" t="s">
        <v>13</v>
      </c>
      <c r="C181" s="3">
        <v>2935</v>
      </c>
      <c r="D181" s="3">
        <f>IF(0,0,0)</f>
        <v>0</v>
      </c>
      <c r="E181" s="4">
        <f t="shared" si="26"/>
        <v>0</v>
      </c>
      <c r="F181" s="6">
        <f t="shared" si="28"/>
        <v>0</v>
      </c>
      <c r="G181" s="4"/>
      <c r="H181" s="4"/>
    </row>
    <row r="182" spans="1:8" x14ac:dyDescent="0.2">
      <c r="A182" s="11">
        <v>44557</v>
      </c>
      <c r="B182" s="12" t="s">
        <v>9</v>
      </c>
      <c r="C182" s="3">
        <f>IF(0,0,0)</f>
        <v>0</v>
      </c>
      <c r="D182" s="3">
        <v>230</v>
      </c>
      <c r="E182" s="4">
        <f t="shared" si="26"/>
        <v>0</v>
      </c>
      <c r="F182" s="6">
        <f t="shared" si="28"/>
        <v>0</v>
      </c>
      <c r="G182" s="4"/>
      <c r="H182" s="4"/>
    </row>
    <row r="183" spans="1:8" x14ac:dyDescent="0.2">
      <c r="A183" s="11">
        <v>44558</v>
      </c>
      <c r="B183" s="12" t="s">
        <v>13</v>
      </c>
      <c r="C183" s="3">
        <v>56561</v>
      </c>
      <c r="D183" s="3">
        <f>IF(0,0,0)</f>
        <v>0</v>
      </c>
      <c r="E183" s="4">
        <f t="shared" si="26"/>
        <v>0</v>
      </c>
      <c r="F183" s="6">
        <f t="shared" si="28"/>
        <v>0</v>
      </c>
      <c r="G183" s="4"/>
      <c r="H183" s="4"/>
    </row>
    <row r="184" spans="1:8" x14ac:dyDescent="0.2">
      <c r="A184" s="11">
        <v>44559</v>
      </c>
      <c r="B184" s="12" t="s">
        <v>8</v>
      </c>
      <c r="C184" s="3">
        <f t="shared" ref="C184:C215" si="29">IF(0,0,0)</f>
        <v>0</v>
      </c>
      <c r="D184" s="3">
        <v>510</v>
      </c>
      <c r="E184" s="4">
        <f t="shared" si="26"/>
        <v>0</v>
      </c>
      <c r="F184" s="6">
        <f t="shared" si="28"/>
        <v>0</v>
      </c>
      <c r="G184" s="4"/>
      <c r="H184" s="4"/>
    </row>
    <row r="185" spans="1:8" x14ac:dyDescent="0.2">
      <c r="A185" s="11">
        <v>44559</v>
      </c>
      <c r="B185" s="12" t="s">
        <v>9</v>
      </c>
      <c r="C185" s="3">
        <f t="shared" si="29"/>
        <v>0</v>
      </c>
      <c r="D185" s="3">
        <v>174</v>
      </c>
      <c r="E185" s="4">
        <f t="shared" si="26"/>
        <v>0</v>
      </c>
      <c r="F185" s="6">
        <f t="shared" si="28"/>
        <v>0</v>
      </c>
      <c r="G185" s="4"/>
      <c r="H185" s="4"/>
    </row>
    <row r="186" spans="1:8" x14ac:dyDescent="0.2">
      <c r="A186" s="11">
        <v>44559</v>
      </c>
      <c r="B186" s="12" t="s">
        <v>9</v>
      </c>
      <c r="C186" s="3">
        <f t="shared" si="29"/>
        <v>0</v>
      </c>
      <c r="D186" s="3">
        <f>IF(0,0,0)</f>
        <v>0</v>
      </c>
      <c r="E186" s="4">
        <f t="shared" si="26"/>
        <v>0</v>
      </c>
      <c r="F186" s="6">
        <v>300</v>
      </c>
      <c r="G186" s="4"/>
      <c r="H186" s="4"/>
    </row>
    <row r="187" spans="1:8" x14ac:dyDescent="0.2">
      <c r="A187" s="11">
        <v>44560</v>
      </c>
      <c r="B187" s="12" t="s">
        <v>9</v>
      </c>
      <c r="C187" s="3">
        <f t="shared" si="29"/>
        <v>0</v>
      </c>
      <c r="D187" s="3">
        <v>208</v>
      </c>
      <c r="E187" s="4">
        <f t="shared" si="26"/>
        <v>0</v>
      </c>
      <c r="F187" s="6">
        <f t="shared" ref="F187:F195" si="30">IF(0,0,0)</f>
        <v>0</v>
      </c>
      <c r="G187" s="4"/>
      <c r="H187" s="4"/>
    </row>
    <row r="188" spans="1:8" x14ac:dyDescent="0.2">
      <c r="A188" s="11">
        <v>44561</v>
      </c>
      <c r="B188" s="12" t="s">
        <v>9</v>
      </c>
      <c r="C188" s="3">
        <f t="shared" si="29"/>
        <v>0</v>
      </c>
      <c r="D188" s="3">
        <v>1270</v>
      </c>
      <c r="E188" s="4">
        <f t="shared" si="26"/>
        <v>0</v>
      </c>
      <c r="F188" s="6">
        <f t="shared" si="30"/>
        <v>0</v>
      </c>
      <c r="G188" s="4"/>
      <c r="H188" s="4"/>
    </row>
    <row r="189" spans="1:8" x14ac:dyDescent="0.2">
      <c r="A189" s="11">
        <v>44561</v>
      </c>
      <c r="B189" s="12" t="s">
        <v>13</v>
      </c>
      <c r="C189" s="3">
        <f t="shared" si="29"/>
        <v>0</v>
      </c>
      <c r="D189" s="3">
        <v>0</v>
      </c>
      <c r="E189" s="4">
        <f t="shared" si="26"/>
        <v>0</v>
      </c>
      <c r="F189" s="6">
        <f t="shared" si="30"/>
        <v>0</v>
      </c>
      <c r="G189" s="4"/>
      <c r="H189" s="4"/>
    </row>
    <row r="190" spans="1:8" x14ac:dyDescent="0.2">
      <c r="A190" s="11">
        <v>44562</v>
      </c>
      <c r="B190" s="12" t="s">
        <v>6</v>
      </c>
      <c r="C190" s="3">
        <f t="shared" si="29"/>
        <v>0</v>
      </c>
      <c r="D190" s="3">
        <v>4000</v>
      </c>
      <c r="E190" s="4">
        <f t="shared" si="26"/>
        <v>0</v>
      </c>
      <c r="F190" s="6">
        <f t="shared" si="30"/>
        <v>0</v>
      </c>
      <c r="G190" s="4"/>
      <c r="H190" s="4"/>
    </row>
    <row r="191" spans="1:8" x14ac:dyDescent="0.2">
      <c r="A191" s="11">
        <v>44562</v>
      </c>
      <c r="B191" s="12" t="s">
        <v>6</v>
      </c>
      <c r="C191" s="3">
        <f t="shared" si="29"/>
        <v>0</v>
      </c>
      <c r="D191" s="3">
        <f>1700+33.15</f>
        <v>1733.15</v>
      </c>
      <c r="E191" s="4">
        <f t="shared" si="26"/>
        <v>0</v>
      </c>
      <c r="F191" s="6">
        <f t="shared" si="30"/>
        <v>0</v>
      </c>
      <c r="G191" s="4"/>
      <c r="H191" s="4"/>
    </row>
    <row r="192" spans="1:8" x14ac:dyDescent="0.2">
      <c r="A192" s="11">
        <v>44562</v>
      </c>
      <c r="B192" s="12" t="s">
        <v>8</v>
      </c>
      <c r="C192" s="3">
        <f t="shared" si="29"/>
        <v>0</v>
      </c>
      <c r="D192" s="3">
        <v>59</v>
      </c>
      <c r="E192" s="4">
        <f t="shared" si="26"/>
        <v>0</v>
      </c>
      <c r="F192" s="6">
        <f t="shared" si="30"/>
        <v>0</v>
      </c>
      <c r="G192" s="4"/>
      <c r="H192" s="4"/>
    </row>
    <row r="193" spans="1:8" x14ac:dyDescent="0.2">
      <c r="A193" s="11">
        <v>44562</v>
      </c>
      <c r="B193" s="12" t="s">
        <v>7</v>
      </c>
      <c r="C193" s="3">
        <f t="shared" si="29"/>
        <v>0</v>
      </c>
      <c r="D193" s="3">
        <v>670</v>
      </c>
      <c r="E193" s="4">
        <f t="shared" si="26"/>
        <v>0</v>
      </c>
      <c r="F193" s="6">
        <f t="shared" si="30"/>
        <v>0</v>
      </c>
      <c r="G193" s="4"/>
      <c r="H193" s="4"/>
    </row>
    <row r="194" spans="1:8" x14ac:dyDescent="0.2">
      <c r="A194" s="11">
        <v>44562</v>
      </c>
      <c r="B194" s="12" t="s">
        <v>2</v>
      </c>
      <c r="C194" s="3">
        <f t="shared" si="29"/>
        <v>0</v>
      </c>
      <c r="D194" s="3">
        <v>5</v>
      </c>
      <c r="E194" s="4">
        <f t="shared" si="26"/>
        <v>0</v>
      </c>
      <c r="F194" s="6">
        <f t="shared" si="30"/>
        <v>0</v>
      </c>
      <c r="G194" s="4"/>
      <c r="H194" s="4"/>
    </row>
    <row r="195" spans="1:8" x14ac:dyDescent="0.2">
      <c r="A195" s="11">
        <v>44562</v>
      </c>
      <c r="B195" s="12" t="s">
        <v>7</v>
      </c>
      <c r="C195" s="3">
        <f t="shared" si="29"/>
        <v>0</v>
      </c>
      <c r="D195" s="3">
        <v>459.7</v>
      </c>
      <c r="E195" s="4">
        <f t="shared" si="26"/>
        <v>0</v>
      </c>
      <c r="F195" s="6">
        <f t="shared" si="30"/>
        <v>0</v>
      </c>
      <c r="G195" s="4"/>
      <c r="H195" s="4"/>
    </row>
    <row r="196" spans="1:8" x14ac:dyDescent="0.2">
      <c r="A196" s="11">
        <v>44562</v>
      </c>
      <c r="B196" s="12" t="s">
        <v>2</v>
      </c>
      <c r="C196" s="3">
        <f t="shared" si="29"/>
        <v>0</v>
      </c>
      <c r="D196" s="3">
        <f>IF(0,0,0)</f>
        <v>0</v>
      </c>
      <c r="E196" s="4">
        <f t="shared" si="26"/>
        <v>0</v>
      </c>
      <c r="F196" s="6">
        <f>100+185</f>
        <v>285</v>
      </c>
      <c r="G196" s="4"/>
      <c r="H196" s="4"/>
    </row>
    <row r="197" spans="1:8" x14ac:dyDescent="0.2">
      <c r="A197" s="11">
        <v>44563</v>
      </c>
      <c r="B197" s="12" t="s">
        <v>7</v>
      </c>
      <c r="C197" s="3">
        <f t="shared" si="29"/>
        <v>0</v>
      </c>
      <c r="D197" s="3">
        <v>13530</v>
      </c>
      <c r="E197" s="4">
        <f t="shared" si="26"/>
        <v>0</v>
      </c>
      <c r="F197" s="6">
        <f t="shared" ref="F197:F209" si="31">IF(0,0,0)</f>
        <v>0</v>
      </c>
      <c r="G197" s="4"/>
      <c r="H197" s="4"/>
    </row>
    <row r="198" spans="1:8" x14ac:dyDescent="0.2">
      <c r="A198" s="11">
        <v>44563</v>
      </c>
      <c r="B198" s="12" t="s">
        <v>9</v>
      </c>
      <c r="C198" s="3">
        <f t="shared" si="29"/>
        <v>0</v>
      </c>
      <c r="D198" s="3">
        <v>870</v>
      </c>
      <c r="E198" s="4">
        <f t="shared" si="26"/>
        <v>0</v>
      </c>
      <c r="F198" s="6">
        <f t="shared" si="31"/>
        <v>0</v>
      </c>
      <c r="G198" s="4"/>
      <c r="H198" s="4"/>
    </row>
    <row r="199" spans="1:8" x14ac:dyDescent="0.2">
      <c r="A199" s="11">
        <v>44563</v>
      </c>
      <c r="B199" s="12" t="s">
        <v>9</v>
      </c>
      <c r="C199" s="3">
        <f t="shared" si="29"/>
        <v>0</v>
      </c>
      <c r="D199" s="3">
        <f>1708.99+1901.31</f>
        <v>3610.3</v>
      </c>
      <c r="E199" s="4">
        <f t="shared" si="26"/>
        <v>0</v>
      </c>
      <c r="F199" s="6">
        <f t="shared" si="31"/>
        <v>0</v>
      </c>
      <c r="G199" s="4"/>
      <c r="H199" s="4"/>
    </row>
    <row r="200" spans="1:8" x14ac:dyDescent="0.2">
      <c r="A200" s="11">
        <v>44564</v>
      </c>
      <c r="B200" s="12" t="s">
        <v>2</v>
      </c>
      <c r="C200" s="3">
        <f t="shared" si="29"/>
        <v>0</v>
      </c>
      <c r="D200" s="3">
        <v>92</v>
      </c>
      <c r="E200" s="4">
        <f t="shared" si="26"/>
        <v>0</v>
      </c>
      <c r="F200" s="6">
        <f t="shared" si="31"/>
        <v>0</v>
      </c>
      <c r="G200" s="4"/>
      <c r="H200" s="4"/>
    </row>
    <row r="201" spans="1:8" x14ac:dyDescent="0.2">
      <c r="A201" s="11">
        <v>44564</v>
      </c>
      <c r="B201" s="12" t="s">
        <v>8</v>
      </c>
      <c r="C201" s="3">
        <f t="shared" si="29"/>
        <v>0</v>
      </c>
      <c r="D201" s="3">
        <v>17310</v>
      </c>
      <c r="E201" s="4">
        <f t="shared" si="26"/>
        <v>0</v>
      </c>
      <c r="F201" s="6">
        <f t="shared" si="31"/>
        <v>0</v>
      </c>
      <c r="G201" s="4"/>
      <c r="H201" s="4"/>
    </row>
    <row r="202" spans="1:8" x14ac:dyDescent="0.2">
      <c r="A202" s="11">
        <v>44565</v>
      </c>
      <c r="B202" s="12" t="s">
        <v>2</v>
      </c>
      <c r="C202" s="3">
        <f t="shared" si="29"/>
        <v>0</v>
      </c>
      <c r="D202" s="3">
        <v>150</v>
      </c>
      <c r="E202" s="4">
        <f t="shared" si="26"/>
        <v>0</v>
      </c>
      <c r="F202" s="6">
        <f t="shared" si="31"/>
        <v>0</v>
      </c>
      <c r="G202" s="4"/>
      <c r="H202" s="4"/>
    </row>
    <row r="203" spans="1:8" x14ac:dyDescent="0.2">
      <c r="A203" s="11">
        <v>44566</v>
      </c>
      <c r="B203" s="12" t="s">
        <v>9</v>
      </c>
      <c r="C203" s="3">
        <f t="shared" si="29"/>
        <v>0</v>
      </c>
      <c r="D203" s="3">
        <v>199</v>
      </c>
      <c r="E203" s="4">
        <f t="shared" si="26"/>
        <v>0</v>
      </c>
      <c r="F203" s="6">
        <f t="shared" si="31"/>
        <v>0</v>
      </c>
      <c r="G203" s="4"/>
      <c r="H203" s="4"/>
    </row>
    <row r="204" spans="1:8" x14ac:dyDescent="0.2">
      <c r="A204" s="11">
        <v>44566</v>
      </c>
      <c r="B204" s="12" t="s">
        <v>7</v>
      </c>
      <c r="C204" s="3">
        <f t="shared" si="29"/>
        <v>0</v>
      </c>
      <c r="D204" s="3">
        <v>1700</v>
      </c>
      <c r="E204" s="4">
        <f t="shared" si="26"/>
        <v>0</v>
      </c>
      <c r="F204" s="6">
        <f t="shared" si="31"/>
        <v>0</v>
      </c>
      <c r="G204" s="4"/>
      <c r="H204" s="4"/>
    </row>
    <row r="205" spans="1:8" x14ac:dyDescent="0.2">
      <c r="A205" s="11">
        <v>44566</v>
      </c>
      <c r="B205" s="12" t="s">
        <v>9</v>
      </c>
      <c r="C205" s="3">
        <f t="shared" si="29"/>
        <v>0</v>
      </c>
      <c r="D205" s="3">
        <v>44.2</v>
      </c>
      <c r="E205" s="4">
        <f t="shared" si="26"/>
        <v>0</v>
      </c>
      <c r="F205" s="6">
        <f t="shared" si="31"/>
        <v>0</v>
      </c>
      <c r="G205" s="4"/>
      <c r="H205" s="4"/>
    </row>
    <row r="206" spans="1:8" x14ac:dyDescent="0.2">
      <c r="A206" s="11">
        <v>44566</v>
      </c>
      <c r="B206" s="12" t="s">
        <v>9</v>
      </c>
      <c r="C206" s="3">
        <f t="shared" si="29"/>
        <v>0</v>
      </c>
      <c r="D206" s="3">
        <v>62</v>
      </c>
      <c r="E206" s="4">
        <f t="shared" si="26"/>
        <v>0</v>
      </c>
      <c r="F206" s="6">
        <f t="shared" si="31"/>
        <v>0</v>
      </c>
      <c r="G206" s="4"/>
      <c r="H206" s="4"/>
    </row>
    <row r="207" spans="1:8" x14ac:dyDescent="0.2">
      <c r="A207" s="11">
        <v>44566</v>
      </c>
      <c r="B207" s="12" t="s">
        <v>10</v>
      </c>
      <c r="C207" s="3">
        <f t="shared" si="29"/>
        <v>0</v>
      </c>
      <c r="D207" s="3">
        <v>500</v>
      </c>
      <c r="E207" s="4">
        <f t="shared" si="26"/>
        <v>0</v>
      </c>
      <c r="F207" s="6">
        <f t="shared" si="31"/>
        <v>0</v>
      </c>
      <c r="G207" s="4"/>
      <c r="H207" s="4"/>
    </row>
    <row r="208" spans="1:8" x14ac:dyDescent="0.2">
      <c r="A208" s="11">
        <v>44566</v>
      </c>
      <c r="B208" s="12" t="s">
        <v>9</v>
      </c>
      <c r="C208" s="3">
        <f t="shared" si="29"/>
        <v>0</v>
      </c>
      <c r="D208" s="3">
        <v>147.19</v>
      </c>
      <c r="E208" s="4">
        <f t="shared" si="26"/>
        <v>0</v>
      </c>
      <c r="F208" s="6">
        <f t="shared" si="31"/>
        <v>0</v>
      </c>
      <c r="G208" s="4"/>
      <c r="H208" s="4"/>
    </row>
    <row r="209" spans="1:8" x14ac:dyDescent="0.2">
      <c r="A209" s="11">
        <v>44567</v>
      </c>
      <c r="B209" s="12" t="s">
        <v>5</v>
      </c>
      <c r="C209" s="3">
        <f t="shared" si="29"/>
        <v>0</v>
      </c>
      <c r="D209" s="3">
        <f>IF(0,0,0)</f>
        <v>0</v>
      </c>
      <c r="E209" s="4">
        <v>5000</v>
      </c>
      <c r="F209" s="6">
        <f t="shared" si="31"/>
        <v>0</v>
      </c>
      <c r="G209" s="4"/>
      <c r="H209" s="4"/>
    </row>
    <row r="210" spans="1:8" x14ac:dyDescent="0.2">
      <c r="A210" s="11">
        <v>44567</v>
      </c>
      <c r="B210" s="12" t="s">
        <v>3</v>
      </c>
      <c r="C210" s="3">
        <f t="shared" si="29"/>
        <v>0</v>
      </c>
      <c r="D210" s="3">
        <f>IF(0,0,0)</f>
        <v>0</v>
      </c>
      <c r="E210" s="4">
        <f t="shared" ref="E210:E241" si="32">IF(0,0,0)</f>
        <v>0</v>
      </c>
      <c r="F210" s="6">
        <v>5000</v>
      </c>
      <c r="G210" s="4"/>
      <c r="H210" s="4"/>
    </row>
    <row r="211" spans="1:8" x14ac:dyDescent="0.2">
      <c r="A211" s="11">
        <v>44567</v>
      </c>
      <c r="B211" s="12" t="s">
        <v>14</v>
      </c>
      <c r="C211" s="3">
        <f t="shared" si="29"/>
        <v>0</v>
      </c>
      <c r="D211" s="3">
        <f>IF(0,0,0)</f>
        <v>0</v>
      </c>
      <c r="E211" s="4">
        <f t="shared" si="32"/>
        <v>0</v>
      </c>
      <c r="F211" s="6">
        <v>300</v>
      </c>
      <c r="G211" s="4"/>
      <c r="H211" s="4"/>
    </row>
    <row r="212" spans="1:8" x14ac:dyDescent="0.2">
      <c r="A212" s="11">
        <v>44568</v>
      </c>
      <c r="B212" s="12" t="s">
        <v>2</v>
      </c>
      <c r="C212" s="3">
        <f t="shared" si="29"/>
        <v>0</v>
      </c>
      <c r="D212" s="3">
        <v>340</v>
      </c>
      <c r="E212" s="4">
        <f t="shared" si="32"/>
        <v>0</v>
      </c>
      <c r="F212" s="6">
        <f t="shared" ref="F212:F225" si="33">IF(0,0,0)</f>
        <v>0</v>
      </c>
      <c r="G212" s="4"/>
      <c r="H212" s="4"/>
    </row>
    <row r="213" spans="1:8" x14ac:dyDescent="0.2">
      <c r="A213" s="11">
        <v>44568</v>
      </c>
      <c r="B213" s="12" t="s">
        <v>2</v>
      </c>
      <c r="C213" s="3">
        <f t="shared" si="29"/>
        <v>0</v>
      </c>
      <c r="D213" s="3">
        <v>350</v>
      </c>
      <c r="E213" s="4">
        <f t="shared" si="32"/>
        <v>0</v>
      </c>
      <c r="F213" s="6">
        <f t="shared" si="33"/>
        <v>0</v>
      </c>
      <c r="G213" s="4"/>
      <c r="H213" s="4"/>
    </row>
    <row r="214" spans="1:8" x14ac:dyDescent="0.2">
      <c r="A214" s="11">
        <v>44568</v>
      </c>
      <c r="B214" s="12" t="s">
        <v>9</v>
      </c>
      <c r="C214" s="3">
        <f t="shared" si="29"/>
        <v>0</v>
      </c>
      <c r="D214" s="3">
        <v>300</v>
      </c>
      <c r="E214" s="4">
        <f t="shared" si="32"/>
        <v>0</v>
      </c>
      <c r="F214" s="6">
        <f t="shared" si="33"/>
        <v>0</v>
      </c>
      <c r="G214" s="4"/>
      <c r="H214" s="4"/>
    </row>
    <row r="215" spans="1:8" x14ac:dyDescent="0.2">
      <c r="A215" s="11">
        <v>44569</v>
      </c>
      <c r="B215" s="12" t="s">
        <v>14</v>
      </c>
      <c r="C215" s="3">
        <f t="shared" si="29"/>
        <v>0</v>
      </c>
      <c r="D215" s="3">
        <v>450</v>
      </c>
      <c r="E215" s="4">
        <f t="shared" si="32"/>
        <v>0</v>
      </c>
      <c r="F215" s="6">
        <f t="shared" si="33"/>
        <v>0</v>
      </c>
      <c r="G215" s="4"/>
      <c r="H215" s="4"/>
    </row>
    <row r="216" spans="1:8" x14ac:dyDescent="0.2">
      <c r="A216" s="11">
        <v>44569</v>
      </c>
      <c r="B216" s="12" t="s">
        <v>9</v>
      </c>
      <c r="C216" s="3">
        <f t="shared" ref="C216:C244" si="34">IF(0,0,0)</f>
        <v>0</v>
      </c>
      <c r="D216" s="3">
        <v>1601.48</v>
      </c>
      <c r="E216" s="4">
        <f t="shared" si="32"/>
        <v>0</v>
      </c>
      <c r="F216" s="6">
        <f t="shared" si="33"/>
        <v>0</v>
      </c>
      <c r="G216" s="4"/>
      <c r="H216" s="4"/>
    </row>
    <row r="217" spans="1:8" x14ac:dyDescent="0.2">
      <c r="A217" s="11">
        <v>44569</v>
      </c>
      <c r="B217" s="12" t="s">
        <v>2</v>
      </c>
      <c r="C217" s="3">
        <f t="shared" si="34"/>
        <v>0</v>
      </c>
      <c r="D217" s="3">
        <v>51</v>
      </c>
      <c r="E217" s="4">
        <f t="shared" si="32"/>
        <v>0</v>
      </c>
      <c r="F217" s="6">
        <f t="shared" si="33"/>
        <v>0</v>
      </c>
      <c r="G217" s="4"/>
      <c r="H217" s="4"/>
    </row>
    <row r="218" spans="1:8" x14ac:dyDescent="0.2">
      <c r="A218" s="1">
        <v>44570</v>
      </c>
      <c r="B218" s="12" t="s">
        <v>9</v>
      </c>
      <c r="C218" s="3">
        <f t="shared" si="34"/>
        <v>0</v>
      </c>
      <c r="D218" s="3">
        <f t="shared" ref="D218:D223" si="35">IF(0,0,0)</f>
        <v>0</v>
      </c>
      <c r="E218" s="4">
        <f t="shared" si="32"/>
        <v>0</v>
      </c>
      <c r="F218" s="6">
        <f t="shared" si="33"/>
        <v>0</v>
      </c>
      <c r="G218" s="4"/>
      <c r="H218" s="4"/>
    </row>
    <row r="219" spans="1:8" x14ac:dyDescent="0.2">
      <c r="A219" s="1">
        <v>44570</v>
      </c>
      <c r="B219" s="12" t="s">
        <v>2</v>
      </c>
      <c r="C219" s="3">
        <f t="shared" si="34"/>
        <v>0</v>
      </c>
      <c r="D219" s="3">
        <f t="shared" si="35"/>
        <v>0</v>
      </c>
      <c r="E219" s="4">
        <f t="shared" si="32"/>
        <v>0</v>
      </c>
      <c r="F219" s="6">
        <f t="shared" si="33"/>
        <v>0</v>
      </c>
      <c r="G219" s="4"/>
      <c r="H219" s="4"/>
    </row>
    <row r="220" spans="1:8" x14ac:dyDescent="0.2">
      <c r="A220" s="1">
        <v>44570</v>
      </c>
      <c r="B220" s="12" t="s">
        <v>8</v>
      </c>
      <c r="C220" s="3">
        <f t="shared" si="34"/>
        <v>0</v>
      </c>
      <c r="D220" s="3">
        <f t="shared" si="35"/>
        <v>0</v>
      </c>
      <c r="E220" s="4">
        <f t="shared" si="32"/>
        <v>0</v>
      </c>
      <c r="F220" s="6">
        <f t="shared" si="33"/>
        <v>0</v>
      </c>
      <c r="G220" s="4"/>
      <c r="H220" s="4"/>
    </row>
    <row r="221" spans="1:8" x14ac:dyDescent="0.2">
      <c r="A221" s="1">
        <v>44570</v>
      </c>
      <c r="B221" s="12" t="s">
        <v>14</v>
      </c>
      <c r="C221" s="3">
        <f t="shared" si="34"/>
        <v>0</v>
      </c>
      <c r="D221" s="3">
        <f t="shared" si="35"/>
        <v>0</v>
      </c>
      <c r="E221" s="4">
        <f t="shared" si="32"/>
        <v>0</v>
      </c>
      <c r="F221" s="6">
        <f t="shared" si="33"/>
        <v>0</v>
      </c>
      <c r="G221" s="4"/>
      <c r="H221" s="4"/>
    </row>
    <row r="222" spans="1:8" x14ac:dyDescent="0.2">
      <c r="A222" s="1">
        <v>44570</v>
      </c>
      <c r="B222" s="12" t="s">
        <v>10</v>
      </c>
      <c r="C222" s="3">
        <f t="shared" si="34"/>
        <v>0</v>
      </c>
      <c r="D222" s="3">
        <f t="shared" si="35"/>
        <v>0</v>
      </c>
      <c r="E222" s="4">
        <f t="shared" si="32"/>
        <v>0</v>
      </c>
      <c r="F222" s="6">
        <f t="shared" si="33"/>
        <v>0</v>
      </c>
      <c r="G222" s="4"/>
      <c r="H222" s="4"/>
    </row>
    <row r="223" spans="1:8" x14ac:dyDescent="0.2">
      <c r="A223" s="1">
        <v>44570</v>
      </c>
      <c r="B223" s="12" t="s">
        <v>3</v>
      </c>
      <c r="C223" s="3">
        <f t="shared" si="34"/>
        <v>0</v>
      </c>
      <c r="D223" s="3">
        <f t="shared" si="35"/>
        <v>0</v>
      </c>
      <c r="E223" s="4">
        <f t="shared" si="32"/>
        <v>0</v>
      </c>
      <c r="F223" s="6">
        <f t="shared" si="33"/>
        <v>0</v>
      </c>
      <c r="G223" s="4"/>
      <c r="H223" s="4"/>
    </row>
    <row r="224" spans="1:8" x14ac:dyDescent="0.2">
      <c r="A224" s="11">
        <v>44571</v>
      </c>
      <c r="B224" s="12" t="s">
        <v>9</v>
      </c>
      <c r="C224" s="3">
        <f t="shared" si="34"/>
        <v>0</v>
      </c>
      <c r="D224" s="3">
        <v>205</v>
      </c>
      <c r="E224" s="4">
        <f t="shared" si="32"/>
        <v>0</v>
      </c>
      <c r="F224" s="6">
        <f t="shared" si="33"/>
        <v>0</v>
      </c>
      <c r="G224" s="4"/>
      <c r="H224" s="4"/>
    </row>
    <row r="225" spans="1:8" x14ac:dyDescent="0.2">
      <c r="A225" s="11">
        <v>44571</v>
      </c>
      <c r="B225" s="12" t="s">
        <v>12</v>
      </c>
      <c r="C225" s="3">
        <f t="shared" si="34"/>
        <v>0</v>
      </c>
      <c r="D225" s="3">
        <v>5910</v>
      </c>
      <c r="E225" s="4">
        <f t="shared" si="32"/>
        <v>0</v>
      </c>
      <c r="F225" s="6">
        <f t="shared" si="33"/>
        <v>0</v>
      </c>
      <c r="G225" s="4"/>
      <c r="H225" s="4"/>
    </row>
    <row r="226" spans="1:8" x14ac:dyDescent="0.2">
      <c r="A226" s="11">
        <v>44571</v>
      </c>
      <c r="B226" s="12" t="s">
        <v>8</v>
      </c>
      <c r="C226" s="3">
        <f t="shared" si="34"/>
        <v>0</v>
      </c>
      <c r="D226" s="3">
        <v>0</v>
      </c>
      <c r="E226" s="4">
        <f t="shared" si="32"/>
        <v>0</v>
      </c>
      <c r="F226" s="6">
        <v>60</v>
      </c>
      <c r="G226" s="4"/>
      <c r="H226" s="4"/>
    </row>
    <row r="227" spans="1:8" x14ac:dyDescent="0.2">
      <c r="A227" s="1">
        <v>44572</v>
      </c>
      <c r="B227" s="12" t="s">
        <v>9</v>
      </c>
      <c r="C227" s="3">
        <f t="shared" si="34"/>
        <v>0</v>
      </c>
      <c r="D227" s="3">
        <v>363</v>
      </c>
      <c r="E227" s="4">
        <f t="shared" si="32"/>
        <v>0</v>
      </c>
      <c r="F227" s="6">
        <f>IF(0,0,0)</f>
        <v>0</v>
      </c>
      <c r="G227" s="4"/>
      <c r="H227" s="4"/>
    </row>
    <row r="228" spans="1:8" x14ac:dyDescent="0.2">
      <c r="A228" s="1">
        <v>44572</v>
      </c>
      <c r="B228" s="12" t="s">
        <v>2</v>
      </c>
      <c r="C228" s="3">
        <f t="shared" si="34"/>
        <v>0</v>
      </c>
      <c r="D228" s="3">
        <v>51</v>
      </c>
      <c r="E228" s="4">
        <f t="shared" si="32"/>
        <v>0</v>
      </c>
      <c r="F228" s="6">
        <f>IF(0,0,0)</f>
        <v>0</v>
      </c>
      <c r="G228" s="4"/>
      <c r="H228" s="4"/>
    </row>
    <row r="229" spans="1:8" x14ac:dyDescent="0.2">
      <c r="A229" s="1">
        <v>44572</v>
      </c>
      <c r="B229" s="12" t="s">
        <v>2</v>
      </c>
      <c r="C229" s="3">
        <f t="shared" si="34"/>
        <v>0</v>
      </c>
      <c r="D229" s="3">
        <v>435</v>
      </c>
      <c r="E229" s="4">
        <f t="shared" si="32"/>
        <v>0</v>
      </c>
      <c r="F229" s="6">
        <f>IF(0,0,0)</f>
        <v>0</v>
      </c>
      <c r="G229" s="4"/>
      <c r="H229" s="4"/>
    </row>
    <row r="230" spans="1:8" x14ac:dyDescent="0.2">
      <c r="A230" s="11">
        <v>44573</v>
      </c>
      <c r="B230" s="2" t="s">
        <v>8</v>
      </c>
      <c r="C230" s="3">
        <f t="shared" si="34"/>
        <v>0</v>
      </c>
      <c r="D230" s="3">
        <f>IF(0,0,0)</f>
        <v>0</v>
      </c>
      <c r="E230" s="4">
        <f t="shared" si="32"/>
        <v>0</v>
      </c>
      <c r="F230" s="6">
        <v>348.45</v>
      </c>
      <c r="G230" s="4"/>
      <c r="H230" s="4"/>
    </row>
    <row r="231" spans="1:8" x14ac:dyDescent="0.2">
      <c r="A231" s="11">
        <v>44573</v>
      </c>
      <c r="B231" s="2" t="s">
        <v>2</v>
      </c>
      <c r="C231" s="3">
        <f t="shared" si="34"/>
        <v>0</v>
      </c>
      <c r="D231" s="3">
        <v>51</v>
      </c>
      <c r="E231" s="4">
        <f t="shared" si="32"/>
        <v>0</v>
      </c>
      <c r="F231" s="6">
        <f>IF(0,0,0)</f>
        <v>0</v>
      </c>
      <c r="G231" s="4"/>
      <c r="H231" s="4"/>
    </row>
    <row r="232" spans="1:8" x14ac:dyDescent="0.2">
      <c r="A232" s="1">
        <v>44574</v>
      </c>
      <c r="B232" s="2" t="s">
        <v>10</v>
      </c>
      <c r="C232" s="3">
        <f t="shared" si="34"/>
        <v>0</v>
      </c>
      <c r="D232" s="3">
        <v>450</v>
      </c>
      <c r="E232" s="4">
        <f t="shared" si="32"/>
        <v>0</v>
      </c>
      <c r="F232" s="6">
        <f>IF(0,0,0)</f>
        <v>0</v>
      </c>
      <c r="G232" s="4"/>
      <c r="H232" s="4"/>
    </row>
    <row r="233" spans="1:8" x14ac:dyDescent="0.2">
      <c r="A233" s="1">
        <v>44574</v>
      </c>
      <c r="B233" s="2" t="s">
        <v>9</v>
      </c>
      <c r="C233" s="3">
        <f t="shared" si="34"/>
        <v>0</v>
      </c>
      <c r="D233" s="3">
        <v>721</v>
      </c>
      <c r="E233" s="4">
        <f t="shared" si="32"/>
        <v>0</v>
      </c>
      <c r="F233" s="6">
        <f>IF(0,0,0)</f>
        <v>0</v>
      </c>
      <c r="G233" s="4"/>
      <c r="H233" s="4"/>
    </row>
    <row r="234" spans="1:8" x14ac:dyDescent="0.2">
      <c r="A234" s="1">
        <v>44574</v>
      </c>
      <c r="B234" s="2" t="s">
        <v>9</v>
      </c>
      <c r="C234" s="3">
        <f t="shared" si="34"/>
        <v>0</v>
      </c>
      <c r="D234" s="3">
        <v>325</v>
      </c>
      <c r="E234" s="4">
        <f t="shared" si="32"/>
        <v>0</v>
      </c>
      <c r="F234" s="6">
        <f>IF(0,0,0)</f>
        <v>0</v>
      </c>
      <c r="G234" s="4"/>
      <c r="H234" s="4"/>
    </row>
    <row r="235" spans="1:8" x14ac:dyDescent="0.2">
      <c r="A235" s="1">
        <v>44574</v>
      </c>
      <c r="B235" s="2" t="s">
        <v>9</v>
      </c>
      <c r="C235" s="3">
        <f t="shared" si="34"/>
        <v>0</v>
      </c>
      <c r="D235" s="3">
        <v>60</v>
      </c>
      <c r="E235" s="4">
        <f t="shared" si="32"/>
        <v>0</v>
      </c>
      <c r="F235" s="6">
        <f>IF(0,0,0)</f>
        <v>0</v>
      </c>
      <c r="G235" s="4"/>
      <c r="H235" s="4"/>
    </row>
    <row r="236" spans="1:8" x14ac:dyDescent="0.2">
      <c r="A236" s="1">
        <v>44574</v>
      </c>
      <c r="B236" s="2" t="s">
        <v>2</v>
      </c>
      <c r="C236" s="3">
        <f t="shared" si="34"/>
        <v>0</v>
      </c>
      <c r="D236" s="3">
        <f>IF(0,0,0)</f>
        <v>0</v>
      </c>
      <c r="E236" s="4">
        <f t="shared" si="32"/>
        <v>0</v>
      </c>
      <c r="F236" s="6">
        <f>400-200</f>
        <v>200</v>
      </c>
      <c r="G236" s="4"/>
      <c r="H236" s="4"/>
    </row>
    <row r="237" spans="1:8" x14ac:dyDescent="0.2">
      <c r="A237" s="1">
        <v>44574</v>
      </c>
      <c r="B237" s="2" t="s">
        <v>2</v>
      </c>
      <c r="C237" s="3">
        <f t="shared" si="34"/>
        <v>0</v>
      </c>
      <c r="D237" s="3">
        <f>IF(0,0,0)</f>
        <v>0</v>
      </c>
      <c r="E237" s="4">
        <f t="shared" si="32"/>
        <v>0</v>
      </c>
      <c r="F237" s="6">
        <v>300</v>
      </c>
      <c r="G237" s="4"/>
      <c r="H237" s="4"/>
    </row>
    <row r="238" spans="1:8" x14ac:dyDescent="0.2">
      <c r="A238" s="1">
        <v>44575</v>
      </c>
      <c r="B238" s="12" t="s">
        <v>7</v>
      </c>
      <c r="C238" s="3">
        <f t="shared" si="34"/>
        <v>0</v>
      </c>
      <c r="D238" s="3">
        <v>950</v>
      </c>
      <c r="E238" s="4">
        <f t="shared" si="32"/>
        <v>0</v>
      </c>
      <c r="F238" s="6">
        <f>IF(0,0,0)</f>
        <v>0</v>
      </c>
      <c r="G238" s="4"/>
      <c r="H238" s="4"/>
    </row>
    <row r="239" spans="1:8" x14ac:dyDescent="0.2">
      <c r="A239" s="11">
        <v>44575</v>
      </c>
      <c r="B239" s="12" t="s">
        <v>2</v>
      </c>
      <c r="C239" s="3">
        <f t="shared" si="34"/>
        <v>0</v>
      </c>
      <c r="D239" s="3">
        <v>0</v>
      </c>
      <c r="E239" s="4">
        <f t="shared" si="32"/>
        <v>0</v>
      </c>
      <c r="F239" s="6">
        <v>480</v>
      </c>
      <c r="G239" s="4"/>
      <c r="H239" s="4"/>
    </row>
    <row r="240" spans="1:8" x14ac:dyDescent="0.2">
      <c r="A240" s="1">
        <v>44576</v>
      </c>
      <c r="B240" s="12" t="s">
        <v>7</v>
      </c>
      <c r="C240" s="3">
        <f t="shared" si="34"/>
        <v>0</v>
      </c>
      <c r="D240" s="3">
        <v>2580</v>
      </c>
      <c r="E240" s="4">
        <f t="shared" si="32"/>
        <v>0</v>
      </c>
      <c r="F240" s="6">
        <f t="shared" ref="F240:F250" si="36">IF(0,0,0)</f>
        <v>0</v>
      </c>
      <c r="G240" s="4"/>
      <c r="H240" s="4"/>
    </row>
    <row r="241" spans="1:8" x14ac:dyDescent="0.2">
      <c r="A241" s="1">
        <v>44578</v>
      </c>
      <c r="B241" s="12" t="s">
        <v>9</v>
      </c>
      <c r="C241" s="3">
        <f t="shared" si="34"/>
        <v>0</v>
      </c>
      <c r="D241" s="3">
        <v>299</v>
      </c>
      <c r="E241" s="4">
        <f t="shared" si="32"/>
        <v>0</v>
      </c>
      <c r="F241" s="6">
        <f t="shared" si="36"/>
        <v>0</v>
      </c>
      <c r="G241" s="4"/>
      <c r="H241" s="4"/>
    </row>
    <row r="242" spans="1:8" x14ac:dyDescent="0.2">
      <c r="A242" s="11">
        <v>44579</v>
      </c>
      <c r="B242" s="12" t="s">
        <v>9</v>
      </c>
      <c r="C242" s="3">
        <f t="shared" si="34"/>
        <v>0</v>
      </c>
      <c r="D242" s="3">
        <v>952.87</v>
      </c>
      <c r="E242" s="4">
        <f t="shared" ref="E242:E267" si="37">IF(0,0,0)</f>
        <v>0</v>
      </c>
      <c r="F242" s="6">
        <f t="shared" si="36"/>
        <v>0</v>
      </c>
      <c r="G242" s="4"/>
      <c r="H242" s="4"/>
    </row>
    <row r="243" spans="1:8" x14ac:dyDescent="0.2">
      <c r="A243" s="1">
        <v>44580</v>
      </c>
      <c r="B243" s="12" t="s">
        <v>7</v>
      </c>
      <c r="C243" s="3">
        <f t="shared" si="34"/>
        <v>0</v>
      </c>
      <c r="D243" s="3">
        <v>579</v>
      </c>
      <c r="E243" s="4">
        <f t="shared" si="37"/>
        <v>0</v>
      </c>
      <c r="F243" s="6">
        <f t="shared" si="36"/>
        <v>0</v>
      </c>
      <c r="G243" s="4"/>
      <c r="H243" s="4"/>
    </row>
    <row r="244" spans="1:8" x14ac:dyDescent="0.2">
      <c r="A244" s="1">
        <v>44580</v>
      </c>
      <c r="B244" s="12" t="s">
        <v>9</v>
      </c>
      <c r="C244" s="3">
        <f t="shared" si="34"/>
        <v>0</v>
      </c>
      <c r="D244" s="3">
        <v>52.49</v>
      </c>
      <c r="E244" s="4">
        <f t="shared" si="37"/>
        <v>0</v>
      </c>
      <c r="F244" s="6">
        <f t="shared" si="36"/>
        <v>0</v>
      </c>
      <c r="G244" s="4"/>
      <c r="H244" s="4"/>
    </row>
    <row r="245" spans="1:8" x14ac:dyDescent="0.2">
      <c r="A245" s="11">
        <v>44581</v>
      </c>
      <c r="B245" s="12" t="s">
        <v>13</v>
      </c>
      <c r="C245" s="3">
        <v>19872</v>
      </c>
      <c r="D245" s="3">
        <f>IF(0,0,0)</f>
        <v>0</v>
      </c>
      <c r="E245" s="4">
        <f t="shared" si="37"/>
        <v>0</v>
      </c>
      <c r="F245" s="6">
        <f t="shared" si="36"/>
        <v>0</v>
      </c>
      <c r="G245" s="4"/>
      <c r="H245" s="4"/>
    </row>
    <row r="246" spans="1:8" x14ac:dyDescent="0.2">
      <c r="A246" s="1">
        <v>44582</v>
      </c>
      <c r="B246" s="12" t="s">
        <v>9</v>
      </c>
      <c r="C246" s="3">
        <f t="shared" ref="C246:C259" si="38">IF(0,0,0)</f>
        <v>0</v>
      </c>
      <c r="D246" s="3">
        <v>143</v>
      </c>
      <c r="E246" s="4">
        <f t="shared" si="37"/>
        <v>0</v>
      </c>
      <c r="F246" s="6">
        <f t="shared" si="36"/>
        <v>0</v>
      </c>
      <c r="G246" s="4"/>
      <c r="H246" s="4"/>
    </row>
    <row r="247" spans="1:8" x14ac:dyDescent="0.2">
      <c r="A247" s="1">
        <v>44582</v>
      </c>
      <c r="B247" s="12" t="s">
        <v>9</v>
      </c>
      <c r="C247" s="3">
        <f t="shared" si="38"/>
        <v>0</v>
      </c>
      <c r="D247" s="3">
        <v>107.99</v>
      </c>
      <c r="E247" s="4">
        <f t="shared" si="37"/>
        <v>0</v>
      </c>
      <c r="F247" s="6">
        <f t="shared" si="36"/>
        <v>0</v>
      </c>
      <c r="G247" s="4"/>
      <c r="H247" s="4"/>
    </row>
    <row r="248" spans="1:8" x14ac:dyDescent="0.2">
      <c r="A248" s="1">
        <v>44582</v>
      </c>
      <c r="B248" s="12" t="s">
        <v>10</v>
      </c>
      <c r="C248" s="3">
        <f t="shared" si="38"/>
        <v>0</v>
      </c>
      <c r="D248" s="3">
        <v>450</v>
      </c>
      <c r="E248" s="4">
        <f t="shared" si="37"/>
        <v>0</v>
      </c>
      <c r="F248" s="6">
        <f t="shared" si="36"/>
        <v>0</v>
      </c>
      <c r="G248" s="4"/>
      <c r="H248" s="4"/>
    </row>
    <row r="249" spans="1:8" x14ac:dyDescent="0.2">
      <c r="A249" s="1">
        <v>44582</v>
      </c>
      <c r="B249" s="12" t="s">
        <v>9</v>
      </c>
      <c r="C249" s="3">
        <f t="shared" si="38"/>
        <v>0</v>
      </c>
      <c r="D249" s="3">
        <v>180</v>
      </c>
      <c r="E249" s="4">
        <f t="shared" si="37"/>
        <v>0</v>
      </c>
      <c r="F249" s="6">
        <f t="shared" si="36"/>
        <v>0</v>
      </c>
      <c r="G249" s="4"/>
      <c r="H249" s="4"/>
    </row>
    <row r="250" spans="1:8" x14ac:dyDescent="0.2">
      <c r="A250" s="1">
        <v>44583</v>
      </c>
      <c r="B250" s="12" t="s">
        <v>9</v>
      </c>
      <c r="C250" s="3">
        <f t="shared" si="38"/>
        <v>0</v>
      </c>
      <c r="D250" s="3">
        <v>279</v>
      </c>
      <c r="E250" s="4">
        <f t="shared" si="37"/>
        <v>0</v>
      </c>
      <c r="F250" s="6">
        <f t="shared" si="36"/>
        <v>0</v>
      </c>
      <c r="G250" s="4"/>
      <c r="H250" s="4"/>
    </row>
    <row r="251" spans="1:8" x14ac:dyDescent="0.2">
      <c r="A251" s="11">
        <v>44583</v>
      </c>
      <c r="B251" s="12" t="s">
        <v>9</v>
      </c>
      <c r="C251" s="3">
        <f t="shared" si="38"/>
        <v>0</v>
      </c>
      <c r="D251" s="3">
        <v>818.57</v>
      </c>
      <c r="E251" s="4">
        <f t="shared" si="37"/>
        <v>0</v>
      </c>
      <c r="F251" s="6">
        <v>0</v>
      </c>
      <c r="G251" s="4"/>
      <c r="H251" s="4"/>
    </row>
    <row r="252" spans="1:8" x14ac:dyDescent="0.2">
      <c r="A252" s="1">
        <v>44584</v>
      </c>
      <c r="B252" s="12" t="s">
        <v>14</v>
      </c>
      <c r="C252" s="3">
        <f t="shared" si="38"/>
        <v>0</v>
      </c>
      <c r="D252" s="3">
        <v>600</v>
      </c>
      <c r="E252" s="4">
        <f t="shared" si="37"/>
        <v>0</v>
      </c>
      <c r="F252" s="6">
        <f t="shared" ref="F252:F274" si="39">IF(0,0,0)</f>
        <v>0</v>
      </c>
      <c r="G252" s="4"/>
      <c r="H252" s="4"/>
    </row>
    <row r="253" spans="1:8" x14ac:dyDescent="0.2">
      <c r="A253" s="1">
        <v>44584</v>
      </c>
      <c r="B253" s="12" t="s">
        <v>14</v>
      </c>
      <c r="C253" s="3">
        <f t="shared" si="38"/>
        <v>0</v>
      </c>
      <c r="D253" s="3">
        <v>600</v>
      </c>
      <c r="E253" s="4">
        <f t="shared" si="37"/>
        <v>0</v>
      </c>
      <c r="F253" s="6">
        <f t="shared" si="39"/>
        <v>0</v>
      </c>
      <c r="G253" s="4"/>
      <c r="H253" s="4"/>
    </row>
    <row r="254" spans="1:8" x14ac:dyDescent="0.2">
      <c r="A254" s="1">
        <v>44584</v>
      </c>
      <c r="B254" s="12" t="s">
        <v>2</v>
      </c>
      <c r="C254" s="3">
        <f t="shared" si="38"/>
        <v>0</v>
      </c>
      <c r="D254" s="3">
        <v>285</v>
      </c>
      <c r="E254" s="4">
        <f t="shared" si="37"/>
        <v>0</v>
      </c>
      <c r="F254" s="6">
        <f t="shared" si="39"/>
        <v>0</v>
      </c>
      <c r="G254" s="4"/>
      <c r="H254" s="4"/>
    </row>
    <row r="255" spans="1:8" x14ac:dyDescent="0.2">
      <c r="A255" s="1">
        <v>44584</v>
      </c>
      <c r="B255" s="12" t="s">
        <v>7</v>
      </c>
      <c r="C255" s="3">
        <f t="shared" si="38"/>
        <v>0</v>
      </c>
      <c r="D255" s="3">
        <v>553.70000000000005</v>
      </c>
      <c r="E255" s="4">
        <f t="shared" si="37"/>
        <v>0</v>
      </c>
      <c r="F255" s="6">
        <f t="shared" si="39"/>
        <v>0</v>
      </c>
      <c r="G255" s="4"/>
      <c r="H255" s="4"/>
    </row>
    <row r="256" spans="1:8" x14ac:dyDescent="0.2">
      <c r="A256" s="1">
        <v>44584</v>
      </c>
      <c r="B256" s="12" t="s">
        <v>2</v>
      </c>
      <c r="C256" s="3">
        <f t="shared" si="38"/>
        <v>0</v>
      </c>
      <c r="D256" s="3">
        <f>280+5.46</f>
        <v>285.45999999999998</v>
      </c>
      <c r="E256" s="4">
        <f t="shared" si="37"/>
        <v>0</v>
      </c>
      <c r="F256" s="6">
        <f t="shared" si="39"/>
        <v>0</v>
      </c>
      <c r="G256" s="4"/>
      <c r="H256" s="4"/>
    </row>
    <row r="257" spans="1:8" x14ac:dyDescent="0.2">
      <c r="A257" s="11">
        <v>44585</v>
      </c>
      <c r="B257" s="2" t="s">
        <v>9</v>
      </c>
      <c r="C257" s="3">
        <f t="shared" si="38"/>
        <v>0</v>
      </c>
      <c r="D257" s="3">
        <v>369</v>
      </c>
      <c r="E257" s="4">
        <f t="shared" si="37"/>
        <v>0</v>
      </c>
      <c r="F257" s="6">
        <f t="shared" si="39"/>
        <v>0</v>
      </c>
      <c r="G257" s="4"/>
      <c r="H257" s="4"/>
    </row>
    <row r="258" spans="1:8" x14ac:dyDescent="0.2">
      <c r="A258" s="11">
        <v>44585</v>
      </c>
      <c r="B258" s="2" t="s">
        <v>2</v>
      </c>
      <c r="C258" s="3">
        <f t="shared" si="38"/>
        <v>0</v>
      </c>
      <c r="D258" s="3">
        <v>51</v>
      </c>
      <c r="E258" s="4">
        <f t="shared" si="37"/>
        <v>0</v>
      </c>
      <c r="F258" s="6">
        <f t="shared" si="39"/>
        <v>0</v>
      </c>
      <c r="G258" s="4"/>
      <c r="H258" s="4"/>
    </row>
    <row r="259" spans="1:8" x14ac:dyDescent="0.2">
      <c r="A259" s="11">
        <v>44587</v>
      </c>
      <c r="B259" s="2" t="s">
        <v>8</v>
      </c>
      <c r="C259" s="3">
        <f t="shared" si="38"/>
        <v>0</v>
      </c>
      <c r="D259" s="3">
        <v>500</v>
      </c>
      <c r="E259" s="4">
        <f t="shared" si="37"/>
        <v>0</v>
      </c>
      <c r="F259" s="6">
        <f t="shared" si="39"/>
        <v>0</v>
      </c>
      <c r="G259" s="4"/>
      <c r="H259" s="4"/>
    </row>
    <row r="260" spans="1:8" x14ac:dyDescent="0.2">
      <c r="A260" s="1">
        <v>44588</v>
      </c>
      <c r="B260" s="12" t="s">
        <v>13</v>
      </c>
      <c r="C260" s="3">
        <v>2910</v>
      </c>
      <c r="D260" s="3">
        <f>IF(0,0,0)</f>
        <v>0</v>
      </c>
      <c r="E260" s="4">
        <f t="shared" si="37"/>
        <v>0</v>
      </c>
      <c r="F260" s="6">
        <f t="shared" si="39"/>
        <v>0</v>
      </c>
      <c r="G260" s="4"/>
      <c r="H260" s="4"/>
    </row>
    <row r="261" spans="1:8" x14ac:dyDescent="0.2">
      <c r="A261" s="1">
        <v>44588</v>
      </c>
      <c r="B261" s="12" t="s">
        <v>9</v>
      </c>
      <c r="C261" s="3">
        <f t="shared" ref="C261:C271" si="40">IF(0,0,0)</f>
        <v>0</v>
      </c>
      <c r="D261" s="3">
        <v>862</v>
      </c>
      <c r="E261" s="4">
        <f t="shared" si="37"/>
        <v>0</v>
      </c>
      <c r="F261" s="6">
        <f t="shared" si="39"/>
        <v>0</v>
      </c>
      <c r="G261" s="4"/>
      <c r="H261" s="4"/>
    </row>
    <row r="262" spans="1:8" x14ac:dyDescent="0.2">
      <c r="A262" s="1">
        <v>44588</v>
      </c>
      <c r="B262" s="12" t="s">
        <v>8</v>
      </c>
      <c r="C262" s="3">
        <f t="shared" si="40"/>
        <v>0</v>
      </c>
      <c r="D262" s="3">
        <v>550</v>
      </c>
      <c r="E262" s="4">
        <f t="shared" si="37"/>
        <v>0</v>
      </c>
      <c r="F262" s="6">
        <f t="shared" si="39"/>
        <v>0</v>
      </c>
      <c r="G262" s="4"/>
      <c r="H262" s="4"/>
    </row>
    <row r="263" spans="1:8" x14ac:dyDescent="0.2">
      <c r="A263" s="1">
        <v>44589</v>
      </c>
      <c r="B263" s="12" t="s">
        <v>7</v>
      </c>
      <c r="C263" s="3">
        <f t="shared" si="40"/>
        <v>0</v>
      </c>
      <c r="D263" s="3">
        <v>583.92999999999995</v>
      </c>
      <c r="E263" s="4">
        <f t="shared" si="37"/>
        <v>0</v>
      </c>
      <c r="F263" s="6">
        <f t="shared" si="39"/>
        <v>0</v>
      </c>
      <c r="G263" s="4"/>
      <c r="H263" s="4"/>
    </row>
    <row r="264" spans="1:8" x14ac:dyDescent="0.2">
      <c r="A264" s="11">
        <v>44589</v>
      </c>
      <c r="B264" s="12" t="s">
        <v>7</v>
      </c>
      <c r="C264" s="3">
        <f t="shared" si="40"/>
        <v>0</v>
      </c>
      <c r="D264" s="3">
        <v>458.94</v>
      </c>
      <c r="E264" s="4">
        <f t="shared" si="37"/>
        <v>0</v>
      </c>
      <c r="F264" s="6">
        <f t="shared" si="39"/>
        <v>0</v>
      </c>
      <c r="G264" s="4"/>
      <c r="H264" s="4"/>
    </row>
    <row r="265" spans="1:8" x14ac:dyDescent="0.2">
      <c r="A265" s="1">
        <v>44590</v>
      </c>
      <c r="B265" s="12" t="s">
        <v>7</v>
      </c>
      <c r="C265" s="3">
        <f t="shared" si="40"/>
        <v>0</v>
      </c>
      <c r="D265" s="3">
        <v>350</v>
      </c>
      <c r="E265" s="4">
        <f t="shared" si="37"/>
        <v>0</v>
      </c>
      <c r="F265" s="6">
        <f t="shared" si="39"/>
        <v>0</v>
      </c>
      <c r="G265" s="4"/>
      <c r="H265" s="4"/>
    </row>
    <row r="266" spans="1:8" x14ac:dyDescent="0.2">
      <c r="A266" s="11">
        <v>44591</v>
      </c>
      <c r="B266" s="12" t="s">
        <v>8</v>
      </c>
      <c r="C266" s="3">
        <f t="shared" si="40"/>
        <v>0</v>
      </c>
      <c r="D266" s="3">
        <v>510</v>
      </c>
      <c r="E266" s="4">
        <f t="shared" si="37"/>
        <v>0</v>
      </c>
      <c r="F266" s="6">
        <f t="shared" si="39"/>
        <v>0</v>
      </c>
      <c r="G266" s="4"/>
      <c r="H266" s="4"/>
    </row>
    <row r="267" spans="1:8" x14ac:dyDescent="0.2">
      <c r="A267" s="11">
        <v>44591</v>
      </c>
      <c r="B267" s="12" t="s">
        <v>9</v>
      </c>
      <c r="C267" s="3">
        <f t="shared" si="40"/>
        <v>0</v>
      </c>
      <c r="D267" s="3">
        <v>1664.78</v>
      </c>
      <c r="E267" s="4">
        <f t="shared" si="37"/>
        <v>0</v>
      </c>
      <c r="F267" s="6">
        <f t="shared" si="39"/>
        <v>0</v>
      </c>
      <c r="G267" s="4"/>
      <c r="H267" s="4"/>
    </row>
    <row r="268" spans="1:8" x14ac:dyDescent="0.2">
      <c r="A268" s="11">
        <v>44591</v>
      </c>
      <c r="B268" s="12" t="s">
        <v>8</v>
      </c>
      <c r="C268" s="3">
        <f t="shared" si="40"/>
        <v>0</v>
      </c>
      <c r="D268" s="3">
        <f>IF(0,0,0)</f>
        <v>0</v>
      </c>
      <c r="E268" s="4">
        <v>400</v>
      </c>
      <c r="F268" s="6">
        <f t="shared" si="39"/>
        <v>0</v>
      </c>
      <c r="G268" s="4"/>
      <c r="H268" s="4"/>
    </row>
    <row r="269" spans="1:8" x14ac:dyDescent="0.2">
      <c r="A269" s="1">
        <v>44593</v>
      </c>
      <c r="B269" s="12" t="s">
        <v>8</v>
      </c>
      <c r="C269" s="3">
        <f t="shared" si="40"/>
        <v>0</v>
      </c>
      <c r="D269" s="3">
        <v>59</v>
      </c>
      <c r="E269" s="4">
        <f t="shared" ref="E269:E272" si="41">IF(0,0,0)</f>
        <v>0</v>
      </c>
      <c r="F269" s="6">
        <f t="shared" si="39"/>
        <v>0</v>
      </c>
      <c r="G269" s="4"/>
      <c r="H269" s="4"/>
    </row>
    <row r="270" spans="1:8" x14ac:dyDescent="0.2">
      <c r="A270" s="1">
        <v>44594</v>
      </c>
      <c r="B270" s="12" t="s">
        <v>2</v>
      </c>
      <c r="C270" s="3">
        <f t="shared" si="40"/>
        <v>0</v>
      </c>
      <c r="D270" s="3">
        <v>435</v>
      </c>
      <c r="E270" s="4">
        <f t="shared" si="41"/>
        <v>0</v>
      </c>
      <c r="F270" s="6">
        <f t="shared" si="39"/>
        <v>0</v>
      </c>
      <c r="G270" s="4"/>
      <c r="H270" s="4"/>
    </row>
    <row r="271" spans="1:8" x14ac:dyDescent="0.2">
      <c r="A271" s="1">
        <v>44594</v>
      </c>
      <c r="B271" s="12" t="s">
        <v>9</v>
      </c>
      <c r="C271" s="3">
        <f t="shared" si="40"/>
        <v>0</v>
      </c>
      <c r="D271" s="3">
        <v>395</v>
      </c>
      <c r="E271" s="4">
        <f t="shared" si="41"/>
        <v>0</v>
      </c>
      <c r="F271" s="6">
        <f t="shared" si="39"/>
        <v>0</v>
      </c>
      <c r="G271" s="4"/>
      <c r="H271" s="4"/>
    </row>
    <row r="272" spans="1:8" x14ac:dyDescent="0.2">
      <c r="A272" s="1">
        <v>44596</v>
      </c>
      <c r="B272" s="12" t="s">
        <v>27</v>
      </c>
      <c r="C272" s="3">
        <v>51437</v>
      </c>
      <c r="D272" s="3">
        <f t="shared" ref="D272" si="42">IF(0,0,0)</f>
        <v>0</v>
      </c>
      <c r="E272" s="4">
        <f t="shared" si="41"/>
        <v>0</v>
      </c>
      <c r="F272" s="6">
        <f t="shared" si="39"/>
        <v>0</v>
      </c>
      <c r="G272" s="4"/>
      <c r="H272" s="4"/>
    </row>
    <row r="273" spans="1:8" x14ac:dyDescent="0.2">
      <c r="A273" s="1">
        <v>44596</v>
      </c>
      <c r="B273" s="12" t="s">
        <v>7</v>
      </c>
      <c r="C273" s="3">
        <f t="shared" ref="C273:C274" si="43">IF(0,0,0)</f>
        <v>0</v>
      </c>
      <c r="D273" s="3">
        <f>1046-300</f>
        <v>746</v>
      </c>
      <c r="E273" s="4">
        <v>200</v>
      </c>
      <c r="F273" s="6">
        <f t="shared" si="39"/>
        <v>0</v>
      </c>
      <c r="G273" s="4"/>
      <c r="H273" s="4"/>
    </row>
    <row r="274" spans="1:8" x14ac:dyDescent="0.2">
      <c r="A274" s="1">
        <v>44596</v>
      </c>
      <c r="B274" s="12" t="s">
        <v>9</v>
      </c>
      <c r="C274" s="3">
        <f t="shared" si="43"/>
        <v>0</v>
      </c>
      <c r="D274" s="3">
        <v>300</v>
      </c>
      <c r="E274" s="4">
        <f>IF(0,0,0)</f>
        <v>0</v>
      </c>
      <c r="F274" s="6">
        <f t="shared" si="39"/>
        <v>0</v>
      </c>
      <c r="G274" s="4"/>
      <c r="H274" s="4"/>
    </row>
    <row r="275" spans="1:8" x14ac:dyDescent="0.2">
      <c r="A275" s="1">
        <v>44597</v>
      </c>
      <c r="B275" s="12" t="s">
        <v>26</v>
      </c>
      <c r="C275" s="3">
        <v>6000</v>
      </c>
      <c r="D275" s="3">
        <v>6580</v>
      </c>
      <c r="E275" s="4">
        <v>7000</v>
      </c>
      <c r="F275" s="6">
        <v>6000</v>
      </c>
      <c r="G275" s="4"/>
      <c r="H275" s="4"/>
    </row>
    <row r="276" spans="1:8" x14ac:dyDescent="0.2">
      <c r="A276" s="1">
        <v>44597</v>
      </c>
      <c r="B276" s="12" t="s">
        <v>8</v>
      </c>
      <c r="C276" s="3">
        <f t="shared" ref="C276:C288" si="44">IF(0,0,0)</f>
        <v>0</v>
      </c>
      <c r="D276" s="3">
        <v>70.5</v>
      </c>
      <c r="E276" s="4">
        <f t="shared" ref="E276:F280" si="45">IF(0,0,0)</f>
        <v>0</v>
      </c>
      <c r="F276" s="6">
        <f t="shared" si="45"/>
        <v>0</v>
      </c>
      <c r="G276" s="4"/>
      <c r="H276" s="4"/>
    </row>
    <row r="277" spans="1:8" x14ac:dyDescent="0.2">
      <c r="A277" s="1">
        <v>44598</v>
      </c>
      <c r="B277" s="12" t="s">
        <v>9</v>
      </c>
      <c r="C277" s="3">
        <f t="shared" si="44"/>
        <v>0</v>
      </c>
      <c r="D277" s="3">
        <v>100</v>
      </c>
      <c r="E277" s="4">
        <f t="shared" si="45"/>
        <v>0</v>
      </c>
      <c r="F277" s="6">
        <f t="shared" si="45"/>
        <v>0</v>
      </c>
      <c r="G277" s="4"/>
      <c r="H277" s="4"/>
    </row>
    <row r="278" spans="1:8" x14ac:dyDescent="0.2">
      <c r="A278" s="1">
        <v>44598</v>
      </c>
      <c r="B278" s="12" t="s">
        <v>9</v>
      </c>
      <c r="C278" s="3">
        <f t="shared" si="44"/>
        <v>0</v>
      </c>
      <c r="D278" s="3">
        <v>1252.69</v>
      </c>
      <c r="E278" s="4">
        <f t="shared" si="45"/>
        <v>0</v>
      </c>
      <c r="F278" s="6">
        <f t="shared" si="45"/>
        <v>0</v>
      </c>
      <c r="G278" s="4"/>
      <c r="H278" s="4"/>
    </row>
    <row r="279" spans="1:8" x14ac:dyDescent="0.2">
      <c r="A279" s="1">
        <v>44599</v>
      </c>
      <c r="B279" s="12" t="s">
        <v>9</v>
      </c>
      <c r="C279" s="3">
        <f t="shared" si="44"/>
        <v>0</v>
      </c>
      <c r="D279" s="3">
        <v>347</v>
      </c>
      <c r="E279" s="4">
        <f t="shared" si="45"/>
        <v>0</v>
      </c>
      <c r="F279" s="6">
        <f t="shared" si="45"/>
        <v>0</v>
      </c>
      <c r="G279" s="4"/>
      <c r="H279" s="4"/>
    </row>
    <row r="280" spans="1:8" x14ac:dyDescent="0.2">
      <c r="A280" s="1">
        <v>44599</v>
      </c>
      <c r="B280" s="12" t="s">
        <v>10</v>
      </c>
      <c r="C280" s="3">
        <f t="shared" si="44"/>
        <v>0</v>
      </c>
      <c r="D280" s="3">
        <v>160</v>
      </c>
      <c r="E280" s="4">
        <f t="shared" si="45"/>
        <v>0</v>
      </c>
      <c r="F280" s="6">
        <f t="shared" si="45"/>
        <v>0</v>
      </c>
      <c r="G280" s="4"/>
      <c r="H280" s="4"/>
    </row>
    <row r="281" spans="1:8" x14ac:dyDescent="0.2">
      <c r="A281" s="1">
        <v>44601</v>
      </c>
      <c r="B281" s="12" t="s">
        <v>8</v>
      </c>
      <c r="C281" s="3">
        <f t="shared" si="44"/>
        <v>0</v>
      </c>
      <c r="D281" s="3">
        <f t="shared" ref="D281:D284" si="46">IF(0,0,0)</f>
        <v>0</v>
      </c>
      <c r="E281" s="4">
        <f t="shared" ref="E281:E288" si="47">IF(0,0,0)</f>
        <v>0</v>
      </c>
      <c r="F281" s="6">
        <v>230</v>
      </c>
      <c r="G281" s="4"/>
      <c r="H281" s="4"/>
    </row>
    <row r="282" spans="1:8" x14ac:dyDescent="0.2">
      <c r="A282" s="1">
        <v>44601</v>
      </c>
      <c r="B282" s="12" t="s">
        <v>9</v>
      </c>
      <c r="C282" s="3">
        <f t="shared" si="44"/>
        <v>0</v>
      </c>
      <c r="D282" s="3">
        <f t="shared" si="46"/>
        <v>0</v>
      </c>
      <c r="E282" s="4">
        <f t="shared" si="47"/>
        <v>0</v>
      </c>
      <c r="F282" s="6">
        <v>570</v>
      </c>
      <c r="G282" s="4"/>
      <c r="H282" s="4"/>
    </row>
    <row r="283" spans="1:8" x14ac:dyDescent="0.2">
      <c r="A283" s="1">
        <v>44601</v>
      </c>
      <c r="B283" s="12" t="s">
        <v>9</v>
      </c>
      <c r="C283" s="3">
        <f t="shared" si="44"/>
        <v>0</v>
      </c>
      <c r="D283" s="3">
        <f t="shared" si="46"/>
        <v>0</v>
      </c>
      <c r="E283" s="4">
        <f t="shared" si="47"/>
        <v>0</v>
      </c>
      <c r="F283" s="6">
        <v>550</v>
      </c>
      <c r="G283" s="4"/>
      <c r="H283" s="4"/>
    </row>
    <row r="284" spans="1:8" x14ac:dyDescent="0.2">
      <c r="A284" s="1">
        <v>44602</v>
      </c>
      <c r="B284" s="12" t="s">
        <v>8</v>
      </c>
      <c r="C284" s="3">
        <f t="shared" si="44"/>
        <v>0</v>
      </c>
      <c r="D284" s="3">
        <f t="shared" si="46"/>
        <v>0</v>
      </c>
      <c r="E284" s="4">
        <f t="shared" si="47"/>
        <v>0</v>
      </c>
      <c r="F284" s="6">
        <v>60</v>
      </c>
      <c r="G284" s="4"/>
      <c r="H284" s="4"/>
    </row>
    <row r="285" spans="1:8" x14ac:dyDescent="0.2">
      <c r="A285" s="1">
        <v>44602</v>
      </c>
      <c r="B285" s="12" t="s">
        <v>10</v>
      </c>
      <c r="C285" s="3">
        <f t="shared" si="44"/>
        <v>0</v>
      </c>
      <c r="D285" s="3">
        <v>150</v>
      </c>
      <c r="E285" s="4">
        <f t="shared" si="47"/>
        <v>0</v>
      </c>
      <c r="F285" s="6">
        <f>IF(0,0,0)</f>
        <v>0</v>
      </c>
      <c r="G285" s="4"/>
      <c r="H285" s="4"/>
    </row>
    <row r="286" spans="1:8" x14ac:dyDescent="0.2">
      <c r="A286" s="1">
        <v>44602</v>
      </c>
      <c r="B286" s="12" t="s">
        <v>7</v>
      </c>
      <c r="C286" s="3">
        <f t="shared" si="44"/>
        <v>0</v>
      </c>
      <c r="D286" s="3">
        <v>283</v>
      </c>
      <c r="E286" s="4">
        <f t="shared" si="47"/>
        <v>0</v>
      </c>
      <c r="F286" s="6">
        <f>IF(0,0,0)</f>
        <v>0</v>
      </c>
      <c r="G286" s="4"/>
      <c r="H286" s="4"/>
    </row>
    <row r="287" spans="1:8" x14ac:dyDescent="0.2">
      <c r="A287" s="1">
        <v>44602</v>
      </c>
      <c r="B287" s="12" t="s">
        <v>8</v>
      </c>
      <c r="C287" s="3">
        <f t="shared" si="44"/>
        <v>0</v>
      </c>
      <c r="D287" s="3">
        <f>IF(0,0,0)</f>
        <v>0</v>
      </c>
      <c r="E287" s="4">
        <f t="shared" si="47"/>
        <v>0</v>
      </c>
      <c r="F287" s="6">
        <v>400</v>
      </c>
      <c r="G287" s="4"/>
      <c r="H287" s="4"/>
    </row>
    <row r="288" spans="1:8" x14ac:dyDescent="0.2">
      <c r="A288" s="1">
        <v>44603</v>
      </c>
      <c r="B288" s="12" t="s">
        <v>7</v>
      </c>
      <c r="C288" s="3">
        <f t="shared" si="44"/>
        <v>0</v>
      </c>
      <c r="D288" s="3">
        <f>1592.4-700-400</f>
        <v>492.40000000000009</v>
      </c>
      <c r="E288" s="4">
        <f t="shared" si="47"/>
        <v>0</v>
      </c>
      <c r="F288" s="6">
        <f>IF(0,0,0)</f>
        <v>0</v>
      </c>
      <c r="G288" s="4"/>
      <c r="H288" s="4"/>
    </row>
    <row r="289" spans="1:8" x14ac:dyDescent="0.2">
      <c r="A289" s="1">
        <v>44603</v>
      </c>
      <c r="B289" s="12" t="s">
        <v>26</v>
      </c>
      <c r="C289" s="3">
        <v>0</v>
      </c>
      <c r="D289" s="3">
        <v>400</v>
      </c>
      <c r="E289" s="4">
        <v>400</v>
      </c>
      <c r="F289" s="6">
        <f>IF(0,0,0)</f>
        <v>0</v>
      </c>
      <c r="G289" s="4"/>
      <c r="H289" s="4"/>
    </row>
    <row r="290" spans="1:8" x14ac:dyDescent="0.2">
      <c r="A290" s="1">
        <v>44603</v>
      </c>
      <c r="B290" s="12" t="s">
        <v>2</v>
      </c>
      <c r="C290" s="3">
        <f t="shared" ref="C290:E290" si="48">IF(0,0,0)</f>
        <v>0</v>
      </c>
      <c r="D290" s="3">
        <f t="shared" si="48"/>
        <v>0</v>
      </c>
      <c r="E290" s="4">
        <f t="shared" si="48"/>
        <v>0</v>
      </c>
      <c r="F290" s="6">
        <v>200</v>
      </c>
      <c r="G290" s="4"/>
      <c r="H290" s="4"/>
    </row>
    <row r="291" spans="1:8" x14ac:dyDescent="0.2">
      <c r="A291" s="1">
        <v>44604</v>
      </c>
      <c r="B291" s="12" t="s">
        <v>14</v>
      </c>
      <c r="C291" s="3">
        <f t="shared" ref="C291:C305" si="49">IF(0,0,0)</f>
        <v>0</v>
      </c>
      <c r="D291" s="3">
        <v>450</v>
      </c>
      <c r="E291" s="4">
        <f t="shared" ref="E291:E304" si="50">IF(0,0,0)</f>
        <v>0</v>
      </c>
      <c r="F291" s="6">
        <f>IF(0,0,0)</f>
        <v>0</v>
      </c>
      <c r="G291" s="4"/>
      <c r="H291" s="4"/>
    </row>
    <row r="292" spans="1:8" x14ac:dyDescent="0.2">
      <c r="A292" s="1">
        <v>44604</v>
      </c>
      <c r="B292" s="12" t="s">
        <v>2</v>
      </c>
      <c r="C292" s="3">
        <f t="shared" si="49"/>
        <v>0</v>
      </c>
      <c r="D292" s="3">
        <v>0</v>
      </c>
      <c r="E292" s="4">
        <f t="shared" si="50"/>
        <v>0</v>
      </c>
      <c r="F292" s="6">
        <v>222</v>
      </c>
      <c r="G292" s="4"/>
      <c r="H292" s="4"/>
    </row>
    <row r="293" spans="1:8" x14ac:dyDescent="0.2">
      <c r="A293" s="1">
        <v>44604</v>
      </c>
      <c r="B293" s="12" t="s">
        <v>9</v>
      </c>
      <c r="C293" s="3">
        <f t="shared" si="49"/>
        <v>0</v>
      </c>
      <c r="D293" s="3">
        <v>300</v>
      </c>
      <c r="E293" s="4">
        <f t="shared" si="50"/>
        <v>0</v>
      </c>
      <c r="F293" s="6">
        <f>IF(0,0,0)</f>
        <v>0</v>
      </c>
      <c r="G293" s="4"/>
      <c r="H293" s="4"/>
    </row>
    <row r="294" spans="1:8" x14ac:dyDescent="0.2">
      <c r="A294" s="1">
        <v>44604</v>
      </c>
      <c r="B294" s="12" t="s">
        <v>10</v>
      </c>
      <c r="C294" s="3">
        <f t="shared" si="49"/>
        <v>0</v>
      </c>
      <c r="D294" s="3">
        <v>150</v>
      </c>
      <c r="E294" s="4">
        <f t="shared" si="50"/>
        <v>0</v>
      </c>
      <c r="F294" s="6">
        <f>IF(0,0,0)</f>
        <v>0</v>
      </c>
      <c r="G294" s="4"/>
      <c r="H294" s="4"/>
    </row>
    <row r="295" spans="1:8" x14ac:dyDescent="0.2">
      <c r="A295" s="1">
        <v>44604</v>
      </c>
      <c r="B295" s="12" t="s">
        <v>8</v>
      </c>
      <c r="C295" s="3">
        <f t="shared" si="49"/>
        <v>0</v>
      </c>
      <c r="D295" s="3">
        <v>3000</v>
      </c>
      <c r="E295" s="4">
        <f t="shared" si="50"/>
        <v>0</v>
      </c>
      <c r="F295" s="6">
        <f>IF(0,0,0)</f>
        <v>0</v>
      </c>
      <c r="G295" s="4"/>
      <c r="H295" s="4"/>
    </row>
    <row r="296" spans="1:8" x14ac:dyDescent="0.2">
      <c r="A296" s="1">
        <v>44605</v>
      </c>
      <c r="B296" s="12" t="s">
        <v>2</v>
      </c>
      <c r="C296" s="3">
        <f t="shared" si="49"/>
        <v>0</v>
      </c>
      <c r="D296" s="3">
        <v>0</v>
      </c>
      <c r="E296" s="4">
        <f t="shared" si="50"/>
        <v>0</v>
      </c>
      <c r="F296" s="6">
        <v>233</v>
      </c>
      <c r="G296" s="4"/>
      <c r="H296" s="4"/>
    </row>
    <row r="297" spans="1:8" x14ac:dyDescent="0.2">
      <c r="A297" s="1">
        <v>44605</v>
      </c>
      <c r="B297" s="12" t="s">
        <v>2</v>
      </c>
      <c r="C297" s="3">
        <f t="shared" si="49"/>
        <v>0</v>
      </c>
      <c r="D297" s="3">
        <v>0</v>
      </c>
      <c r="E297" s="4">
        <f t="shared" si="50"/>
        <v>0</v>
      </c>
      <c r="F297" s="6">
        <v>205</v>
      </c>
      <c r="G297" s="4"/>
      <c r="H297" s="4"/>
    </row>
    <row r="298" spans="1:8" x14ac:dyDescent="0.2">
      <c r="A298" s="1">
        <v>44605</v>
      </c>
      <c r="B298" s="12" t="s">
        <v>9</v>
      </c>
      <c r="C298" s="3">
        <f t="shared" si="49"/>
        <v>0</v>
      </c>
      <c r="D298" s="3">
        <v>368</v>
      </c>
      <c r="E298" s="4">
        <f t="shared" si="50"/>
        <v>0</v>
      </c>
      <c r="F298" s="6">
        <f t="shared" ref="F298:F299" si="51">IF(0,0,0)</f>
        <v>0</v>
      </c>
      <c r="G298" s="4"/>
      <c r="H298" s="4"/>
    </row>
    <row r="299" spans="1:8" x14ac:dyDescent="0.2">
      <c r="A299" s="1">
        <v>44606</v>
      </c>
      <c r="B299" s="12" t="s">
        <v>9</v>
      </c>
      <c r="C299" s="3">
        <f t="shared" si="49"/>
        <v>0</v>
      </c>
      <c r="D299" s="3">
        <v>401</v>
      </c>
      <c r="E299" s="4">
        <f t="shared" si="50"/>
        <v>0</v>
      </c>
      <c r="F299" s="6">
        <f t="shared" si="51"/>
        <v>0</v>
      </c>
      <c r="G299" s="4"/>
      <c r="H299" s="4"/>
    </row>
    <row r="300" spans="1:8" x14ac:dyDescent="0.2">
      <c r="A300" s="1">
        <v>44607</v>
      </c>
      <c r="B300" s="12" t="s">
        <v>8</v>
      </c>
      <c r="C300" s="3">
        <f t="shared" si="49"/>
        <v>0</v>
      </c>
      <c r="D300" s="3">
        <f t="shared" ref="D300" si="52">IF(0,0,0)</f>
        <v>0</v>
      </c>
      <c r="E300" s="4">
        <f t="shared" si="50"/>
        <v>0</v>
      </c>
      <c r="F300" s="6">
        <f>324+3.24</f>
        <v>327.24</v>
      </c>
      <c r="G300" s="4"/>
      <c r="H300" s="4"/>
    </row>
    <row r="301" spans="1:8" x14ac:dyDescent="0.2">
      <c r="A301" s="1">
        <v>44607</v>
      </c>
      <c r="B301" s="12" t="s">
        <v>9</v>
      </c>
      <c r="C301" s="3">
        <f t="shared" si="49"/>
        <v>0</v>
      </c>
      <c r="D301" s="3">
        <v>401</v>
      </c>
      <c r="E301" s="4">
        <f t="shared" si="50"/>
        <v>0</v>
      </c>
      <c r="F301" s="6">
        <f t="shared" ref="F301:F309" si="53">IF(0,0,0)</f>
        <v>0</v>
      </c>
      <c r="G301" s="4"/>
      <c r="H301" s="4"/>
    </row>
    <row r="302" spans="1:8" x14ac:dyDescent="0.2">
      <c r="A302" s="1">
        <v>44608</v>
      </c>
      <c r="B302" s="12" t="s">
        <v>10</v>
      </c>
      <c r="C302" s="3">
        <f t="shared" si="49"/>
        <v>0</v>
      </c>
      <c r="D302" s="3">
        <v>170</v>
      </c>
      <c r="E302" s="4">
        <f t="shared" si="50"/>
        <v>0</v>
      </c>
      <c r="F302" s="6">
        <f t="shared" si="53"/>
        <v>0</v>
      </c>
      <c r="G302" s="4"/>
      <c r="H302" s="4"/>
    </row>
    <row r="303" spans="1:8" x14ac:dyDescent="0.2">
      <c r="A303" s="1">
        <v>44608</v>
      </c>
      <c r="B303" s="12" t="s">
        <v>9</v>
      </c>
      <c r="C303" s="3">
        <f t="shared" si="49"/>
        <v>0</v>
      </c>
      <c r="D303" s="3">
        <v>220</v>
      </c>
      <c r="E303" s="4">
        <f t="shared" si="50"/>
        <v>0</v>
      </c>
      <c r="F303" s="6">
        <f t="shared" si="53"/>
        <v>0</v>
      </c>
      <c r="G303" s="4"/>
      <c r="H303" s="4"/>
    </row>
    <row r="304" spans="1:8" x14ac:dyDescent="0.2">
      <c r="A304" s="1">
        <v>44608</v>
      </c>
      <c r="B304" s="12" t="s">
        <v>9</v>
      </c>
      <c r="C304" s="3">
        <f t="shared" si="49"/>
        <v>0</v>
      </c>
      <c r="D304" s="3">
        <v>570</v>
      </c>
      <c r="E304" s="4">
        <f t="shared" si="50"/>
        <v>0</v>
      </c>
      <c r="F304" s="6">
        <f t="shared" si="53"/>
        <v>0</v>
      </c>
      <c r="G304" s="4"/>
      <c r="H304" s="4"/>
    </row>
    <row r="305" spans="1:8" x14ac:dyDescent="0.2">
      <c r="A305" s="1">
        <v>44609</v>
      </c>
      <c r="B305" s="12" t="s">
        <v>9</v>
      </c>
      <c r="C305" s="3">
        <f t="shared" si="49"/>
        <v>0</v>
      </c>
      <c r="D305" s="3">
        <v>1947.47</v>
      </c>
      <c r="E305" s="4">
        <f t="shared" ref="E305:E312" si="54">IF(0,0,0)</f>
        <v>0</v>
      </c>
      <c r="F305" s="6">
        <f t="shared" si="53"/>
        <v>0</v>
      </c>
      <c r="G305" s="4"/>
      <c r="H305" s="4"/>
    </row>
    <row r="306" spans="1:8" x14ac:dyDescent="0.2">
      <c r="A306" s="1">
        <v>44610</v>
      </c>
      <c r="B306" s="12" t="s">
        <v>27</v>
      </c>
      <c r="C306" s="3">
        <v>83669.070000000007</v>
      </c>
      <c r="D306" s="3">
        <v>0</v>
      </c>
      <c r="E306" s="4">
        <f t="shared" si="54"/>
        <v>0</v>
      </c>
      <c r="F306" s="6">
        <f t="shared" si="53"/>
        <v>0</v>
      </c>
      <c r="G306" s="4"/>
      <c r="H306" s="4"/>
    </row>
    <row r="307" spans="1:8" x14ac:dyDescent="0.2">
      <c r="A307" s="1">
        <v>44610</v>
      </c>
      <c r="B307" s="12" t="s">
        <v>10</v>
      </c>
      <c r="C307" s="3">
        <f t="shared" ref="C307:C316" si="55">IF(0,0,0)</f>
        <v>0</v>
      </c>
      <c r="D307" s="3">
        <v>150</v>
      </c>
      <c r="E307" s="4">
        <f t="shared" si="54"/>
        <v>0</v>
      </c>
      <c r="F307" s="6">
        <f t="shared" si="53"/>
        <v>0</v>
      </c>
      <c r="G307" s="4"/>
      <c r="H307" s="4"/>
    </row>
    <row r="308" spans="1:8" x14ac:dyDescent="0.2">
      <c r="A308" s="1">
        <v>44611</v>
      </c>
      <c r="B308" s="12" t="s">
        <v>7</v>
      </c>
      <c r="C308" s="3">
        <f t="shared" si="55"/>
        <v>0</v>
      </c>
      <c r="D308" s="3">
        <v>800</v>
      </c>
      <c r="E308" s="4">
        <f t="shared" si="54"/>
        <v>0</v>
      </c>
      <c r="F308" s="6">
        <f t="shared" si="53"/>
        <v>0</v>
      </c>
      <c r="G308" s="4"/>
      <c r="H308" s="4"/>
    </row>
    <row r="309" spans="1:8" x14ac:dyDescent="0.2">
      <c r="A309" s="1">
        <v>44611</v>
      </c>
      <c r="B309" s="12" t="s">
        <v>2</v>
      </c>
      <c r="C309" s="3">
        <f t="shared" si="55"/>
        <v>0</v>
      </c>
      <c r="D309" s="3">
        <f>202+3.94</f>
        <v>205.94</v>
      </c>
      <c r="E309" s="4">
        <f t="shared" si="54"/>
        <v>0</v>
      </c>
      <c r="F309" s="6">
        <f t="shared" si="53"/>
        <v>0</v>
      </c>
      <c r="G309" s="4"/>
      <c r="H309" s="4"/>
    </row>
    <row r="310" spans="1:8" x14ac:dyDescent="0.2">
      <c r="A310" s="1">
        <v>44612</v>
      </c>
      <c r="B310" s="12" t="s">
        <v>7</v>
      </c>
      <c r="C310" s="3">
        <f t="shared" si="55"/>
        <v>0</v>
      </c>
      <c r="D310" s="3">
        <v>350</v>
      </c>
      <c r="E310" s="4">
        <f t="shared" si="54"/>
        <v>0</v>
      </c>
      <c r="F310" s="6">
        <f t="shared" ref="F310:F320" si="56">IF(0,0,0)</f>
        <v>0</v>
      </c>
      <c r="G310" s="4"/>
      <c r="H310" s="4"/>
    </row>
    <row r="311" spans="1:8" x14ac:dyDescent="0.2">
      <c r="A311" s="1">
        <v>44612</v>
      </c>
      <c r="B311" s="12" t="s">
        <v>7</v>
      </c>
      <c r="C311" s="3">
        <f t="shared" si="55"/>
        <v>0</v>
      </c>
      <c r="D311" s="3">
        <v>1640</v>
      </c>
      <c r="E311" s="4">
        <f t="shared" si="54"/>
        <v>0</v>
      </c>
      <c r="F311" s="6">
        <f t="shared" si="56"/>
        <v>0</v>
      </c>
      <c r="G311" s="4"/>
      <c r="H311" s="4"/>
    </row>
    <row r="312" spans="1:8" x14ac:dyDescent="0.2">
      <c r="A312" s="1">
        <v>44613</v>
      </c>
      <c r="B312" s="12" t="s">
        <v>2</v>
      </c>
      <c r="C312" s="3">
        <f t="shared" si="55"/>
        <v>0</v>
      </c>
      <c r="D312" s="3">
        <v>331</v>
      </c>
      <c r="E312" s="4">
        <f t="shared" si="54"/>
        <v>0</v>
      </c>
      <c r="F312" s="6">
        <f t="shared" si="56"/>
        <v>0</v>
      </c>
      <c r="G312" s="4"/>
      <c r="H312" s="4"/>
    </row>
    <row r="313" spans="1:8" x14ac:dyDescent="0.2">
      <c r="A313" s="1">
        <v>44613</v>
      </c>
      <c r="B313" s="12" t="s">
        <v>9</v>
      </c>
      <c r="C313" s="3">
        <f t="shared" si="55"/>
        <v>0</v>
      </c>
      <c r="D313" s="3">
        <v>400</v>
      </c>
      <c r="E313" s="4">
        <f t="shared" ref="E313:E317" si="57">IF(0,0,0)</f>
        <v>0</v>
      </c>
      <c r="F313" s="6">
        <f t="shared" si="56"/>
        <v>0</v>
      </c>
      <c r="G313" s="4"/>
      <c r="H313" s="4"/>
    </row>
    <row r="314" spans="1:8" x14ac:dyDescent="0.2">
      <c r="A314" s="1">
        <v>44614</v>
      </c>
      <c r="B314" s="12" t="s">
        <v>8</v>
      </c>
      <c r="C314" s="3">
        <f t="shared" si="55"/>
        <v>0</v>
      </c>
      <c r="D314" s="3">
        <f>729+170</f>
        <v>899</v>
      </c>
      <c r="E314" s="4">
        <f t="shared" si="57"/>
        <v>0</v>
      </c>
      <c r="F314" s="6">
        <f t="shared" si="56"/>
        <v>0</v>
      </c>
      <c r="G314" s="4"/>
      <c r="H314" s="4"/>
    </row>
    <row r="315" spans="1:8" x14ac:dyDescent="0.2">
      <c r="A315" s="1">
        <v>44614</v>
      </c>
      <c r="B315" s="12" t="s">
        <v>7</v>
      </c>
      <c r="C315" s="3">
        <f t="shared" si="55"/>
        <v>0</v>
      </c>
      <c r="D315" s="3">
        <f>585+585.94-400</f>
        <v>770.94</v>
      </c>
      <c r="E315" s="4">
        <f t="shared" si="57"/>
        <v>0</v>
      </c>
      <c r="F315" s="6">
        <f t="shared" si="56"/>
        <v>0</v>
      </c>
      <c r="G315" s="4"/>
      <c r="H315" s="4"/>
    </row>
    <row r="316" spans="1:8" x14ac:dyDescent="0.2">
      <c r="A316" s="1">
        <v>44614</v>
      </c>
      <c r="B316" s="12" t="s">
        <v>2</v>
      </c>
      <c r="C316" s="3">
        <f t="shared" si="55"/>
        <v>0</v>
      </c>
      <c r="D316" s="3">
        <v>51</v>
      </c>
      <c r="E316" s="4">
        <f t="shared" si="57"/>
        <v>0</v>
      </c>
      <c r="F316" s="6">
        <f t="shared" si="56"/>
        <v>0</v>
      </c>
      <c r="G316" s="4"/>
      <c r="H316" s="4"/>
    </row>
    <row r="317" spans="1:8" x14ac:dyDescent="0.2">
      <c r="A317" s="1">
        <v>44615</v>
      </c>
      <c r="B317" s="12" t="s">
        <v>2</v>
      </c>
      <c r="C317" s="3">
        <f t="shared" ref="C317:C332" si="58">IF(0,0,0)</f>
        <v>0</v>
      </c>
      <c r="D317" s="3">
        <v>0</v>
      </c>
      <c r="E317" s="4">
        <f t="shared" si="57"/>
        <v>0</v>
      </c>
      <c r="F317" s="6">
        <f t="shared" si="56"/>
        <v>0</v>
      </c>
      <c r="G317" s="4"/>
      <c r="H317" s="4"/>
    </row>
    <row r="318" spans="1:8" x14ac:dyDescent="0.2">
      <c r="A318" s="1">
        <v>44615</v>
      </c>
      <c r="B318" s="12" t="s">
        <v>26</v>
      </c>
      <c r="C318" s="3">
        <f t="shared" si="58"/>
        <v>0</v>
      </c>
      <c r="D318" s="3">
        <f t="shared" ref="D318" si="59">IF(0,0,0)</f>
        <v>0</v>
      </c>
      <c r="E318" s="4">
        <v>3000</v>
      </c>
      <c r="F318" s="6">
        <f t="shared" si="56"/>
        <v>0</v>
      </c>
      <c r="G318" s="4"/>
      <c r="H318" s="4"/>
    </row>
    <row r="319" spans="1:8" x14ac:dyDescent="0.2">
      <c r="A319" s="1">
        <v>44616</v>
      </c>
      <c r="B319" s="12" t="s">
        <v>26</v>
      </c>
      <c r="C319" s="3">
        <f t="shared" si="58"/>
        <v>0</v>
      </c>
      <c r="D319" s="3">
        <v>10000</v>
      </c>
      <c r="E319" s="4">
        <f t="shared" ref="E319:E332" si="60">IF(0,0,0)</f>
        <v>0</v>
      </c>
      <c r="F319" s="6">
        <f t="shared" si="56"/>
        <v>0</v>
      </c>
      <c r="G319" s="4"/>
      <c r="H319" s="4"/>
    </row>
    <row r="320" spans="1:8" x14ac:dyDescent="0.2">
      <c r="A320" s="1">
        <v>44616</v>
      </c>
      <c r="B320" s="12" t="s">
        <v>2</v>
      </c>
      <c r="C320" s="3">
        <f t="shared" si="58"/>
        <v>0</v>
      </c>
      <c r="D320" s="3">
        <v>102</v>
      </c>
      <c r="E320" s="4">
        <f t="shared" si="60"/>
        <v>0</v>
      </c>
      <c r="F320" s="6">
        <f t="shared" si="56"/>
        <v>0</v>
      </c>
      <c r="G320" s="4"/>
      <c r="H320" s="4"/>
    </row>
    <row r="321" spans="1:8" x14ac:dyDescent="0.2">
      <c r="A321" s="1">
        <v>44616</v>
      </c>
      <c r="B321" s="12" t="s">
        <v>7</v>
      </c>
      <c r="C321" s="3">
        <f t="shared" si="58"/>
        <v>0</v>
      </c>
      <c r="D321" s="3">
        <f>1752+346</f>
        <v>2098</v>
      </c>
      <c r="E321" s="4">
        <f t="shared" si="60"/>
        <v>0</v>
      </c>
      <c r="F321" s="6">
        <f t="shared" ref="F321:F328" si="61">IF(0,0,0)</f>
        <v>0</v>
      </c>
      <c r="G321" s="4"/>
      <c r="H321" s="4"/>
    </row>
    <row r="322" spans="1:8" x14ac:dyDescent="0.2">
      <c r="A322" s="1">
        <v>44617</v>
      </c>
      <c r="B322" s="12" t="s">
        <v>9</v>
      </c>
      <c r="C322" s="3">
        <f t="shared" si="58"/>
        <v>0</v>
      </c>
      <c r="D322" s="3">
        <f>228+420</f>
        <v>648</v>
      </c>
      <c r="E322" s="4">
        <f t="shared" si="60"/>
        <v>0</v>
      </c>
      <c r="F322" s="6">
        <f t="shared" si="61"/>
        <v>0</v>
      </c>
      <c r="G322" s="4"/>
      <c r="H322" s="4"/>
    </row>
    <row r="323" spans="1:8" x14ac:dyDescent="0.2">
      <c r="A323" s="1">
        <v>44617</v>
      </c>
      <c r="B323" s="12" t="s">
        <v>10</v>
      </c>
      <c r="C323" s="3">
        <f t="shared" si="58"/>
        <v>0</v>
      </c>
      <c r="D323" s="3">
        <v>170</v>
      </c>
      <c r="E323" s="4">
        <f t="shared" si="60"/>
        <v>0</v>
      </c>
      <c r="F323" s="6">
        <f t="shared" si="61"/>
        <v>0</v>
      </c>
      <c r="G323" s="4"/>
      <c r="H323" s="4"/>
    </row>
    <row r="324" spans="1:8" x14ac:dyDescent="0.2">
      <c r="A324" s="1">
        <v>44617</v>
      </c>
      <c r="B324" s="12" t="s">
        <v>2</v>
      </c>
      <c r="C324" s="3">
        <f t="shared" si="58"/>
        <v>0</v>
      </c>
      <c r="D324" s="3">
        <v>51</v>
      </c>
      <c r="E324" s="4">
        <f t="shared" si="60"/>
        <v>0</v>
      </c>
      <c r="F324" s="6">
        <f t="shared" si="61"/>
        <v>0</v>
      </c>
      <c r="G324" s="4"/>
      <c r="H324" s="4"/>
    </row>
    <row r="325" spans="1:8" x14ac:dyDescent="0.2">
      <c r="A325" s="1">
        <v>44618</v>
      </c>
      <c r="B325" s="12" t="s">
        <v>7</v>
      </c>
      <c r="C325" s="3">
        <f t="shared" si="58"/>
        <v>0</v>
      </c>
      <c r="D325" s="3">
        <v>390</v>
      </c>
      <c r="E325" s="4">
        <f t="shared" si="60"/>
        <v>0</v>
      </c>
      <c r="F325" s="6">
        <f t="shared" si="61"/>
        <v>0</v>
      </c>
      <c r="G325" s="4"/>
      <c r="H325" s="4"/>
    </row>
    <row r="326" spans="1:8" x14ac:dyDescent="0.2">
      <c r="A326" s="1">
        <v>44618</v>
      </c>
      <c r="B326" s="12" t="s">
        <v>9</v>
      </c>
      <c r="C326" s="3">
        <f t="shared" si="58"/>
        <v>0</v>
      </c>
      <c r="D326" s="3">
        <v>1422.05</v>
      </c>
      <c r="E326" s="4">
        <f t="shared" si="60"/>
        <v>0</v>
      </c>
      <c r="F326" s="6">
        <f t="shared" si="61"/>
        <v>0</v>
      </c>
      <c r="G326" s="4"/>
      <c r="H326" s="4"/>
    </row>
    <row r="327" spans="1:8" x14ac:dyDescent="0.2">
      <c r="A327" s="1">
        <v>44618</v>
      </c>
      <c r="B327" s="12" t="s">
        <v>8</v>
      </c>
      <c r="C327" s="3">
        <f t="shared" si="58"/>
        <v>0</v>
      </c>
      <c r="D327" s="3">
        <v>500</v>
      </c>
      <c r="E327" s="4">
        <f t="shared" si="60"/>
        <v>0</v>
      </c>
      <c r="F327" s="6">
        <f t="shared" si="61"/>
        <v>0</v>
      </c>
      <c r="G327" s="4"/>
      <c r="H327" s="4"/>
    </row>
    <row r="328" spans="1:8" x14ac:dyDescent="0.2">
      <c r="A328" s="1">
        <v>44618</v>
      </c>
      <c r="B328" s="12" t="s">
        <v>7</v>
      </c>
      <c r="C328" s="3">
        <f t="shared" si="58"/>
        <v>0</v>
      </c>
      <c r="D328" s="3">
        <v>200</v>
      </c>
      <c r="E328" s="4">
        <f t="shared" si="60"/>
        <v>0</v>
      </c>
      <c r="F328" s="6">
        <f t="shared" si="61"/>
        <v>0</v>
      </c>
      <c r="G328" s="4"/>
      <c r="H328" s="4"/>
    </row>
    <row r="329" spans="1:8" x14ac:dyDescent="0.2">
      <c r="A329" s="1">
        <v>44618</v>
      </c>
      <c r="B329" s="12" t="s">
        <v>7</v>
      </c>
      <c r="C329" s="3">
        <f t="shared" si="58"/>
        <v>0</v>
      </c>
      <c r="D329" s="3">
        <v>0</v>
      </c>
      <c r="E329" s="4">
        <f t="shared" si="60"/>
        <v>0</v>
      </c>
      <c r="F329" s="6">
        <v>100</v>
      </c>
      <c r="G329" s="4"/>
      <c r="H329" s="4"/>
    </row>
    <row r="330" spans="1:8" x14ac:dyDescent="0.2">
      <c r="A330" s="1">
        <v>44619</v>
      </c>
      <c r="B330" s="12" t="s">
        <v>8</v>
      </c>
      <c r="C330" s="3">
        <f t="shared" si="58"/>
        <v>0</v>
      </c>
      <c r="D330" s="3">
        <v>199</v>
      </c>
      <c r="E330" s="4">
        <f t="shared" si="60"/>
        <v>0</v>
      </c>
      <c r="F330" s="6">
        <f t="shared" ref="F330:F332" si="62">IF(0,0,0)</f>
        <v>0</v>
      </c>
      <c r="G330" s="4"/>
      <c r="H330" s="4"/>
    </row>
    <row r="331" spans="1:8" x14ac:dyDescent="0.2">
      <c r="A331" s="1">
        <v>44619</v>
      </c>
      <c r="B331" s="12" t="s">
        <v>9</v>
      </c>
      <c r="C331" s="3">
        <f t="shared" si="58"/>
        <v>0</v>
      </c>
      <c r="D331" s="3">
        <v>590</v>
      </c>
      <c r="E331" s="4">
        <f t="shared" si="60"/>
        <v>0</v>
      </c>
      <c r="F331" s="6">
        <f t="shared" si="62"/>
        <v>0</v>
      </c>
      <c r="G331" s="4"/>
      <c r="H331" s="4"/>
    </row>
    <row r="332" spans="1:8" x14ac:dyDescent="0.2">
      <c r="A332" s="1">
        <v>44619</v>
      </c>
      <c r="B332" s="12" t="s">
        <v>7</v>
      </c>
      <c r="C332" s="3">
        <f t="shared" si="58"/>
        <v>0</v>
      </c>
      <c r="D332" s="3">
        <v>1300</v>
      </c>
      <c r="E332" s="4">
        <f t="shared" si="60"/>
        <v>0</v>
      </c>
      <c r="F332" s="6">
        <f t="shared" si="62"/>
        <v>0</v>
      </c>
      <c r="G332" s="4"/>
      <c r="H332" s="4"/>
    </row>
    <row r="333" spans="1:8" x14ac:dyDescent="0.2">
      <c r="A333" s="1">
        <f>'[1]FEBRUARY 2022'!A191</f>
        <v>44620</v>
      </c>
      <c r="B333" s="12" t="str">
        <f>'[1]FEBRUARY 2022'!B191</f>
        <v>Rauchen</v>
      </c>
      <c r="C333" s="3">
        <f>'[1]FEBRUARY 2022'!C191</f>
        <v>0</v>
      </c>
      <c r="D333" s="3">
        <f>'[1]FEBRUARY 2022'!D191</f>
        <v>160</v>
      </c>
      <c r="E333" s="4">
        <f>'[1]FEBRUARY 2022'!E191</f>
        <v>0</v>
      </c>
      <c r="F333" s="6">
        <f>'[1]FEBRUARY 2022'!F191</f>
        <v>0</v>
      </c>
      <c r="G333" s="4"/>
      <c r="H333" s="4"/>
    </row>
    <row r="334" spans="1:8" x14ac:dyDescent="0.2">
      <c r="A334" s="1">
        <f>'[1]FEBRUARY 2022'!A192</f>
        <v>44620</v>
      </c>
      <c r="B334" s="12" t="str">
        <f>'[1]FEBRUARY 2022'!B192</f>
        <v>LM</v>
      </c>
      <c r="C334" s="3">
        <f>'[1]FEBRUARY 2022'!C192</f>
        <v>0</v>
      </c>
      <c r="D334" s="3">
        <f>'[1]FEBRUARY 2022'!D192</f>
        <v>401</v>
      </c>
      <c r="E334" s="4">
        <f>'[1]FEBRUARY 2022'!E192</f>
        <v>0</v>
      </c>
      <c r="F334" s="6">
        <f>'[1]FEBRUARY 2022'!F192</f>
        <v>0</v>
      </c>
      <c r="G334" s="4"/>
      <c r="H334" s="4"/>
    </row>
    <row r="335" spans="1:8" x14ac:dyDescent="0.2">
      <c r="A335" s="1">
        <f>'[1]FEBRUARY 2022'!A193</f>
        <v>44620</v>
      </c>
      <c r="B335" s="12" t="str">
        <f>'[1]FEBRUARY 2022'!B193</f>
        <v>LM</v>
      </c>
      <c r="C335" s="3">
        <f>'[1]FEBRUARY 2022'!C193</f>
        <v>0</v>
      </c>
      <c r="D335" s="3">
        <f>'[1]FEBRUARY 2022'!D193</f>
        <v>117</v>
      </c>
      <c r="E335" s="4">
        <f>'[1]FEBRUARY 2022'!E193</f>
        <v>0</v>
      </c>
      <c r="F335" s="6">
        <f>'[1]FEBRUARY 2022'!F193</f>
        <v>0</v>
      </c>
      <c r="G335" s="4"/>
      <c r="H335" s="4"/>
    </row>
    <row r="336" spans="1:8" x14ac:dyDescent="0.2">
      <c r="A336" s="1">
        <f>'[1]FEBRUARY 2022'!A194</f>
        <v>44620</v>
      </c>
      <c r="B336" s="12" t="str">
        <f>'[1]FEBRUARY 2022'!B194</f>
        <v>none</v>
      </c>
      <c r="C336" s="3">
        <f>'[1]FEBRUARY 2022'!C194</f>
        <v>328.13</v>
      </c>
      <c r="D336" s="3">
        <f>'[1]FEBRUARY 2022'!D194</f>
        <v>0</v>
      </c>
      <c r="E336" s="4">
        <f>'[1]FEBRUARY 2022'!E194</f>
        <v>0</v>
      </c>
      <c r="F336" s="6">
        <f>'[1]FEBRUARY 2022'!F194</f>
        <v>0</v>
      </c>
      <c r="G336" s="4"/>
      <c r="H336" s="4"/>
    </row>
    <row r="337" spans="1:8" x14ac:dyDescent="0.2">
      <c r="A337" s="1">
        <f>'[1]FEBRUARY 2022'!A195</f>
        <v>44620</v>
      </c>
      <c r="B337" s="12" t="str">
        <f>'[1]FEBRUARY 2022'!B195</f>
        <v>none</v>
      </c>
      <c r="C337" s="3">
        <f>'[1]FEBRUARY 2022'!C195</f>
        <v>196.88</v>
      </c>
      <c r="D337" s="3">
        <f>'[1]FEBRUARY 2022'!D195</f>
        <v>0</v>
      </c>
      <c r="E337" s="4">
        <f>'[1]FEBRUARY 2022'!E195</f>
        <v>0</v>
      </c>
      <c r="F337" s="6">
        <f>'[1]FEBRUARY 2022'!F195</f>
        <v>0</v>
      </c>
      <c r="G337" s="4"/>
      <c r="H337" s="4"/>
    </row>
    <row r="338" spans="1:8" x14ac:dyDescent="0.2">
      <c r="A338" s="23">
        <f>'[1]MARCH 2022'!A2</f>
        <v>44621</v>
      </c>
      <c r="B338" s="23" t="str">
        <f>'[1]MARCH 2022'!B2</f>
        <v>Andere</v>
      </c>
      <c r="C338" s="24">
        <f>'[1]MARCH 2022'!C2</f>
        <v>0</v>
      </c>
      <c r="D338" s="24">
        <f>'[1]MARCH 2022'!D2</f>
        <v>510</v>
      </c>
      <c r="E338" s="24">
        <f>'[1]MARCH 2022'!E2</f>
        <v>0</v>
      </c>
      <c r="F338" s="24">
        <f>'[1]MARCH 2022'!F2</f>
        <v>0</v>
      </c>
      <c r="G338" s="4"/>
      <c r="H338" s="4"/>
    </row>
    <row r="339" spans="1:8" x14ac:dyDescent="0.2">
      <c r="A339" s="20">
        <f>'[1]MARCH 2022'!A3</f>
        <v>44621</v>
      </c>
      <c r="B339" s="20" t="str">
        <f>'[1]MARCH 2022'!B3</f>
        <v>Andere</v>
      </c>
      <c r="C339" s="21">
        <f>'[1]MARCH 2022'!C3</f>
        <v>0</v>
      </c>
      <c r="D339" s="21">
        <f>'[1]MARCH 2022'!D3</f>
        <v>59</v>
      </c>
      <c r="E339" s="21">
        <f>'[1]MARCH 2022'!E3</f>
        <v>0</v>
      </c>
      <c r="F339" s="21">
        <f>'[1]MARCH 2022'!F3</f>
        <v>0</v>
      </c>
      <c r="G339" s="4"/>
      <c r="H339" s="22"/>
    </row>
    <row r="340" spans="1:8" x14ac:dyDescent="0.2">
      <c r="A340" s="20">
        <f>'[1]MARCH 2022'!A9</f>
        <v>44622</v>
      </c>
      <c r="B340" s="20" t="str">
        <f>'[1]MARCH 2022'!B9</f>
        <v>LM</v>
      </c>
      <c r="C340" s="21">
        <f>'[1]MARCH 2022'!C9</f>
        <v>0</v>
      </c>
      <c r="D340" s="21">
        <f>'[1]MARCH 2022'!D9</f>
        <v>380</v>
      </c>
      <c r="E340" s="21">
        <f>'[1]MARCH 2022'!E9</f>
        <v>0</v>
      </c>
      <c r="F340" s="21">
        <f>'[1]MARCH 2022'!F9</f>
        <v>0</v>
      </c>
      <c r="G340" s="4"/>
      <c r="H340" s="22"/>
    </row>
    <row r="341" spans="1:8" x14ac:dyDescent="0.2">
      <c r="A341" s="23">
        <f>'[1]MARCH 2022'!A10</f>
        <v>44622</v>
      </c>
      <c r="B341" s="23" t="str">
        <f>'[1]MARCH 2022'!B10</f>
        <v>LM</v>
      </c>
      <c r="C341" s="24">
        <f>'[1]MARCH 2022'!C10</f>
        <v>0</v>
      </c>
      <c r="D341" s="24">
        <f>'[1]MARCH 2022'!D10</f>
        <v>508.74</v>
      </c>
      <c r="E341" s="24">
        <f>'[1]MARCH 2022'!E10</f>
        <v>0</v>
      </c>
      <c r="F341" s="24">
        <f>'[1]MARCH 2022'!F10</f>
        <v>0</v>
      </c>
      <c r="G341" s="4"/>
      <c r="H341" s="4"/>
    </row>
    <row r="342" spans="1:8" x14ac:dyDescent="0.2">
      <c r="A342" s="20">
        <f>'[1]MARCH 2022'!A11</f>
        <v>44622</v>
      </c>
      <c r="B342" s="20" t="str">
        <f>'[1]MARCH 2022'!B11</f>
        <v>VM</v>
      </c>
      <c r="C342" s="21">
        <f>'[1]MARCH 2022'!C11</f>
        <v>0</v>
      </c>
      <c r="D342" s="21">
        <f>'[1]MARCH 2022'!D11</f>
        <v>0</v>
      </c>
      <c r="E342" s="21">
        <f>'[1]MARCH 2022'!E11</f>
        <v>0</v>
      </c>
      <c r="F342" s="21">
        <f>'[1]MARCH 2022'!F11</f>
        <v>300</v>
      </c>
      <c r="G342" s="4"/>
      <c r="H342" s="22"/>
    </row>
    <row r="343" spans="1:8" x14ac:dyDescent="0.2">
      <c r="A343" s="23">
        <f>'[1]MARCH 2022'!A16</f>
        <v>44623</v>
      </c>
      <c r="B343" s="23" t="str">
        <f>'[1]MARCH 2022'!B16</f>
        <v>Rauchen</v>
      </c>
      <c r="C343" s="24">
        <f>'[1]MARCH 2022'!C16</f>
        <v>0</v>
      </c>
      <c r="D343" s="24">
        <f>'[1]MARCH 2022'!D16</f>
        <v>150</v>
      </c>
      <c r="E343" s="24">
        <f>'[1]MARCH 2022'!E16</f>
        <v>0</v>
      </c>
      <c r="F343" s="24">
        <f>'[1]MARCH 2022'!F16</f>
        <v>0</v>
      </c>
      <c r="G343" s="4"/>
      <c r="H343" s="4"/>
    </row>
    <row r="344" spans="1:8" x14ac:dyDescent="0.2">
      <c r="A344" s="20">
        <f>'[1]MARCH 2022'!A17</f>
        <v>44623</v>
      </c>
      <c r="B344" s="20" t="str">
        <f>'[1]MARCH 2022'!B17</f>
        <v>none</v>
      </c>
      <c r="C344" s="21">
        <f>'[1]MARCH 2022'!C17</f>
        <v>0</v>
      </c>
      <c r="D344" s="21">
        <f>'[1]MARCH 2022'!D17</f>
        <v>530</v>
      </c>
      <c r="E344" s="21">
        <f>'[1]MARCH 2022'!E17</f>
        <v>530</v>
      </c>
      <c r="F344" s="21">
        <f>'[1]MARCH 2022'!F17</f>
        <v>0</v>
      </c>
      <c r="G344" s="4"/>
      <c r="H344" s="22"/>
    </row>
    <row r="345" spans="1:8" x14ac:dyDescent="0.2">
      <c r="A345" s="23">
        <f>'[1]MARCH 2022'!A18</f>
        <v>44623</v>
      </c>
      <c r="B345" s="23" t="str">
        <f>'[1]MARCH 2022'!B18</f>
        <v>Party</v>
      </c>
      <c r="C345" s="24">
        <f>'[1]MARCH 2022'!C18</f>
        <v>0</v>
      </c>
      <c r="D345" s="24">
        <f>'[1]MARCH 2022'!D18</f>
        <v>1850</v>
      </c>
      <c r="E345" s="24">
        <f>'[1]MARCH 2022'!E18</f>
        <v>0</v>
      </c>
      <c r="F345" s="24">
        <f>'[1]MARCH 2022'!F18</f>
        <v>0</v>
      </c>
      <c r="G345" s="4"/>
      <c r="H345" s="4"/>
    </row>
    <row r="346" spans="1:8" x14ac:dyDescent="0.2">
      <c r="A346" s="20">
        <f>'[1]MARCH 2022'!A23</f>
        <v>44624</v>
      </c>
      <c r="B346" s="20" t="str">
        <f>'[1]MARCH 2022'!B23</f>
        <v>LM</v>
      </c>
      <c r="C346" s="21">
        <f>'[1]MARCH 2022'!C23</f>
        <v>0</v>
      </c>
      <c r="D346" s="21">
        <f>'[1]MARCH 2022'!D23</f>
        <v>261</v>
      </c>
      <c r="E346" s="21">
        <f>'[1]MARCH 2022'!E23</f>
        <v>0</v>
      </c>
      <c r="F346" s="21">
        <f>'[1]MARCH 2022'!F23</f>
        <v>0</v>
      </c>
      <c r="G346" s="4"/>
      <c r="H346" s="22"/>
    </row>
    <row r="347" spans="1:8" x14ac:dyDescent="0.2">
      <c r="A347" s="23">
        <f>'[1]MARCH 2022'!A24</f>
        <v>44624</v>
      </c>
      <c r="B347" s="23" t="str">
        <f>'[1]MARCH 2022'!B24</f>
        <v>VM</v>
      </c>
      <c r="C347" s="24">
        <f>'[1]MARCH 2022'!C24</f>
        <v>0</v>
      </c>
      <c r="D347" s="24">
        <f>'[1]MARCH 2022'!D24</f>
        <v>150</v>
      </c>
      <c r="E347" s="24">
        <f>'[1]MARCH 2022'!E24</f>
        <v>0</v>
      </c>
      <c r="F347" s="24">
        <f>'[1]MARCH 2022'!F24</f>
        <v>0</v>
      </c>
      <c r="G347" s="4"/>
      <c r="H347" s="4"/>
    </row>
    <row r="348" spans="1:8" x14ac:dyDescent="0.2">
      <c r="A348" s="20">
        <f>'[1]MARCH 2022'!A25</f>
        <v>44624</v>
      </c>
      <c r="B348" s="20" t="str">
        <f>'[1]MARCH 2022'!B25</f>
        <v>LM</v>
      </c>
      <c r="C348" s="21">
        <f>'[1]MARCH 2022'!C25</f>
        <v>0</v>
      </c>
      <c r="D348" s="21">
        <f>'[1]MARCH 2022'!D25</f>
        <v>250</v>
      </c>
      <c r="E348" s="21">
        <f>'[1]MARCH 2022'!E25</f>
        <v>0</v>
      </c>
      <c r="F348" s="21">
        <f>'[1]MARCH 2022'!F25</f>
        <v>0</v>
      </c>
      <c r="G348" s="4"/>
      <c r="H348" s="22"/>
    </row>
    <row r="349" spans="1:8" x14ac:dyDescent="0.2">
      <c r="A349" s="23">
        <f>'[1]MARCH 2022'!A30</f>
        <v>44625</v>
      </c>
      <c r="B349" s="23" t="str">
        <f>'[1]MARCH 2022'!B30</f>
        <v>VM</v>
      </c>
      <c r="C349" s="24">
        <f>'[1]MARCH 2022'!C30</f>
        <v>0</v>
      </c>
      <c r="D349" s="24">
        <f>'[1]MARCH 2022'!D30</f>
        <v>100</v>
      </c>
      <c r="E349" s="24">
        <f>'[1]MARCH 2022'!E30</f>
        <v>0</v>
      </c>
      <c r="F349" s="24">
        <f>'[1]MARCH 2022'!F30</f>
        <v>0</v>
      </c>
      <c r="G349" s="4"/>
      <c r="H349" s="4"/>
    </row>
    <row r="350" spans="1:8" x14ac:dyDescent="0.2">
      <c r="A350" s="20">
        <f>'[1]MARCH 2022'!A31</f>
        <v>44625</v>
      </c>
      <c r="B350" s="20" t="str">
        <f>'[1]MARCH 2022'!B31</f>
        <v>LM</v>
      </c>
      <c r="C350" s="21">
        <f>'[1]MARCH 2022'!C31</f>
        <v>0</v>
      </c>
      <c r="D350" s="21">
        <f>'[1]MARCH 2022'!D31</f>
        <v>678.19</v>
      </c>
      <c r="E350" s="21">
        <f>'[1]MARCH 2022'!E31</f>
        <v>0</v>
      </c>
      <c r="F350" s="21">
        <f>'[1]MARCH 2022'!F31</f>
        <v>0</v>
      </c>
      <c r="G350" s="4"/>
      <c r="H350" s="22"/>
    </row>
    <row r="351" spans="1:8" x14ac:dyDescent="0.2">
      <c r="A351" s="23">
        <f>'[1]MARCH 2022'!A32</f>
        <v>44625</v>
      </c>
      <c r="B351" s="23" t="str">
        <f>'[1]MARCH 2022'!B32</f>
        <v>Rauchen</v>
      </c>
      <c r="C351" s="24">
        <f>'[1]MARCH 2022'!C32</f>
        <v>0</v>
      </c>
      <c r="D351" s="24">
        <f>'[1]MARCH 2022'!D32</f>
        <v>150</v>
      </c>
      <c r="E351" s="24">
        <f>'[1]MARCH 2022'!E32</f>
        <v>0</v>
      </c>
      <c r="F351" s="24">
        <f>'[1]MARCH 2022'!F32</f>
        <v>0</v>
      </c>
      <c r="G351" s="4"/>
      <c r="H351" s="4"/>
    </row>
    <row r="352" spans="1:8" x14ac:dyDescent="0.2">
      <c r="A352" s="20">
        <f>'[1]MARCH 2022'!A37</f>
        <v>44626</v>
      </c>
      <c r="B352" s="20" t="str">
        <f>'[1]MARCH 2022'!B37</f>
        <v>VM</v>
      </c>
      <c r="C352" s="21">
        <f>'[1]MARCH 2022'!C37</f>
        <v>0</v>
      </c>
      <c r="D352" s="21">
        <f>'[1]MARCH 2022'!D37</f>
        <v>0</v>
      </c>
      <c r="E352" s="21">
        <f>'[1]MARCH 2022'!E37</f>
        <v>0</v>
      </c>
      <c r="F352" s="21">
        <f>'[1]MARCH 2022'!F37</f>
        <v>288</v>
      </c>
      <c r="G352" s="4"/>
      <c r="H352" s="22"/>
    </row>
    <row r="353" spans="1:8" x14ac:dyDescent="0.2">
      <c r="A353" s="23">
        <f>'[1]MARCH 2022'!A44</f>
        <v>44627</v>
      </c>
      <c r="B353" s="23" t="str">
        <f>'[1]MARCH 2022'!B44</f>
        <v>VM</v>
      </c>
      <c r="C353" s="24">
        <f>'[1]MARCH 2022'!C44</f>
        <v>0</v>
      </c>
      <c r="D353" s="24">
        <f>'[1]MARCH 2022'!D44</f>
        <v>0</v>
      </c>
      <c r="E353" s="24">
        <f>'[1]MARCH 2022'!E44</f>
        <v>0</v>
      </c>
      <c r="F353" s="24">
        <f>'[1]MARCH 2022'!F44</f>
        <v>175</v>
      </c>
      <c r="G353" s="4"/>
      <c r="H353" s="4"/>
    </row>
    <row r="354" spans="1:8" x14ac:dyDescent="0.2">
      <c r="A354" s="20">
        <f>'[1]MARCH 2022'!A45</f>
        <v>44627</v>
      </c>
      <c r="B354" s="20" t="str">
        <f>'[1]MARCH 2022'!B45</f>
        <v>for me</v>
      </c>
      <c r="C354" s="21">
        <f>'[1]MARCH 2022'!C45</f>
        <v>0</v>
      </c>
      <c r="D354" s="21">
        <f>'[1]MARCH 2022'!D45</f>
        <v>1275</v>
      </c>
      <c r="E354" s="21">
        <f>'[1]MARCH 2022'!E45</f>
        <v>0</v>
      </c>
      <c r="F354" s="21">
        <f>'[1]MARCH 2022'!F45</f>
        <v>0</v>
      </c>
      <c r="G354" s="4"/>
      <c r="H354" s="22"/>
    </row>
    <row r="355" spans="1:8" x14ac:dyDescent="0.2">
      <c r="A355" s="23">
        <f>'[1]MARCH 2022'!A46</f>
        <v>44627</v>
      </c>
      <c r="B355" s="23" t="str">
        <f>'[1]MARCH 2022'!B46</f>
        <v>LM</v>
      </c>
      <c r="C355" s="24">
        <f>'[1]MARCH 2022'!C46</f>
        <v>0</v>
      </c>
      <c r="D355" s="24">
        <f>'[1]MARCH 2022'!D46</f>
        <v>145</v>
      </c>
      <c r="E355" s="24">
        <f>'[1]MARCH 2022'!E46</f>
        <v>0</v>
      </c>
      <c r="F355" s="24">
        <f>'[1]MARCH 2022'!F46</f>
        <v>0</v>
      </c>
      <c r="G355" s="4"/>
      <c r="H355" s="4"/>
    </row>
    <row r="356" spans="1:8" x14ac:dyDescent="0.2">
      <c r="A356" s="20">
        <f>'[1]MARCH 2022'!A47</f>
        <v>44627</v>
      </c>
      <c r="B356" s="20" t="str">
        <f>'[1]MARCH 2022'!B47</f>
        <v>LM</v>
      </c>
      <c r="C356" s="21">
        <f>'[1]MARCH 2022'!C47</f>
        <v>0</v>
      </c>
      <c r="D356" s="21">
        <f>'[1]MARCH 2022'!D47</f>
        <v>1460.22</v>
      </c>
      <c r="E356" s="21">
        <f>'[1]MARCH 2022'!E47</f>
        <v>0</v>
      </c>
      <c r="F356" s="21">
        <f>'[1]MARCH 2022'!F47</f>
        <v>0</v>
      </c>
      <c r="G356" s="4"/>
      <c r="H356" s="22"/>
    </row>
    <row r="357" spans="1:8" x14ac:dyDescent="0.2">
      <c r="A357" s="23">
        <f>'[1]MARCH 2022'!A48</f>
        <v>44627</v>
      </c>
      <c r="B357" s="23" t="str">
        <f>'[1]MARCH 2022'!B48</f>
        <v>VM</v>
      </c>
      <c r="C357" s="24">
        <f>'[1]MARCH 2022'!C48</f>
        <v>0</v>
      </c>
      <c r="D357" s="24">
        <f>'[1]MARCH 2022'!D48</f>
        <v>51</v>
      </c>
      <c r="E357" s="24">
        <f>'[1]MARCH 2022'!E48</f>
        <v>0</v>
      </c>
      <c r="F357" s="24">
        <f>'[1]MARCH 2022'!F48</f>
        <v>0</v>
      </c>
      <c r="G357" s="4"/>
      <c r="H357" s="4"/>
    </row>
    <row r="358" spans="1:8" x14ac:dyDescent="0.2">
      <c r="A358" s="20">
        <f>'[1]MARCH 2022'!A51</f>
        <v>44628</v>
      </c>
      <c r="B358" s="20" t="str">
        <f>'[1]MARCH 2022'!B51</f>
        <v>Andere</v>
      </c>
      <c r="C358" s="21">
        <f>'[1]MARCH 2022'!C51</f>
        <v>0</v>
      </c>
      <c r="D358" s="21">
        <f>'[1]MARCH 2022'!D51</f>
        <v>6000</v>
      </c>
      <c r="E358" s="21">
        <f>'[1]MARCH 2022'!E51</f>
        <v>0</v>
      </c>
      <c r="F358" s="21">
        <f>'[1]MARCH 2022'!F51</f>
        <v>0</v>
      </c>
      <c r="G358" s="4"/>
      <c r="H358" s="22"/>
    </row>
    <row r="359" spans="1:8" x14ac:dyDescent="0.2">
      <c r="A359" s="23">
        <f>'[1]MARCH 2022'!A52</f>
        <v>44628</v>
      </c>
      <c r="B359" s="23" t="str">
        <f>'[1]MARCH 2022'!B52</f>
        <v>VM</v>
      </c>
      <c r="C359" s="24">
        <f>'[1]MARCH 2022'!C52</f>
        <v>0</v>
      </c>
      <c r="D359" s="24">
        <f>'[1]MARCH 2022'!D52</f>
        <v>435</v>
      </c>
      <c r="E359" s="24">
        <f>'[1]MARCH 2022'!E52</f>
        <v>0</v>
      </c>
      <c r="F359" s="24">
        <f>'[1]MARCH 2022'!F52</f>
        <v>0</v>
      </c>
      <c r="G359" s="4"/>
      <c r="H359" s="4"/>
    </row>
    <row r="360" spans="1:8" x14ac:dyDescent="0.2">
      <c r="A360" s="20">
        <f>'[1]MARCH 2022'!A53</f>
        <v>44628</v>
      </c>
      <c r="B360" s="20" t="str">
        <f>'[1]MARCH 2022'!B53</f>
        <v>Andere</v>
      </c>
      <c r="C360" s="21">
        <f>'[1]MARCH 2022'!C53</f>
        <v>0</v>
      </c>
      <c r="D360" s="21">
        <f>'[1]MARCH 2022'!D53</f>
        <v>0</v>
      </c>
      <c r="E360" s="21">
        <f>'[1]MARCH 2022'!E53</f>
        <v>0</v>
      </c>
      <c r="F360" s="21">
        <f>'[1]MARCH 2022'!F53</f>
        <v>70</v>
      </c>
      <c r="G360" s="4"/>
      <c r="H360" s="22"/>
    </row>
    <row r="361" spans="1:8" x14ac:dyDescent="0.2">
      <c r="A361" s="23">
        <f>'[1]MARCH 2022'!A58</f>
        <v>44629</v>
      </c>
      <c r="B361" s="23" t="str">
        <f>'[1]MARCH 2022'!B58</f>
        <v>Andere</v>
      </c>
      <c r="C361" s="24">
        <f>'[1]MARCH 2022'!C58</f>
        <v>0</v>
      </c>
      <c r="D361" s="24">
        <f>'[1]MARCH 2022'!D58</f>
        <v>180</v>
      </c>
      <c r="E361" s="24">
        <f>'[1]MARCH 2022'!E58</f>
        <v>0</v>
      </c>
      <c r="F361" s="24">
        <f>'[1]MARCH 2022'!F58</f>
        <v>0</v>
      </c>
      <c r="G361" s="4"/>
      <c r="H361" s="4"/>
    </row>
    <row r="362" spans="1:8" x14ac:dyDescent="0.2">
      <c r="A362" s="20">
        <f>'[1]MARCH 2022'!A59</f>
        <v>44629</v>
      </c>
      <c r="B362" s="20" t="str">
        <f>'[1]MARCH 2022'!B59</f>
        <v>Refill</v>
      </c>
      <c r="C362" s="21">
        <f>'[1]MARCH 2022'!C59</f>
        <v>21704.36</v>
      </c>
      <c r="D362" s="21">
        <f>'[1]MARCH 2022'!D59</f>
        <v>0</v>
      </c>
      <c r="E362" s="21">
        <f>'[1]MARCH 2022'!E59</f>
        <v>0</v>
      </c>
      <c r="F362" s="21">
        <f>'[1]MARCH 2022'!F59</f>
        <v>0</v>
      </c>
      <c r="G362" s="4"/>
      <c r="H362" s="22"/>
    </row>
    <row r="363" spans="1:8" x14ac:dyDescent="0.2">
      <c r="A363" s="23">
        <f>'[1]MARCH 2022'!A60</f>
        <v>44629</v>
      </c>
      <c r="B363" s="23" t="str">
        <f>'[1]MARCH 2022'!B60</f>
        <v>for me</v>
      </c>
      <c r="C363" s="24">
        <f>'[1]MARCH 2022'!C60</f>
        <v>0</v>
      </c>
      <c r="D363" s="24">
        <f>'[1]MARCH 2022'!D60</f>
        <v>1260</v>
      </c>
      <c r="E363" s="24">
        <f>'[1]MARCH 2022'!E60</f>
        <v>0</v>
      </c>
      <c r="F363" s="24">
        <f>'[1]MARCH 2022'!F60</f>
        <v>0</v>
      </c>
      <c r="G363" s="4"/>
      <c r="H363" s="4"/>
    </row>
    <row r="364" spans="1:8" x14ac:dyDescent="0.2">
      <c r="A364" s="20">
        <f>'[1]MARCH 2022'!A65</f>
        <v>44630</v>
      </c>
      <c r="B364" s="20" t="str">
        <f>'[1]MARCH 2022'!B65</f>
        <v>LM</v>
      </c>
      <c r="C364" s="21">
        <f>'[1]MARCH 2022'!C65</f>
        <v>0</v>
      </c>
      <c r="D364" s="21">
        <f>'[1]MARCH 2022'!D65</f>
        <v>400</v>
      </c>
      <c r="E364" s="21">
        <f>'[1]MARCH 2022'!E65</f>
        <v>0</v>
      </c>
      <c r="F364" s="21">
        <f>'[1]MARCH 2022'!F65</f>
        <v>0</v>
      </c>
      <c r="G364" s="4"/>
      <c r="H364" s="22"/>
    </row>
    <row r="365" spans="1:8" x14ac:dyDescent="0.2">
      <c r="A365" s="23">
        <f>'[1]MARCH 2022'!A66</f>
        <v>44630</v>
      </c>
      <c r="B365" s="23" t="str">
        <f>'[1]MARCH 2022'!B66</f>
        <v>Rauchen</v>
      </c>
      <c r="C365" s="24">
        <f>'[1]MARCH 2022'!C66</f>
        <v>0</v>
      </c>
      <c r="D365" s="24">
        <f>'[1]MARCH 2022'!D66</f>
        <v>150</v>
      </c>
      <c r="E365" s="24">
        <f>'[1]MARCH 2022'!E66</f>
        <v>0</v>
      </c>
      <c r="F365" s="24">
        <f>'[1]MARCH 2022'!F66</f>
        <v>0</v>
      </c>
      <c r="G365" s="4"/>
      <c r="H365" s="4"/>
    </row>
    <row r="366" spans="1:8" x14ac:dyDescent="0.2">
      <c r="A366" s="20">
        <f>'[1]MARCH 2022'!A67</f>
        <v>44630</v>
      </c>
      <c r="B366" s="20" t="str">
        <f>'[1]MARCH 2022'!B67</f>
        <v>Andere</v>
      </c>
      <c r="C366" s="21">
        <f>'[1]MARCH 2022'!C67</f>
        <v>0</v>
      </c>
      <c r="D366" s="21">
        <f>'[1]MARCH 2022'!D67</f>
        <v>0</v>
      </c>
      <c r="E366" s="21">
        <f>'[1]MARCH 2022'!E67</f>
        <v>0</v>
      </c>
      <c r="F366" s="21">
        <f>'[1]MARCH 2022'!F67</f>
        <v>60</v>
      </c>
      <c r="G366" s="4"/>
      <c r="H366" s="22"/>
    </row>
    <row r="367" spans="1:8" x14ac:dyDescent="0.2">
      <c r="A367" s="23">
        <f>'[1]MARCH 2022'!A72</f>
        <v>44631</v>
      </c>
      <c r="B367" s="23" t="str">
        <f>'[1]MARCH 2022'!B72</f>
        <v>LM</v>
      </c>
      <c r="C367" s="24">
        <f>'[1]MARCH 2022'!C72</f>
        <v>0</v>
      </c>
      <c r="D367" s="24">
        <f>'[1]MARCH 2022'!D72</f>
        <v>463</v>
      </c>
      <c r="E367" s="24">
        <f>'[1]MARCH 2022'!E72</f>
        <v>0</v>
      </c>
      <c r="F367" s="24">
        <f>'[1]MARCH 2022'!F72</f>
        <v>0</v>
      </c>
      <c r="G367" s="4"/>
      <c r="H367" s="4"/>
    </row>
    <row r="368" spans="1:8" x14ac:dyDescent="0.2">
      <c r="A368" s="20">
        <f>'[1]MARCH 2022'!A79</f>
        <v>44632</v>
      </c>
      <c r="B368" s="20" t="str">
        <f>'[1]MARCH 2022'!B79</f>
        <v>LM</v>
      </c>
      <c r="C368" s="21">
        <f>'[1]MARCH 2022'!C79</f>
        <v>0</v>
      </c>
      <c r="D368" s="21">
        <f>'[1]MARCH 2022'!D79</f>
        <v>242</v>
      </c>
      <c r="E368" s="21">
        <f>'[1]MARCH 2022'!E79</f>
        <v>0</v>
      </c>
      <c r="F368" s="21">
        <f>'[1]MARCH 2022'!F79</f>
        <v>0</v>
      </c>
      <c r="G368" s="4"/>
      <c r="H368" s="22"/>
    </row>
    <row r="369" spans="1:8" x14ac:dyDescent="0.2">
      <c r="A369" s="23">
        <f>'[1]MARCH 2022'!A80</f>
        <v>44632</v>
      </c>
      <c r="B369" s="23" t="str">
        <f>'[1]MARCH 2022'!B80</f>
        <v>Party</v>
      </c>
      <c r="C369" s="24">
        <f>'[1]MARCH 2022'!C80</f>
        <v>0</v>
      </c>
      <c r="D369" s="24">
        <f>'[1]MARCH 2022'!D80</f>
        <v>5150</v>
      </c>
      <c r="E369" s="24">
        <f>'[1]MARCH 2022'!E80</f>
        <v>0</v>
      </c>
      <c r="F369" s="24">
        <f>'[1]MARCH 2022'!F80</f>
        <v>0</v>
      </c>
      <c r="G369" s="4"/>
      <c r="H369" s="4"/>
    </row>
    <row r="370" spans="1:8" x14ac:dyDescent="0.2">
      <c r="A370" s="23">
        <f>'[1]MARCH 2022'!A86</f>
        <v>44633</v>
      </c>
      <c r="B370" s="23" t="str">
        <f>'[1]MARCH 2022'!B86</f>
        <v>Rauchen</v>
      </c>
      <c r="C370" s="24">
        <f>'[1]MARCH 2022'!C86</f>
        <v>0</v>
      </c>
      <c r="D370" s="24">
        <f>'[1]MARCH 2022'!D86</f>
        <v>285</v>
      </c>
      <c r="E370" s="24">
        <f>'[1]MARCH 2022'!E86</f>
        <v>0</v>
      </c>
      <c r="F370" s="24">
        <f>'[1]MARCH 2022'!F86</f>
        <v>0</v>
      </c>
      <c r="G370" s="4"/>
      <c r="H370" s="4"/>
    </row>
    <row r="371" spans="1:8" x14ac:dyDescent="0.2">
      <c r="A371" s="20">
        <f>'[1]MARCH 2022'!A87</f>
        <v>44633</v>
      </c>
      <c r="B371" s="20" t="str">
        <f>'[1]MARCH 2022'!B87</f>
        <v>LM</v>
      </c>
      <c r="C371" s="21">
        <f>'[1]MARCH 2022'!C87</f>
        <v>0</v>
      </c>
      <c r="D371" s="21">
        <f>'[1]MARCH 2022'!D87</f>
        <v>802.3</v>
      </c>
      <c r="E371" s="21">
        <f>'[1]MARCH 2022'!E87</f>
        <v>0</v>
      </c>
      <c r="F371" s="21">
        <f>'[1]MARCH 2022'!F87</f>
        <v>0</v>
      </c>
      <c r="G371" s="4"/>
      <c r="H371" s="22"/>
    </row>
    <row r="372" spans="1:8" x14ac:dyDescent="0.2">
      <c r="A372" s="23">
        <f>'[1]MARCH 2022'!A88</f>
        <v>44633</v>
      </c>
      <c r="B372" s="23" t="str">
        <f>'[1]MARCH 2022'!B88</f>
        <v>Education</v>
      </c>
      <c r="C372" s="24">
        <f>'[1]MARCH 2022'!C88</f>
        <v>0</v>
      </c>
      <c r="D372" s="24">
        <f>'[1]MARCH 2022'!D88</f>
        <v>319.2</v>
      </c>
      <c r="E372" s="24">
        <f>'[1]MARCH 2022'!E88</f>
        <v>0</v>
      </c>
      <c r="F372" s="24">
        <f>'[1]MARCH 2022'!F88</f>
        <v>0</v>
      </c>
      <c r="G372" s="4"/>
      <c r="H372" s="4"/>
    </row>
    <row r="373" spans="1:8" x14ac:dyDescent="0.2">
      <c r="A373" s="20">
        <f>'[1]MARCH 2022'!A93</f>
        <v>44634</v>
      </c>
      <c r="B373" s="20" t="str">
        <f>'[1]MARCH 2022'!B93</f>
        <v>LM</v>
      </c>
      <c r="C373" s="21">
        <f>'[1]MARCH 2022'!C93</f>
        <v>0</v>
      </c>
      <c r="D373" s="21">
        <f>'[1]MARCH 2022'!D93</f>
        <v>105</v>
      </c>
      <c r="E373" s="21">
        <f>'[1]MARCH 2022'!E93</f>
        <v>0</v>
      </c>
      <c r="F373" s="21">
        <f>'[1]MARCH 2022'!F93</f>
        <v>0</v>
      </c>
      <c r="G373" s="4"/>
      <c r="H373" s="22"/>
    </row>
    <row r="374" spans="1:8" x14ac:dyDescent="0.2">
      <c r="A374" s="23">
        <f>'[1]MARCH 2022'!A94</f>
        <v>44634</v>
      </c>
      <c r="B374" s="23" t="str">
        <f>'[1]MARCH 2022'!B94</f>
        <v>Andere</v>
      </c>
      <c r="C374" s="24">
        <f>'[1]MARCH 2022'!C94</f>
        <v>0</v>
      </c>
      <c r="D374" s="24">
        <f>'[1]MARCH 2022'!D94</f>
        <v>0</v>
      </c>
      <c r="E374" s="24">
        <f>'[1]MARCH 2022'!E94</f>
        <v>0</v>
      </c>
      <c r="F374" s="24">
        <f>'[1]MARCH 2022'!F94</f>
        <v>301.99</v>
      </c>
      <c r="G374" s="4"/>
      <c r="H374" s="4"/>
    </row>
    <row r="375" spans="1:8" x14ac:dyDescent="0.2">
      <c r="A375" s="23">
        <f>'[1]MARCH 2022'!A100</f>
        <v>44635</v>
      </c>
      <c r="B375" s="23" t="str">
        <f>'[1]MARCH 2022'!B100</f>
        <v>LM</v>
      </c>
      <c r="C375" s="24">
        <f>'[1]MARCH 2022'!C100</f>
        <v>0</v>
      </c>
      <c r="D375" s="24">
        <f>'[1]MARCH 2022'!D100</f>
        <v>401</v>
      </c>
      <c r="E375" s="24">
        <f>'[1]MARCH 2022'!E100</f>
        <v>0</v>
      </c>
      <c r="F375" s="24">
        <f>'[1]MARCH 2022'!F100</f>
        <v>0</v>
      </c>
      <c r="G375" s="4"/>
      <c r="H375" s="4"/>
    </row>
    <row r="376" spans="1:8" x14ac:dyDescent="0.2">
      <c r="A376" s="20">
        <f>'[1]MARCH 2022'!A107</f>
        <v>44636</v>
      </c>
      <c r="B376" s="20" t="str">
        <f>'[1]MARCH 2022'!B107</f>
        <v>LM</v>
      </c>
      <c r="C376" s="21">
        <f>'[1]MARCH 2022'!C107</f>
        <v>0</v>
      </c>
      <c r="D376" s="21">
        <f>'[1]MARCH 2022'!D107</f>
        <v>120</v>
      </c>
      <c r="E376" s="21">
        <f>'[1]MARCH 2022'!E107</f>
        <v>0</v>
      </c>
      <c r="F376" s="21">
        <f>'[1]MARCH 2022'!F107</f>
        <v>0</v>
      </c>
      <c r="G376" s="4"/>
      <c r="H376" s="22"/>
    </row>
    <row r="377" spans="1:8" x14ac:dyDescent="0.2">
      <c r="A377" s="23">
        <f>'[1]MARCH 2022'!A108</f>
        <v>44636</v>
      </c>
      <c r="B377" s="23" t="str">
        <f>'[1]MARCH 2022'!B108</f>
        <v>LM</v>
      </c>
      <c r="C377" s="24">
        <f>'[1]MARCH 2022'!C108</f>
        <v>0</v>
      </c>
      <c r="D377" s="24">
        <f>'[1]MARCH 2022'!D108</f>
        <v>225</v>
      </c>
      <c r="E377" s="24">
        <f>'[1]MARCH 2022'!E108</f>
        <v>0</v>
      </c>
      <c r="F377" s="24">
        <f>'[1]MARCH 2022'!F108</f>
        <v>0</v>
      </c>
      <c r="G377" s="4"/>
      <c r="H377" s="4"/>
    </row>
    <row r="378" spans="1:8" x14ac:dyDescent="0.2">
      <c r="A378" s="20">
        <f>'[1]MARCH 2022'!A109</f>
        <v>44636</v>
      </c>
      <c r="B378" s="20" t="str">
        <f>'[1]MARCH 2022'!B109</f>
        <v>LM</v>
      </c>
      <c r="C378" s="21">
        <f>'[1]MARCH 2022'!C109</f>
        <v>0</v>
      </c>
      <c r="D378" s="21">
        <f>'[1]MARCH 2022'!D109</f>
        <v>170</v>
      </c>
      <c r="E378" s="21">
        <f>'[1]MARCH 2022'!E109</f>
        <v>0</v>
      </c>
      <c r="F378" s="21">
        <f>'[1]MARCH 2022'!F109</f>
        <v>0</v>
      </c>
      <c r="G378" s="4"/>
      <c r="H378" s="22"/>
    </row>
    <row r="379" spans="1:8" x14ac:dyDescent="0.2">
      <c r="A379" s="23">
        <f>'[1]MARCH 2022'!A110</f>
        <v>44636</v>
      </c>
      <c r="B379" s="23" t="str">
        <f>'[1]MARCH 2022'!B110</f>
        <v>LM</v>
      </c>
      <c r="C379" s="24">
        <f>'[1]MARCH 2022'!C110</f>
        <v>0</v>
      </c>
      <c r="D379" s="24">
        <f>'[1]MARCH 2022'!D110</f>
        <v>420</v>
      </c>
      <c r="E379" s="24">
        <f>'[1]MARCH 2022'!E110</f>
        <v>0</v>
      </c>
      <c r="F379" s="24">
        <f>'[1]MARCH 2022'!F110</f>
        <v>0</v>
      </c>
      <c r="G379" s="4"/>
      <c r="H379" s="4"/>
    </row>
    <row r="380" spans="1:8" x14ac:dyDescent="0.2">
      <c r="A380" s="23">
        <f>'[1]MARCH 2022'!A114</f>
        <v>44637</v>
      </c>
      <c r="B380" s="23" t="str">
        <f>'[1]MARCH 2022'!B114</f>
        <v>LM</v>
      </c>
      <c r="C380" s="24">
        <f>'[1]MARCH 2022'!C114</f>
        <v>0</v>
      </c>
      <c r="D380" s="24">
        <f>'[1]MARCH 2022'!D114</f>
        <v>260</v>
      </c>
      <c r="E380" s="24">
        <f>'[1]MARCH 2022'!E114</f>
        <v>0</v>
      </c>
      <c r="F380" s="24">
        <f>'[1]MARCH 2022'!F114</f>
        <v>65</v>
      </c>
      <c r="G380" s="4"/>
      <c r="H380" s="4"/>
    </row>
    <row r="381" spans="1:8" x14ac:dyDescent="0.2">
      <c r="A381" s="20">
        <f>'[1]MARCH 2022'!A121</f>
        <v>44638</v>
      </c>
      <c r="B381" s="20" t="str">
        <f>'[1]MARCH 2022'!B121</f>
        <v>LM</v>
      </c>
      <c r="C381" s="21">
        <f>'[1]MARCH 2022'!C121</f>
        <v>0</v>
      </c>
      <c r="D381" s="21">
        <f>'[1]MARCH 2022'!D121</f>
        <v>117</v>
      </c>
      <c r="E381" s="21">
        <f>'[1]MARCH 2022'!E121</f>
        <v>0</v>
      </c>
      <c r="F381" s="21">
        <f>'[1]MARCH 2022'!F121</f>
        <v>0</v>
      </c>
      <c r="G381" s="4"/>
      <c r="H381" s="22"/>
    </row>
    <row r="382" spans="1:8" x14ac:dyDescent="0.2">
      <c r="A382" s="23">
        <f>'[1]MARCH 2022'!A122</f>
        <v>44638</v>
      </c>
      <c r="B382" s="23" t="str">
        <f>'[1]MARCH 2022'!B122</f>
        <v>Andere</v>
      </c>
      <c r="C382" s="24">
        <f>'[1]MARCH 2022'!C122</f>
        <v>0</v>
      </c>
      <c r="D382" s="24">
        <f>'[1]MARCH 2022'!D122</f>
        <v>6000</v>
      </c>
      <c r="E382" s="24">
        <f>'[1]MARCH 2022'!E122</f>
        <v>0</v>
      </c>
      <c r="F382" s="24">
        <f>'[1]MARCH 2022'!F122</f>
        <v>0</v>
      </c>
      <c r="G382" s="4"/>
      <c r="H382" s="4"/>
    </row>
    <row r="383" spans="1:8" x14ac:dyDescent="0.2">
      <c r="A383" s="20">
        <f>'[1]MARCH 2022'!A123</f>
        <v>44638</v>
      </c>
      <c r="B383" s="20" t="str">
        <f>'[1]MARCH 2022'!B123</f>
        <v>LM</v>
      </c>
      <c r="C383" s="21">
        <f>'[1]MARCH 2022'!C123</f>
        <v>0</v>
      </c>
      <c r="D383" s="21">
        <f>'[1]MARCH 2022'!D123</f>
        <v>460</v>
      </c>
      <c r="E383" s="21">
        <f>'[1]MARCH 2022'!E123</f>
        <v>0</v>
      </c>
      <c r="F383" s="21">
        <f>'[1]MARCH 2022'!F123</f>
        <v>0</v>
      </c>
      <c r="G383" s="4"/>
      <c r="H383" s="22"/>
    </row>
    <row r="384" spans="1:8" x14ac:dyDescent="0.2">
      <c r="A384" s="23">
        <f>'[1]MARCH 2022'!A124</f>
        <v>44638</v>
      </c>
      <c r="B384" s="23" t="str">
        <f>'[1]MARCH 2022'!B124</f>
        <v>Party</v>
      </c>
      <c r="C384" s="24">
        <f>'[1]MARCH 2022'!C124</f>
        <v>0</v>
      </c>
      <c r="D384" s="24">
        <f>'[1]MARCH 2022'!D124</f>
        <v>2795</v>
      </c>
      <c r="E384" s="24">
        <f>'[1]MARCH 2022'!E124</f>
        <v>0</v>
      </c>
      <c r="F384" s="24">
        <f>'[1]MARCH 2022'!F124</f>
        <v>0</v>
      </c>
      <c r="G384" s="4"/>
      <c r="H384" s="4"/>
    </row>
    <row r="385" spans="1:8" x14ac:dyDescent="0.2">
      <c r="A385" s="23">
        <f>'[1]MARCH 2022'!A128</f>
        <v>44639</v>
      </c>
      <c r="B385" s="23" t="str">
        <f>'[1]MARCH 2022'!B128</f>
        <v>Party</v>
      </c>
      <c r="C385" s="24">
        <f>'[1]MARCH 2022'!C128</f>
        <v>0</v>
      </c>
      <c r="D385" s="24">
        <f>'[1]MARCH 2022'!D128</f>
        <v>968.38000000000011</v>
      </c>
      <c r="E385" s="24">
        <f>'[1]MARCH 2022'!E128</f>
        <v>0</v>
      </c>
      <c r="F385" s="24">
        <f>'[1]MARCH 2022'!F128</f>
        <v>0</v>
      </c>
      <c r="G385" s="4"/>
      <c r="H385" s="4"/>
    </row>
    <row r="386" spans="1:8" x14ac:dyDescent="0.2">
      <c r="A386" s="20">
        <f>'[1]MARCH 2022'!A135</f>
        <v>44640</v>
      </c>
      <c r="B386" s="20" t="str">
        <f>'[1]MARCH 2022'!B135</f>
        <v>for me</v>
      </c>
      <c r="C386" s="21">
        <f>'[1]MARCH 2022'!C135</f>
        <v>0</v>
      </c>
      <c r="D386" s="21">
        <f>'[1]MARCH 2022'!D135</f>
        <v>600</v>
      </c>
      <c r="E386" s="21">
        <f>'[1]MARCH 2022'!E135</f>
        <v>0</v>
      </c>
      <c r="F386" s="21">
        <f>'[1]MARCH 2022'!F135</f>
        <v>0</v>
      </c>
      <c r="G386" s="4"/>
      <c r="H386" s="22"/>
    </row>
    <row r="387" spans="1:8" x14ac:dyDescent="0.2">
      <c r="A387" s="23">
        <f>'[1]MARCH 2022'!A136</f>
        <v>44640</v>
      </c>
      <c r="B387" s="23" t="str">
        <f>'[1]MARCH 2022'!B136</f>
        <v>LM</v>
      </c>
      <c r="C387" s="24">
        <f>'[1]MARCH 2022'!C136</f>
        <v>0</v>
      </c>
      <c r="D387" s="24">
        <f>'[1]MARCH 2022'!D136</f>
        <v>810.02</v>
      </c>
      <c r="E387" s="24">
        <f>'[1]MARCH 2022'!E136</f>
        <v>0</v>
      </c>
      <c r="F387" s="24">
        <f>'[1]MARCH 2022'!F136</f>
        <v>0</v>
      </c>
      <c r="G387" s="4"/>
      <c r="H387" s="4"/>
    </row>
    <row r="388" spans="1:8" x14ac:dyDescent="0.2">
      <c r="A388" s="20">
        <f>'[1]MARCH 2022'!A137</f>
        <v>44640</v>
      </c>
      <c r="B388" s="20" t="str">
        <f>'[1]MARCH 2022'!B137</f>
        <v>none</v>
      </c>
      <c r="C388" s="21">
        <f>'[1]MARCH 2022'!C137</f>
        <v>0</v>
      </c>
      <c r="D388" s="21">
        <f>'[1]MARCH 2022'!D137</f>
        <v>774.09</v>
      </c>
      <c r="E388" s="21">
        <f>'[1]MARCH 2022'!E137</f>
        <v>800</v>
      </c>
      <c r="F388" s="21">
        <f>'[1]MARCH 2022'!F137</f>
        <v>0</v>
      </c>
      <c r="G388" s="4"/>
      <c r="H388" s="22"/>
    </row>
    <row r="389" spans="1:8" x14ac:dyDescent="0.2">
      <c r="A389" s="23">
        <f>'[1]MARCH 2022'!A142</f>
        <v>44641</v>
      </c>
      <c r="B389" s="23" t="str">
        <f>'[1]MARCH 2022'!B142</f>
        <v>LM</v>
      </c>
      <c r="C389" s="24">
        <f>'[1]MARCH 2022'!C142</f>
        <v>0</v>
      </c>
      <c r="D389" s="24">
        <f>'[1]MARCH 2022'!D142</f>
        <v>445</v>
      </c>
      <c r="E389" s="24">
        <f>'[1]MARCH 2022'!E142</f>
        <v>0</v>
      </c>
      <c r="F389" s="24">
        <f>'[1]MARCH 2022'!F142</f>
        <v>0</v>
      </c>
      <c r="G389" s="4"/>
      <c r="H389" s="4"/>
    </row>
    <row r="390" spans="1:8" x14ac:dyDescent="0.2">
      <c r="A390" s="20">
        <f>'[1]MARCH 2022'!A149</f>
        <v>44642</v>
      </c>
      <c r="B390" s="20" t="str">
        <f>'[1]MARCH 2022'!B149</f>
        <v>Rauchen</v>
      </c>
      <c r="C390" s="21">
        <f>'[1]MARCH 2022'!C149</f>
        <v>0</v>
      </c>
      <c r="D390" s="21">
        <f>'[1]MARCH 2022'!D149</f>
        <v>160</v>
      </c>
      <c r="E390" s="21">
        <f>'[1]MARCH 2022'!E149</f>
        <v>0</v>
      </c>
      <c r="F390" s="21">
        <f>'[1]MARCH 2022'!F149</f>
        <v>0</v>
      </c>
      <c r="G390" s="4"/>
      <c r="H390" s="22"/>
    </row>
    <row r="391" spans="1:8" x14ac:dyDescent="0.2">
      <c r="A391" s="23">
        <f>'[1]MARCH 2022'!A150</f>
        <v>44642</v>
      </c>
      <c r="B391" s="23" t="str">
        <f>'[1]MARCH 2022'!B150</f>
        <v>LM</v>
      </c>
      <c r="C391" s="24">
        <f>'[1]MARCH 2022'!C150</f>
        <v>0</v>
      </c>
      <c r="D391" s="24">
        <f>'[1]MARCH 2022'!D150</f>
        <v>450</v>
      </c>
      <c r="E391" s="24">
        <f>'[1]MARCH 2022'!E150</f>
        <v>0</v>
      </c>
      <c r="F391" s="24">
        <f>'[1]MARCH 2022'!F150</f>
        <v>0</v>
      </c>
      <c r="G391" s="4"/>
      <c r="H391" s="4"/>
    </row>
    <row r="392" spans="1:8" x14ac:dyDescent="0.2">
      <c r="A392" s="20">
        <f>'[1]MARCH 2022'!A151</f>
        <v>44642</v>
      </c>
      <c r="B392" s="20" t="str">
        <f>'[1]MARCH 2022'!B151</f>
        <v>none</v>
      </c>
      <c r="C392" s="21">
        <f>'[1]MARCH 2022'!C151</f>
        <v>130</v>
      </c>
      <c r="D392" s="21">
        <f>'[1]MARCH 2022'!D151</f>
        <v>122</v>
      </c>
      <c r="E392" s="21">
        <f>'[1]MARCH 2022'!E151</f>
        <v>0</v>
      </c>
      <c r="F392" s="21">
        <f>'[1]MARCH 2022'!F151</f>
        <v>0</v>
      </c>
      <c r="G392" s="4"/>
      <c r="H392" s="22"/>
    </row>
    <row r="393" spans="1:8" x14ac:dyDescent="0.2">
      <c r="A393" s="23">
        <f>'[1]MARCH 2022'!A156</f>
        <v>44643</v>
      </c>
      <c r="B393" s="23" t="str">
        <f>'[1]MARCH 2022'!B156</f>
        <v>LM</v>
      </c>
      <c r="C393" s="24">
        <f>'[1]MARCH 2022'!C156</f>
        <v>0</v>
      </c>
      <c r="D393" s="24">
        <f>'[1]MARCH 2022'!D156</f>
        <v>810.69</v>
      </c>
      <c r="E393" s="24">
        <f>'[1]MARCH 2022'!E156</f>
        <v>0</v>
      </c>
      <c r="F393" s="24">
        <f>'[1]MARCH 2022'!F156</f>
        <v>0</v>
      </c>
      <c r="G393" s="4"/>
      <c r="H393" s="4"/>
    </row>
    <row r="394" spans="1:8" x14ac:dyDescent="0.2">
      <c r="A394" s="20">
        <f>'[1]MARCH 2022'!A163</f>
        <v>44644</v>
      </c>
      <c r="B394" s="20" t="str">
        <f>'[1]MARCH 2022'!B163</f>
        <v>LM</v>
      </c>
      <c r="C394" s="21">
        <f>'[1]MARCH 2022'!C163</f>
        <v>0</v>
      </c>
      <c r="D394" s="21">
        <f>'[1]MARCH 2022'!D163</f>
        <v>215</v>
      </c>
      <c r="E394" s="21">
        <f>'[1]MARCH 2022'!E163</f>
        <v>0</v>
      </c>
      <c r="F394" s="21">
        <f>'[1]MARCH 2022'!F163</f>
        <v>0</v>
      </c>
      <c r="G394" s="4"/>
      <c r="H394" s="22"/>
    </row>
    <row r="395" spans="1:8" x14ac:dyDescent="0.2">
      <c r="A395" s="23">
        <f>'[1]MARCH 2022'!A164</f>
        <v>44644</v>
      </c>
      <c r="B395" s="23" t="str">
        <f>'[1]MARCH 2022'!B164</f>
        <v>Refill</v>
      </c>
      <c r="C395" s="24">
        <f>'[1]MARCH 2022'!C164</f>
        <v>32743.360000000001</v>
      </c>
      <c r="D395" s="24">
        <f>'[1]MARCH 2022'!D164</f>
        <v>0</v>
      </c>
      <c r="E395" s="24">
        <f>'[1]MARCH 2022'!E164</f>
        <v>0</v>
      </c>
      <c r="F395" s="24">
        <f>'[1]MARCH 2022'!F164</f>
        <v>0</v>
      </c>
      <c r="G395" s="4"/>
      <c r="H395" s="4"/>
    </row>
    <row r="396" spans="1:8" x14ac:dyDescent="0.2">
      <c r="A396" s="20">
        <f>'[1]MARCH 2022'!A165</f>
        <v>44644</v>
      </c>
      <c r="B396" s="20" t="str">
        <f>'[1]MARCH 2022'!B165</f>
        <v>VM</v>
      </c>
      <c r="C396" s="21">
        <f>'[1]MARCH 2022'!C165</f>
        <v>0</v>
      </c>
      <c r="D396" s="21">
        <f>'[1]MARCH 2022'!D165</f>
        <v>0</v>
      </c>
      <c r="E396" s="21">
        <f>'[1]MARCH 2022'!E165</f>
        <v>0</v>
      </c>
      <c r="F396" s="21">
        <f>'[1]MARCH 2022'!F165</f>
        <v>300</v>
      </c>
      <c r="G396" s="4"/>
      <c r="H396" s="22"/>
    </row>
    <row r="397" spans="1:8" x14ac:dyDescent="0.2">
      <c r="A397" s="23">
        <f>'[1]MARCH 2022'!A170</f>
        <v>44645</v>
      </c>
      <c r="B397" s="23" t="str">
        <f>'[1]MARCH 2022'!B170</f>
        <v>Rauchen</v>
      </c>
      <c r="C397" s="24">
        <f>'[1]MARCH 2022'!C170</f>
        <v>0</v>
      </c>
      <c r="D397" s="24">
        <f>'[1]MARCH 2022'!D170</f>
        <v>160</v>
      </c>
      <c r="E397" s="24">
        <f>'[1]MARCH 2022'!E170</f>
        <v>0</v>
      </c>
      <c r="F397" s="24">
        <f>'[1]MARCH 2022'!F170</f>
        <v>0</v>
      </c>
      <c r="G397" s="4"/>
      <c r="H397" s="4"/>
    </row>
    <row r="398" spans="1:8" x14ac:dyDescent="0.2">
      <c r="A398" s="20">
        <f>'[1]MARCH 2022'!A171</f>
        <v>44645</v>
      </c>
      <c r="B398" s="20" t="str">
        <f>'[1]MARCH 2022'!B171</f>
        <v>LM</v>
      </c>
      <c r="C398" s="21">
        <f>'[1]MARCH 2022'!C171</f>
        <v>0</v>
      </c>
      <c r="D398" s="21">
        <f>'[1]MARCH 2022'!D171</f>
        <v>499</v>
      </c>
      <c r="E398" s="21">
        <f>'[1]MARCH 2022'!E171</f>
        <v>0</v>
      </c>
      <c r="F398" s="21">
        <f>'[1]MARCH 2022'!F171</f>
        <v>0</v>
      </c>
      <c r="G398" s="4"/>
      <c r="H398" s="22"/>
    </row>
    <row r="399" spans="1:8" x14ac:dyDescent="0.2">
      <c r="A399" s="23">
        <f>'[1]MARCH 2022'!A172</f>
        <v>44645</v>
      </c>
      <c r="B399" s="23" t="str">
        <f>'[1]MARCH 2022'!B172</f>
        <v>Party</v>
      </c>
      <c r="C399" s="24">
        <f>'[1]MARCH 2022'!C172</f>
        <v>0</v>
      </c>
      <c r="D399" s="24">
        <f>'[1]MARCH 2022'!D172</f>
        <v>5139.3500000000004</v>
      </c>
      <c r="E399" s="24">
        <f>'[1]MARCH 2022'!E172</f>
        <v>0</v>
      </c>
      <c r="F399" s="24">
        <f>'[1]MARCH 2022'!F172</f>
        <v>0</v>
      </c>
      <c r="G399" s="4"/>
      <c r="H399" s="4"/>
    </row>
    <row r="400" spans="1:8" x14ac:dyDescent="0.2">
      <c r="A400" s="20">
        <f>'[1]MARCH 2022'!A173</f>
        <v>44645</v>
      </c>
      <c r="B400" s="20" t="str">
        <f>'[1]MARCH 2022'!B173</f>
        <v>Party</v>
      </c>
      <c r="C400" s="21">
        <f>'[1]MARCH 2022'!C173</f>
        <v>0</v>
      </c>
      <c r="D400" s="21">
        <f>'[1]MARCH 2022'!D173</f>
        <v>2650</v>
      </c>
      <c r="E400" s="21">
        <f>'[1]MARCH 2022'!E173</f>
        <v>0</v>
      </c>
      <c r="F400" s="21">
        <f>'[1]MARCH 2022'!F173</f>
        <v>200</v>
      </c>
      <c r="G400" s="4"/>
      <c r="H400" s="22"/>
    </row>
    <row r="401" spans="1:8" x14ac:dyDescent="0.2">
      <c r="A401" s="23">
        <f>'[1]MARCH 2022'!A174</f>
        <v>44645</v>
      </c>
      <c r="B401" s="23" t="str">
        <f>'[1]MARCH 2022'!B174</f>
        <v>none</v>
      </c>
      <c r="C401" s="24">
        <f>'[1]MARCH 2022'!C174</f>
        <v>0</v>
      </c>
      <c r="D401" s="24">
        <f>'[1]MARCH 2022'!D174</f>
        <v>800</v>
      </c>
      <c r="E401" s="24">
        <f>'[1]MARCH 2022'!E174</f>
        <v>800</v>
      </c>
      <c r="F401" s="24">
        <f>'[1]MARCH 2022'!F174</f>
        <v>0</v>
      </c>
      <c r="G401" s="4"/>
      <c r="H401" s="4"/>
    </row>
    <row r="402" spans="1:8" x14ac:dyDescent="0.2">
      <c r="A402" s="20">
        <f>'[1]MARCH 2022'!A175</f>
        <v>44645</v>
      </c>
      <c r="B402" s="20" t="str">
        <f>'[1]MARCH 2022'!B175</f>
        <v>none</v>
      </c>
      <c r="C402" s="21">
        <f>'[1]MARCH 2022'!C175</f>
        <v>0</v>
      </c>
      <c r="D402" s="21">
        <f>'[1]MARCH 2022'!D175</f>
        <v>3542</v>
      </c>
      <c r="E402" s="21">
        <f>'[1]MARCH 2022'!E175</f>
        <v>3542</v>
      </c>
      <c r="F402" s="21">
        <f>'[1]MARCH 2022'!F175</f>
        <v>0</v>
      </c>
      <c r="G402" s="4"/>
      <c r="H402" s="22"/>
    </row>
    <row r="403" spans="1:8" x14ac:dyDescent="0.2">
      <c r="A403" s="20">
        <f>'[1]MARCH 2022'!A177</f>
        <v>44646</v>
      </c>
      <c r="B403" s="20" t="str">
        <f>'[1]MARCH 2022'!B177</f>
        <v>Andere</v>
      </c>
      <c r="C403" s="21">
        <f>'[1]MARCH 2022'!C177</f>
        <v>0</v>
      </c>
      <c r="D403" s="21">
        <f>'[1]MARCH 2022'!D177</f>
        <v>500</v>
      </c>
      <c r="E403" s="21">
        <f>'[1]MARCH 2022'!E177</f>
        <v>0</v>
      </c>
      <c r="F403" s="21">
        <f>'[1]MARCH 2022'!F177</f>
        <v>0</v>
      </c>
      <c r="G403" s="4"/>
      <c r="H403" s="22"/>
    </row>
    <row r="404" spans="1:8" x14ac:dyDescent="0.2">
      <c r="A404" s="23">
        <f>'[1]MARCH 2022'!A184</f>
        <v>44647</v>
      </c>
      <c r="B404" s="23" t="str">
        <f>'[1]MARCH 2022'!B184</f>
        <v>LM</v>
      </c>
      <c r="C404" s="24">
        <f>'[1]MARCH 2022'!C184</f>
        <v>250</v>
      </c>
      <c r="D404" s="24">
        <f>'[1]MARCH 2022'!D184</f>
        <v>371.35</v>
      </c>
      <c r="E404" s="24">
        <f>'[1]MARCH 2022'!E184</f>
        <v>0</v>
      </c>
      <c r="F404" s="24">
        <f>'[1]MARCH 2022'!F184</f>
        <v>0</v>
      </c>
      <c r="G404" s="4"/>
      <c r="H404" s="4"/>
    </row>
    <row r="405" spans="1:8" x14ac:dyDescent="0.2">
      <c r="A405" s="20">
        <f>'[1]MARCH 2022'!A185</f>
        <v>44647</v>
      </c>
      <c r="B405" s="20" t="str">
        <f>'[1]MARCH 2022'!B185</f>
        <v>LM</v>
      </c>
      <c r="C405" s="21">
        <f>'[1]MARCH 2022'!C185</f>
        <v>0</v>
      </c>
      <c r="D405" s="21">
        <f>'[1]MARCH 2022'!D185</f>
        <v>327</v>
      </c>
      <c r="E405" s="21">
        <f>'[1]MARCH 2022'!E185</f>
        <v>0</v>
      </c>
      <c r="F405" s="21">
        <f>'[1]MARCH 2022'!F185</f>
        <v>0</v>
      </c>
      <c r="G405" s="4"/>
      <c r="H405" s="22"/>
    </row>
    <row r="406" spans="1:8" x14ac:dyDescent="0.2">
      <c r="A406" s="23">
        <f>'[1]MARCH 2022'!A186</f>
        <v>44647</v>
      </c>
      <c r="B406" s="23" t="str">
        <f>'[1]MARCH 2022'!B186</f>
        <v>LM</v>
      </c>
      <c r="C406" s="24">
        <f>'[1]MARCH 2022'!C186</f>
        <v>0</v>
      </c>
      <c r="D406" s="24">
        <f>'[1]MARCH 2022'!D186</f>
        <v>0</v>
      </c>
      <c r="E406" s="24">
        <f>'[1]MARCH 2022'!E186</f>
        <v>0</v>
      </c>
      <c r="F406" s="24">
        <f>'[1]MARCH 2022'!F186</f>
        <v>370</v>
      </c>
      <c r="G406" s="4"/>
      <c r="H406" s="4"/>
    </row>
    <row r="407" spans="1:8" x14ac:dyDescent="0.2">
      <c r="A407" s="20">
        <f>'[1]MARCH 2022'!A191</f>
        <v>44648</v>
      </c>
      <c r="B407" s="20" t="str">
        <f>'[1]MARCH 2022'!B191</f>
        <v>Party</v>
      </c>
      <c r="C407" s="21">
        <f>'[1]MARCH 2022'!C191</f>
        <v>0</v>
      </c>
      <c r="D407" s="21">
        <f>'[1]MARCH 2022'!D191</f>
        <v>200</v>
      </c>
      <c r="E407" s="21">
        <f>'[1]MARCH 2022'!E191</f>
        <v>0</v>
      </c>
      <c r="F407" s="21">
        <f>'[1]MARCH 2022'!F191</f>
        <v>0</v>
      </c>
      <c r="G407" s="4"/>
      <c r="H407" s="22"/>
    </row>
    <row r="408" spans="1:8" x14ac:dyDescent="0.2">
      <c r="A408" s="23">
        <f>'[1]MARCH 2022'!A192</f>
        <v>44648</v>
      </c>
      <c r="B408" s="23" t="str">
        <f>'[1]MARCH 2022'!B192</f>
        <v>Education</v>
      </c>
      <c r="C408" s="24">
        <f>'[1]MARCH 2022'!C192</f>
        <v>0</v>
      </c>
      <c r="D408" s="24">
        <f>'[1]MARCH 2022'!D192</f>
        <v>769</v>
      </c>
      <c r="E408" s="24">
        <f>'[1]MARCH 2022'!E192</f>
        <v>0</v>
      </c>
      <c r="F408" s="24">
        <f>'[1]MARCH 2022'!F192</f>
        <v>0</v>
      </c>
      <c r="G408" s="4"/>
      <c r="H408" s="4"/>
    </row>
    <row r="409" spans="1:8" x14ac:dyDescent="0.2">
      <c r="A409" s="23">
        <f>'[1]MARCH 2022'!A198</f>
        <v>44649</v>
      </c>
      <c r="B409" s="23" t="str">
        <f>'[1]MARCH 2022'!B198</f>
        <v>Andere</v>
      </c>
      <c r="C409" s="24">
        <f>'[1]MARCH 2022'!C198</f>
        <v>0</v>
      </c>
      <c r="D409" s="24">
        <f>'[1]MARCH 2022'!D198</f>
        <v>7000</v>
      </c>
      <c r="E409" s="24">
        <f>'[1]MARCH 2022'!E198</f>
        <v>7000</v>
      </c>
      <c r="F409" s="24">
        <f>'[1]MARCH 2022'!F198</f>
        <v>11950.32</v>
      </c>
      <c r="G409" s="4"/>
      <c r="H409" s="4"/>
    </row>
    <row r="410" spans="1:8" x14ac:dyDescent="0.2">
      <c r="A410" s="20">
        <f>'[1]MARCH 2022'!A205</f>
        <v>44650</v>
      </c>
      <c r="B410" s="20" t="str">
        <f>'[1]MARCH 2022'!B205</f>
        <v>LM</v>
      </c>
      <c r="C410" s="21">
        <f>'[1]MARCH 2022'!C205</f>
        <v>0</v>
      </c>
      <c r="D410" s="21">
        <f>'[1]MARCH 2022'!D205</f>
        <v>500</v>
      </c>
      <c r="E410" s="21">
        <f>'[1]MARCH 2022'!E205</f>
        <v>0</v>
      </c>
      <c r="F410" s="21">
        <f>'[1]MARCH 2022'!F205</f>
        <v>0</v>
      </c>
      <c r="G410" s="4"/>
      <c r="H410" s="22"/>
    </row>
    <row r="411" spans="1:8" x14ac:dyDescent="0.2">
      <c r="A411" s="23">
        <f>'[1]MARCH 2022'!A212</f>
        <v>44651</v>
      </c>
      <c r="B411" s="23" t="str">
        <f>'[1]MARCH 2022'!B212</f>
        <v>Refill</v>
      </c>
      <c r="C411" s="24">
        <f>'[1]MARCH 2022'!C212</f>
        <v>273.97000000000003</v>
      </c>
      <c r="D411" s="24">
        <f>'[1]MARCH 2022'!D212</f>
        <v>0</v>
      </c>
      <c r="E411" s="24">
        <f>'[1]MARCH 2022'!E212</f>
        <v>0</v>
      </c>
      <c r="F411" s="24">
        <f>'[1]MARCH 2022'!F212</f>
        <v>0</v>
      </c>
      <c r="G411" s="4"/>
      <c r="H411" s="4"/>
    </row>
    <row r="412" spans="1:8" x14ac:dyDescent="0.2">
      <c r="A412" s="20">
        <f>'[1]MARCH 2022'!A213</f>
        <v>44651</v>
      </c>
      <c r="B412" s="20" t="str">
        <f>'[1]MARCH 2022'!B213</f>
        <v>Refill</v>
      </c>
      <c r="C412" s="21">
        <f>'[1]MARCH 2022'!C213</f>
        <v>1095.8900000000001</v>
      </c>
      <c r="D412" s="21">
        <f>'[1]MARCH 2022'!D213</f>
        <v>0</v>
      </c>
      <c r="E412" s="21">
        <f>'[1]MARCH 2022'!E213</f>
        <v>0</v>
      </c>
      <c r="F412" s="21">
        <f>'[1]MARCH 2022'!F213</f>
        <v>0</v>
      </c>
      <c r="G412" s="4"/>
      <c r="H412" s="22"/>
    </row>
    <row r="413" spans="1:8" x14ac:dyDescent="0.2">
      <c r="A413" s="23">
        <f>'[1]MARCH 2022'!A214</f>
        <v>44651</v>
      </c>
      <c r="B413" s="23" t="str">
        <f>'[1]MARCH 2022'!B214</f>
        <v>Refill</v>
      </c>
      <c r="C413" s="24">
        <f>'[1]MARCH 2022'!C214</f>
        <v>217.35</v>
      </c>
      <c r="D413" s="24">
        <f>'[1]MARCH 2022'!D214</f>
        <v>0</v>
      </c>
      <c r="E413" s="24">
        <f>'[1]MARCH 2022'!E214</f>
        <v>0</v>
      </c>
      <c r="F413" s="24">
        <f>'[1]MARCH 2022'!F214</f>
        <v>0</v>
      </c>
      <c r="G413" s="4"/>
      <c r="H413" s="4"/>
    </row>
    <row r="414" spans="1:8" x14ac:dyDescent="0.2">
      <c r="A414" s="20">
        <f>'[1]MARCH 2022'!A215</f>
        <v>44651</v>
      </c>
      <c r="B414" s="20" t="str">
        <f>'[1]MARCH 2022'!B215</f>
        <v>Andere</v>
      </c>
      <c r="C414" s="21">
        <f>'[1]MARCH 2022'!C215</f>
        <v>0</v>
      </c>
      <c r="D414" s="21">
        <f>'[1]MARCH 2022'!D215</f>
        <v>510</v>
      </c>
      <c r="E414" s="21">
        <f>'[1]MARCH 2022'!E215</f>
        <v>0</v>
      </c>
      <c r="F414" s="21">
        <f>'[1]MARCH 2022'!F215</f>
        <v>0</v>
      </c>
      <c r="G414" s="4"/>
      <c r="H414" s="22"/>
    </row>
    <row r="415" spans="1:8" x14ac:dyDescent="0.2">
      <c r="A415" s="23">
        <f>'[1]MARCH 2022'!A216</f>
        <v>44651</v>
      </c>
      <c r="B415" s="23" t="str">
        <f>'[1]MARCH 2022'!B216</f>
        <v>VM</v>
      </c>
      <c r="C415" s="24">
        <f>'[1]MARCH 2022'!C216</f>
        <v>0</v>
      </c>
      <c r="D415" s="24">
        <f>'[1]MARCH 2022'!D216</f>
        <v>0</v>
      </c>
      <c r="E415" s="24">
        <f>'[1]MARCH 2022'!E216</f>
        <v>0</v>
      </c>
      <c r="F415" s="24">
        <f>'[1]MARCH 2022'!F216</f>
        <v>285</v>
      </c>
      <c r="G415" s="4"/>
      <c r="H415" s="4"/>
    </row>
    <row r="416" spans="1:8" x14ac:dyDescent="0.2">
      <c r="A416" s="20">
        <f>'[1]APRIL 2022 '!A2</f>
        <v>44652</v>
      </c>
      <c r="B416" s="20" t="str">
        <f>'[1]APRIL 2022 '!B2</f>
        <v>LM</v>
      </c>
      <c r="C416" s="21">
        <f>'[1]APRIL 2022 '!C2</f>
        <v>0</v>
      </c>
      <c r="D416" s="21">
        <f>'[1]APRIL 2022 '!D2</f>
        <v>677</v>
      </c>
      <c r="E416" s="21">
        <f>'[1]APRIL 2022 '!E2</f>
        <v>0</v>
      </c>
      <c r="F416" s="21">
        <f>'[1]APRIL 2022 '!F2</f>
        <v>0</v>
      </c>
      <c r="G416" s="4"/>
      <c r="H416" s="22"/>
    </row>
    <row r="417" spans="1:8" x14ac:dyDescent="0.2">
      <c r="A417" s="23">
        <f>'[1]APRIL 2022 '!A3</f>
        <v>44652</v>
      </c>
      <c r="B417" s="23" t="str">
        <f>'[1]APRIL 2022 '!B3</f>
        <v>VM</v>
      </c>
      <c r="C417" s="24">
        <f>'[1]APRIL 2022 '!C3</f>
        <v>0</v>
      </c>
      <c r="D417" s="24">
        <f>'[1]APRIL 2022 '!D3</f>
        <v>435</v>
      </c>
      <c r="E417" s="24">
        <f>'[1]APRIL 2022 '!E3</f>
        <v>0</v>
      </c>
      <c r="F417" s="24">
        <f>'[1]APRIL 2022 '!F3</f>
        <v>0</v>
      </c>
      <c r="G417" s="4"/>
      <c r="H417" s="4"/>
    </row>
    <row r="418" spans="1:8" x14ac:dyDescent="0.2">
      <c r="A418" s="20">
        <f>'[1]APRIL 2022 '!A4</f>
        <v>44652</v>
      </c>
      <c r="B418" s="20" t="str">
        <f>'[1]APRIL 2022 '!B4</f>
        <v>LM</v>
      </c>
      <c r="C418" s="21">
        <f>'[1]APRIL 2022 '!C4</f>
        <v>0</v>
      </c>
      <c r="D418" s="21">
        <f>'[1]APRIL 2022 '!D4</f>
        <v>925</v>
      </c>
      <c r="E418" s="21">
        <f>'[1]APRIL 2022 '!E4</f>
        <v>0</v>
      </c>
      <c r="F418" s="21">
        <f>'[1]APRIL 2022 '!F4</f>
        <v>0</v>
      </c>
      <c r="G418" s="4"/>
      <c r="H418" s="22"/>
    </row>
    <row r="419" spans="1:8" x14ac:dyDescent="0.2">
      <c r="A419" s="23">
        <f>'[1]APRIL 2022 '!A5</f>
        <v>44652</v>
      </c>
      <c r="B419" s="23" t="str">
        <f>'[1]APRIL 2022 '!B5</f>
        <v>Party</v>
      </c>
      <c r="C419" s="24">
        <f>'[1]APRIL 2022 '!C5</f>
        <v>0</v>
      </c>
      <c r="D419" s="24">
        <f>'[1]APRIL 2022 '!D5</f>
        <v>1170</v>
      </c>
      <c r="E419" s="24">
        <f>'[1]APRIL 2022 '!E5</f>
        <v>0</v>
      </c>
      <c r="F419" s="24">
        <f>'[1]APRIL 2022 '!F5</f>
        <v>0</v>
      </c>
      <c r="G419" s="4"/>
      <c r="H419" s="4"/>
    </row>
    <row r="420" spans="1:8" x14ac:dyDescent="0.2">
      <c r="A420" s="20">
        <f>'[1]APRIL 2022 '!A6</f>
        <v>44652</v>
      </c>
      <c r="B420" s="20" t="str">
        <f>'[1]APRIL 2022 '!B6</f>
        <v>Rauchen</v>
      </c>
      <c r="C420" s="21">
        <f>'[1]APRIL 2022 '!C6</f>
        <v>0</v>
      </c>
      <c r="D420" s="21">
        <f>'[1]APRIL 2022 '!D6</f>
        <v>150</v>
      </c>
      <c r="E420" s="21">
        <f>'[1]APRIL 2022 '!E6</f>
        <v>0</v>
      </c>
      <c r="F420" s="21">
        <f>'[1]APRIL 2022 '!F6</f>
        <v>0</v>
      </c>
      <c r="G420" s="4"/>
      <c r="H420" s="22"/>
    </row>
    <row r="421" spans="1:8" x14ac:dyDescent="0.2">
      <c r="A421" s="23">
        <f>'[1]APRIL 2022 '!A7</f>
        <v>44652</v>
      </c>
      <c r="B421" s="23" t="str">
        <f>'[1]APRIL 2022 '!B7</f>
        <v>VM</v>
      </c>
      <c r="C421" s="24">
        <f>'[1]APRIL 2022 '!C7</f>
        <v>0</v>
      </c>
      <c r="D421" s="24">
        <f>'[1]APRIL 2022 '!D7</f>
        <v>2233</v>
      </c>
      <c r="E421" s="24">
        <f>'[1]APRIL 2022 '!E7</f>
        <v>0</v>
      </c>
      <c r="F421" s="24">
        <f>'[1]APRIL 2022 '!F7</f>
        <v>0</v>
      </c>
      <c r="G421" s="4"/>
      <c r="H421" s="4"/>
    </row>
    <row r="422" spans="1:8" x14ac:dyDescent="0.2">
      <c r="A422" s="20">
        <f>'[1]APRIL 2022 '!A8</f>
        <v>44652</v>
      </c>
      <c r="B422" s="20" t="str">
        <f>'[1]APRIL 2022 '!B8</f>
        <v>none</v>
      </c>
      <c r="C422" s="21">
        <f>'[1]APRIL 2022 '!C8</f>
        <v>0</v>
      </c>
      <c r="D422" s="21">
        <f>'[1]APRIL 2022 '!D8</f>
        <v>300</v>
      </c>
      <c r="E422" s="21">
        <f>'[1]APRIL 2022 '!E8</f>
        <v>300</v>
      </c>
      <c r="F422" s="21">
        <f>'[1]APRIL 2022 '!F8</f>
        <v>0</v>
      </c>
      <c r="G422" s="4"/>
      <c r="H422" s="22"/>
    </row>
    <row r="423" spans="1:8" x14ac:dyDescent="0.2">
      <c r="A423" s="23">
        <f>'[1]APRIL 2022 '!A9</f>
        <v>44653</v>
      </c>
      <c r="B423" s="23" t="str">
        <f>'[1]APRIL 2022 '!B9</f>
        <v>Party</v>
      </c>
      <c r="C423" s="24">
        <f>'[1]APRIL 2022 '!C9</f>
        <v>0</v>
      </c>
      <c r="D423" s="24">
        <f>'[1]APRIL 2022 '!D9</f>
        <v>4940</v>
      </c>
      <c r="E423" s="24">
        <f>'[1]APRIL 2022 '!E9</f>
        <v>0</v>
      </c>
      <c r="F423" s="24">
        <f>'[1]APRIL 2022 '!F9</f>
        <v>0</v>
      </c>
      <c r="G423" s="4"/>
      <c r="H423" s="4"/>
    </row>
    <row r="424" spans="1:8" x14ac:dyDescent="0.2">
      <c r="A424" s="23">
        <f>'[1]APRIL 2022 '!A23</f>
        <v>44655</v>
      </c>
      <c r="B424" s="23" t="str">
        <f>'[1]APRIL 2022 '!B23</f>
        <v>LM</v>
      </c>
      <c r="C424" s="24">
        <f>'[1]APRIL 2022 '!C23</f>
        <v>0</v>
      </c>
      <c r="D424" s="24">
        <f>'[1]APRIL 2022 '!D23</f>
        <v>580</v>
      </c>
      <c r="E424" s="24">
        <f>'[1]APRIL 2022 '!E23</f>
        <v>0</v>
      </c>
      <c r="F424" s="24">
        <f>'[1]APRIL 2022 '!F23</f>
        <v>0</v>
      </c>
      <c r="G424" s="4"/>
      <c r="H424" s="4"/>
    </row>
    <row r="425" spans="1:8" x14ac:dyDescent="0.2">
      <c r="A425" s="20">
        <f>'[1]APRIL 2022 '!A24</f>
        <v>44655</v>
      </c>
      <c r="B425" s="20" t="str">
        <f>'[1]APRIL 2022 '!B24</f>
        <v>Rauchen</v>
      </c>
      <c r="C425" s="21">
        <f>'[1]APRIL 2022 '!C24</f>
        <v>0</v>
      </c>
      <c r="D425" s="21">
        <f>'[1]APRIL 2022 '!D24</f>
        <v>0</v>
      </c>
      <c r="E425" s="21">
        <f>'[1]APRIL 2022 '!E24</f>
        <v>0</v>
      </c>
      <c r="F425" s="21">
        <f>'[1]APRIL 2022 '!F24</f>
        <v>160</v>
      </c>
      <c r="G425" s="4"/>
      <c r="H425" s="22"/>
    </row>
    <row r="426" spans="1:8" x14ac:dyDescent="0.2">
      <c r="A426" s="20">
        <f>'[1]APRIL 2022 '!A30</f>
        <v>44656</v>
      </c>
      <c r="B426" s="20" t="str">
        <f>'[1]APRIL 2022 '!B30</f>
        <v>LM</v>
      </c>
      <c r="C426" s="21">
        <f>'[1]APRIL 2022 '!C30</f>
        <v>0</v>
      </c>
      <c r="D426" s="21">
        <f>'[1]APRIL 2022 '!D30</f>
        <v>395</v>
      </c>
      <c r="E426" s="21">
        <f>'[1]APRIL 2022 '!E30</f>
        <v>0</v>
      </c>
      <c r="F426" s="21">
        <f>'[1]APRIL 2022 '!F30</f>
        <v>0</v>
      </c>
      <c r="G426" s="4"/>
      <c r="H426" s="22"/>
    </row>
    <row r="427" spans="1:8" x14ac:dyDescent="0.2">
      <c r="A427" s="23">
        <f>'[1]APRIL 2022 '!A31</f>
        <v>44656</v>
      </c>
      <c r="B427" s="23" t="str">
        <f>'[1]APRIL 2022 '!B31</f>
        <v>VM</v>
      </c>
      <c r="C427" s="24">
        <f>'[1]APRIL 2022 '!C31</f>
        <v>0</v>
      </c>
      <c r="D427" s="24">
        <f>'[1]APRIL 2022 '!D31</f>
        <v>0</v>
      </c>
      <c r="E427" s="24">
        <f>'[1]APRIL 2022 '!E31</f>
        <v>0</v>
      </c>
      <c r="F427" s="24">
        <f>'[1]APRIL 2022 '!F31</f>
        <v>300</v>
      </c>
      <c r="G427" s="4"/>
      <c r="H427" s="4"/>
    </row>
    <row r="428" spans="1:8" x14ac:dyDescent="0.2">
      <c r="A428" s="23">
        <f>'[1]APRIL 2022 '!A37</f>
        <v>44657</v>
      </c>
      <c r="B428" s="23" t="str">
        <f>'[1]APRIL 2022 '!B37</f>
        <v>none</v>
      </c>
      <c r="C428" s="24">
        <f>'[1]APRIL 2022 '!C37</f>
        <v>0</v>
      </c>
      <c r="D428" s="24">
        <f>'[1]APRIL 2022 '!D37</f>
        <v>0</v>
      </c>
      <c r="E428" s="24">
        <f>'[1]APRIL 2022 '!E37</f>
        <v>0</v>
      </c>
      <c r="F428" s="24">
        <f>'[1]APRIL 2022 '!F37</f>
        <v>500</v>
      </c>
      <c r="G428" s="4"/>
      <c r="H428" s="4"/>
    </row>
    <row r="429" spans="1:8" x14ac:dyDescent="0.2">
      <c r="A429" s="20">
        <f>'[1]APRIL 2022 '!A38</f>
        <v>44657</v>
      </c>
      <c r="B429" s="20" t="str">
        <f>'[1]APRIL 2022 '!B38</f>
        <v>none</v>
      </c>
      <c r="C429" s="21">
        <f>'[1]APRIL 2022 '!C38</f>
        <v>700</v>
      </c>
      <c r="D429" s="21">
        <f>'[1]APRIL 2022 '!D38</f>
        <v>0</v>
      </c>
      <c r="E429" s="21">
        <f>'[1]APRIL 2022 '!E38</f>
        <v>0</v>
      </c>
      <c r="F429" s="21">
        <f>'[1]APRIL 2022 '!F38</f>
        <v>700</v>
      </c>
      <c r="G429" s="4"/>
      <c r="H429" s="22"/>
    </row>
    <row r="430" spans="1:8" x14ac:dyDescent="0.2">
      <c r="A430" s="23">
        <f>'[1]APRIL 2022 '!A39</f>
        <v>44657</v>
      </c>
      <c r="B430" s="23" t="str">
        <f>'[1]APRIL 2022 '!B39</f>
        <v>Rauchen</v>
      </c>
      <c r="C430" s="24">
        <f>'[1]APRIL 2022 '!C39</f>
        <v>0</v>
      </c>
      <c r="D430" s="24">
        <f>'[1]APRIL 2022 '!D39</f>
        <v>150</v>
      </c>
      <c r="E430" s="24">
        <f>'[1]APRIL 2022 '!E39</f>
        <v>0</v>
      </c>
      <c r="F430" s="24">
        <f>'[1]APRIL 2022 '!F39</f>
        <v>0</v>
      </c>
      <c r="G430" s="4"/>
      <c r="H430" s="4"/>
    </row>
    <row r="431" spans="1:8" x14ac:dyDescent="0.2">
      <c r="A431" s="20">
        <f>'[1]APRIL 2022 '!A40</f>
        <v>44657</v>
      </c>
      <c r="B431" s="20" t="str">
        <f>'[1]APRIL 2022 '!B40</f>
        <v>LM</v>
      </c>
      <c r="C431" s="21">
        <f>'[1]APRIL 2022 '!C40</f>
        <v>0</v>
      </c>
      <c r="D431" s="21">
        <f>'[1]APRIL 2022 '!D40</f>
        <v>1195.6199999999999</v>
      </c>
      <c r="E431" s="21">
        <f>'[1]APRIL 2022 '!E40</f>
        <v>0</v>
      </c>
      <c r="F431" s="21">
        <f>'[1]APRIL 2022 '!F40</f>
        <v>0</v>
      </c>
      <c r="G431" s="4"/>
      <c r="H431" s="22"/>
    </row>
    <row r="432" spans="1:8" x14ac:dyDescent="0.2">
      <c r="A432" s="23">
        <f>'[1]APRIL 2022 '!A41</f>
        <v>44657</v>
      </c>
      <c r="B432" s="23" t="str">
        <f>'[1]APRIL 2022 '!B41</f>
        <v>Party</v>
      </c>
      <c r="C432" s="24">
        <f>'[1]APRIL 2022 '!C41</f>
        <v>0</v>
      </c>
      <c r="D432" s="24">
        <f>'[1]APRIL 2022 '!D41</f>
        <v>825.98</v>
      </c>
      <c r="E432" s="24">
        <f>'[1]APRIL 2022 '!E41</f>
        <v>0</v>
      </c>
      <c r="F432" s="24">
        <f>'[1]APRIL 2022 '!F41</f>
        <v>0</v>
      </c>
      <c r="G432" s="4"/>
      <c r="H432" s="4"/>
    </row>
    <row r="433" spans="1:8" x14ac:dyDescent="0.2">
      <c r="A433" s="20">
        <f>'[1]APRIL 2022 '!A42</f>
        <v>44657</v>
      </c>
      <c r="B433" s="20" t="str">
        <f>'[1]APRIL 2022 '!B42</f>
        <v>VM</v>
      </c>
      <c r="C433" s="21">
        <f>'[1]APRIL 2022 '!C42</f>
        <v>0</v>
      </c>
      <c r="D433" s="21">
        <f>'[1]APRIL 2022 '!D42</f>
        <v>51</v>
      </c>
      <c r="E433" s="21">
        <f>'[1]APRIL 2022 '!E42</f>
        <v>0</v>
      </c>
      <c r="F433" s="21">
        <f>'[1]APRIL 2022 '!F42</f>
        <v>0</v>
      </c>
      <c r="G433" s="4"/>
      <c r="H433" s="22"/>
    </row>
    <row r="434" spans="1:8" x14ac:dyDescent="0.2">
      <c r="A434" s="20">
        <f>'[1]APRIL 2022 '!A44</f>
        <v>44658</v>
      </c>
      <c r="B434" s="20" t="str">
        <f>'[1]APRIL 2022 '!B44</f>
        <v>Refill</v>
      </c>
      <c r="C434" s="21">
        <f>'[1]APRIL 2022 '!C44</f>
        <v>49732.639999999999</v>
      </c>
      <c r="D434" s="21">
        <f>'[1]APRIL 2022 '!D44</f>
        <v>0</v>
      </c>
      <c r="E434" s="21">
        <f>'[1]APRIL 2022 '!E44</f>
        <v>0</v>
      </c>
      <c r="F434" s="21">
        <f>'[1]APRIL 2022 '!F44</f>
        <v>0</v>
      </c>
      <c r="G434" s="4"/>
      <c r="H434" s="22"/>
    </row>
    <row r="435" spans="1:8" x14ac:dyDescent="0.2">
      <c r="A435" s="23">
        <f>'[1]APRIL 2022 '!A51</f>
        <v>44659</v>
      </c>
      <c r="B435" s="23" t="str">
        <f>'[1]APRIL 2022 '!B51</f>
        <v>Andere</v>
      </c>
      <c r="C435" s="24">
        <f>'[1]APRIL 2022 '!C51</f>
        <v>0</v>
      </c>
      <c r="D435" s="24">
        <f>'[1]APRIL 2022 '!D51</f>
        <v>28000</v>
      </c>
      <c r="E435" s="24">
        <f>'[1]APRIL 2022 '!E51</f>
        <v>0</v>
      </c>
      <c r="F435" s="24">
        <f>'[1]APRIL 2022 '!F51</f>
        <v>0</v>
      </c>
      <c r="G435" s="4"/>
      <c r="H435" s="4"/>
    </row>
    <row r="436" spans="1:8" x14ac:dyDescent="0.2">
      <c r="A436" s="20">
        <f>'[1]APRIL 2022 '!A52</f>
        <v>44659</v>
      </c>
      <c r="B436" s="20" t="str">
        <f>'[1]APRIL 2022 '!B52</f>
        <v>LM</v>
      </c>
      <c r="C436" s="21">
        <f>'[1]APRIL 2022 '!C52</f>
        <v>0</v>
      </c>
      <c r="D436" s="21">
        <f>'[1]APRIL 2022 '!D52</f>
        <v>580</v>
      </c>
      <c r="E436" s="21">
        <f>'[1]APRIL 2022 '!E52</f>
        <v>0</v>
      </c>
      <c r="F436" s="21">
        <f>'[1]APRIL 2022 '!F52</f>
        <v>0</v>
      </c>
      <c r="G436" s="4"/>
      <c r="H436" s="22"/>
    </row>
    <row r="437" spans="1:8" x14ac:dyDescent="0.2">
      <c r="A437" s="23">
        <f>'[1]APRIL 2022 '!A53</f>
        <v>44659</v>
      </c>
      <c r="B437" s="23" t="str">
        <f>'[1]APRIL 2022 '!B53</f>
        <v>Rauchen</v>
      </c>
      <c r="C437" s="24">
        <f>'[1]APRIL 2022 '!C53</f>
        <v>0</v>
      </c>
      <c r="D437" s="24">
        <f>'[1]APRIL 2022 '!D53</f>
        <v>170</v>
      </c>
      <c r="E437" s="24">
        <f>'[1]APRIL 2022 '!E53</f>
        <v>0</v>
      </c>
      <c r="F437" s="24">
        <f>'[1]APRIL 2022 '!F53</f>
        <v>0</v>
      </c>
      <c r="G437" s="4"/>
      <c r="H437" s="4"/>
    </row>
    <row r="438" spans="1:8" x14ac:dyDescent="0.2">
      <c r="A438" s="20">
        <f>'[1]APRIL 2022 '!A58</f>
        <v>44660</v>
      </c>
      <c r="B438" s="20" t="str">
        <f>'[1]APRIL 2022 '!B58</f>
        <v>for me</v>
      </c>
      <c r="C438" s="21">
        <f>'[1]APRIL 2022 '!C58</f>
        <v>0</v>
      </c>
      <c r="D438" s="21">
        <f>'[1]APRIL 2022 '!D58</f>
        <v>450</v>
      </c>
      <c r="E438" s="21">
        <f>'[1]APRIL 2022 '!E58</f>
        <v>0</v>
      </c>
      <c r="F438" s="21">
        <f>'[1]APRIL 2022 '!F58</f>
        <v>0</v>
      </c>
      <c r="G438" s="4"/>
      <c r="H438" s="22"/>
    </row>
    <row r="439" spans="1:8" x14ac:dyDescent="0.2">
      <c r="A439" s="23">
        <f>'[1]APRIL 2022 '!A59</f>
        <v>44660</v>
      </c>
      <c r="B439" s="23" t="str">
        <f>'[1]APRIL 2022 '!B59</f>
        <v>LM</v>
      </c>
      <c r="C439" s="24">
        <f>'[1]APRIL 2022 '!C59</f>
        <v>0</v>
      </c>
      <c r="D439" s="24">
        <f>'[1]APRIL 2022 '!D59</f>
        <v>360</v>
      </c>
      <c r="E439" s="24">
        <f>'[1]APRIL 2022 '!E59</f>
        <v>0</v>
      </c>
      <c r="F439" s="24">
        <f>'[1]APRIL 2022 '!F59</f>
        <v>0</v>
      </c>
      <c r="G439" s="4"/>
      <c r="H439" s="4"/>
    </row>
    <row r="440" spans="1:8" x14ac:dyDescent="0.2">
      <c r="A440" s="23">
        <f>'[1]APRIL 2022 '!A65</f>
        <v>44661</v>
      </c>
      <c r="B440" s="23" t="str">
        <f>'[1]APRIL 2022 '!B65</f>
        <v>Party</v>
      </c>
      <c r="C440" s="24">
        <f>'[1]APRIL 2022 '!C65</f>
        <v>0</v>
      </c>
      <c r="D440" s="24">
        <f>'[1]APRIL 2022 '!D65</f>
        <v>1300</v>
      </c>
      <c r="E440" s="24">
        <f>'[1]APRIL 2022 '!E65</f>
        <v>0</v>
      </c>
      <c r="F440" s="24">
        <f>'[1]APRIL 2022 '!F65</f>
        <v>0</v>
      </c>
      <c r="G440" s="4"/>
      <c r="H440" s="4"/>
    </row>
    <row r="441" spans="1:8" x14ac:dyDescent="0.2">
      <c r="A441" s="20">
        <f>'[1]APRIL 2022 '!A66</f>
        <v>44661</v>
      </c>
      <c r="B441" s="20" t="str">
        <f>'[1]APRIL 2022 '!B66</f>
        <v>none</v>
      </c>
      <c r="C441" s="21">
        <f>'[1]APRIL 2022 '!C66</f>
        <v>0</v>
      </c>
      <c r="D441" s="21">
        <f>'[1]APRIL 2022 '!D66</f>
        <v>1325</v>
      </c>
      <c r="E441" s="21">
        <f>'[1]APRIL 2022 '!E66</f>
        <v>1325</v>
      </c>
      <c r="F441" s="21">
        <f>'[1]APRIL 2022 '!F66</f>
        <v>0</v>
      </c>
      <c r="G441" s="4"/>
      <c r="H441" s="22"/>
    </row>
    <row r="442" spans="1:8" x14ac:dyDescent="0.2">
      <c r="A442" s="23">
        <f>'[1]APRIL 2022 '!A67</f>
        <v>44661</v>
      </c>
      <c r="B442" s="23" t="str">
        <f>'[1]APRIL 2022 '!B67</f>
        <v>LM</v>
      </c>
      <c r="C442" s="24">
        <f>'[1]APRIL 2022 '!C67</f>
        <v>0</v>
      </c>
      <c r="D442" s="24">
        <f>'[1]APRIL 2022 '!D67</f>
        <v>130</v>
      </c>
      <c r="E442" s="24">
        <f>'[1]APRIL 2022 '!E67</f>
        <v>0</v>
      </c>
      <c r="F442" s="24">
        <f>'[1]APRIL 2022 '!F67</f>
        <v>0</v>
      </c>
      <c r="G442" s="4"/>
      <c r="H442" s="4"/>
    </row>
    <row r="443" spans="1:8" x14ac:dyDescent="0.2">
      <c r="A443" s="20">
        <f>'[1]APRIL 2022 '!A72</f>
        <v>44662</v>
      </c>
      <c r="B443" s="20" t="str">
        <f>'[1]APRIL 2022 '!B72</f>
        <v>LM</v>
      </c>
      <c r="C443" s="21">
        <f>'[1]APRIL 2022 '!C72</f>
        <v>0</v>
      </c>
      <c r="D443" s="21">
        <f>'[1]APRIL 2022 '!D72</f>
        <v>511</v>
      </c>
      <c r="E443" s="21">
        <f>'[1]APRIL 2022 '!E72</f>
        <v>0</v>
      </c>
      <c r="F443" s="21">
        <f>'[1]APRIL 2022 '!F72</f>
        <v>0</v>
      </c>
      <c r="G443" s="4"/>
      <c r="H443" s="22"/>
    </row>
    <row r="444" spans="1:8" x14ac:dyDescent="0.2">
      <c r="A444" s="23">
        <f>'[1]APRIL 2022 '!A73</f>
        <v>44662</v>
      </c>
      <c r="B444" s="23" t="str">
        <f>'[1]APRIL 2022 '!B73</f>
        <v>Andere</v>
      </c>
      <c r="C444" s="24">
        <f>'[1]APRIL 2022 '!C73</f>
        <v>0</v>
      </c>
      <c r="D444" s="24">
        <f>'[1]APRIL 2022 '!D73</f>
        <v>30</v>
      </c>
      <c r="E444" s="24">
        <f>'[1]APRIL 2022 '!E73</f>
        <v>0</v>
      </c>
      <c r="F444" s="24">
        <f>'[1]APRIL 2022 '!F73</f>
        <v>0</v>
      </c>
      <c r="G444" s="4"/>
      <c r="H444" s="4"/>
    </row>
    <row r="445" spans="1:8" x14ac:dyDescent="0.2">
      <c r="A445" s="20">
        <f>'[1]APRIL 2022 '!A74</f>
        <v>44662</v>
      </c>
      <c r="B445" s="20" t="str">
        <f>'[1]APRIL 2022 '!B74</f>
        <v>Andere</v>
      </c>
      <c r="C445" s="21">
        <f>'[1]APRIL 2022 '!C74</f>
        <v>0</v>
      </c>
      <c r="D445" s="21">
        <f>'[1]APRIL 2022 '!D74</f>
        <v>0</v>
      </c>
      <c r="E445" s="21">
        <f>'[1]APRIL 2022 '!E74</f>
        <v>0</v>
      </c>
      <c r="F445" s="21">
        <f>'[1]APRIL 2022 '!F74</f>
        <v>296.94</v>
      </c>
      <c r="G445" s="4"/>
      <c r="H445" s="22"/>
    </row>
    <row r="446" spans="1:8" x14ac:dyDescent="0.2">
      <c r="A446" s="23">
        <f>'[1]APRIL 2022 '!A75</f>
        <v>44662</v>
      </c>
      <c r="B446" s="23" t="str">
        <f>'[1]APRIL 2022 '!B75</f>
        <v>Andere</v>
      </c>
      <c r="C446" s="24">
        <f>'[1]APRIL 2022 '!C75</f>
        <v>0</v>
      </c>
      <c r="D446" s="24">
        <f>'[1]APRIL 2022 '!D75</f>
        <v>0</v>
      </c>
      <c r="E446" s="24">
        <f>'[1]APRIL 2022 '!E75</f>
        <v>0</v>
      </c>
      <c r="F446" s="24">
        <f>'[1]APRIL 2022 '!F75</f>
        <v>60</v>
      </c>
      <c r="G446" s="4"/>
      <c r="H446" s="4"/>
    </row>
    <row r="447" spans="1:8" x14ac:dyDescent="0.2">
      <c r="A447" s="20">
        <f>'[1]APRIL 2022 '!A76</f>
        <v>44662</v>
      </c>
      <c r="B447" s="20" t="str">
        <f>'[1]APRIL 2022 '!B76</f>
        <v>none</v>
      </c>
      <c r="C447" s="21">
        <f>'[1]APRIL 2022 '!C76</f>
        <v>0</v>
      </c>
      <c r="D447" s="21">
        <f>'[1]APRIL 2022 '!D76</f>
        <v>0</v>
      </c>
      <c r="E447" s="21">
        <f>'[1]APRIL 2022 '!E76</f>
        <v>350</v>
      </c>
      <c r="F447" s="21">
        <f>'[1]APRIL 2022 '!F76</f>
        <v>0</v>
      </c>
      <c r="G447" s="4"/>
      <c r="H447" s="22"/>
    </row>
    <row r="448" spans="1:8" x14ac:dyDescent="0.2">
      <c r="A448" s="23">
        <f>'[1]APRIL 2022 '!A79</f>
        <v>44663</v>
      </c>
      <c r="B448" s="23" t="str">
        <f>'[1]APRIL 2022 '!B79</f>
        <v>LM</v>
      </c>
      <c r="C448" s="24">
        <f>'[1]APRIL 2022 '!C79</f>
        <v>0</v>
      </c>
      <c r="D448" s="24">
        <f>'[1]APRIL 2022 '!D79</f>
        <v>580</v>
      </c>
      <c r="E448" s="24">
        <f>'[1]APRIL 2022 '!E79</f>
        <v>0</v>
      </c>
      <c r="F448" s="24">
        <f>'[1]APRIL 2022 '!F79</f>
        <v>0</v>
      </c>
      <c r="G448" s="4"/>
      <c r="H448" s="4"/>
    </row>
    <row r="449" spans="1:8" x14ac:dyDescent="0.2">
      <c r="A449" s="20">
        <f>'[1]APRIL 2022 '!A80</f>
        <v>44663</v>
      </c>
      <c r="B449" s="20" t="str">
        <f>'[1]APRIL 2022 '!B80</f>
        <v>Rauchen</v>
      </c>
      <c r="C449" s="21">
        <f>'[1]APRIL 2022 '!C80</f>
        <v>0</v>
      </c>
      <c r="D449" s="21">
        <f>'[1]APRIL 2022 '!D80</f>
        <v>170</v>
      </c>
      <c r="E449" s="21">
        <f>'[1]APRIL 2022 '!E80</f>
        <v>0</v>
      </c>
      <c r="F449" s="21">
        <f>'[1]APRIL 2022 '!F80</f>
        <v>0</v>
      </c>
      <c r="G449" s="4"/>
      <c r="H449" s="22"/>
    </row>
    <row r="450" spans="1:8" x14ac:dyDescent="0.2">
      <c r="A450" s="23">
        <f>'[1]APRIL 2022 '!A81</f>
        <v>44663</v>
      </c>
      <c r="B450" s="23" t="str">
        <f>'[1]APRIL 2022 '!B81</f>
        <v>VM</v>
      </c>
      <c r="C450" s="24">
        <f>'[1]APRIL 2022 '!C81</f>
        <v>0</v>
      </c>
      <c r="D450" s="24">
        <f>'[1]APRIL 2022 '!D81</f>
        <v>1370</v>
      </c>
      <c r="E450" s="24">
        <f>'[1]APRIL 2022 '!E81</f>
        <v>0</v>
      </c>
      <c r="F450" s="24">
        <f>'[1]APRIL 2022 '!F81</f>
        <v>0</v>
      </c>
      <c r="G450" s="4"/>
      <c r="H450" s="4"/>
    </row>
    <row r="451" spans="1:8" x14ac:dyDescent="0.2">
      <c r="A451" s="20">
        <f>'[1]APRIL 2022 '!A94</f>
        <v>44665</v>
      </c>
      <c r="B451" s="20" t="str">
        <f>'[1]APRIL 2022 '!B94</f>
        <v>Andere</v>
      </c>
      <c r="C451" s="21">
        <f>'[1]APRIL 2022 '!C94</f>
        <v>0</v>
      </c>
      <c r="D451" s="21">
        <f>'[1]APRIL 2022 '!D94</f>
        <v>2000</v>
      </c>
      <c r="E451" s="21">
        <f>'[1]APRIL 2022 '!E94</f>
        <v>0</v>
      </c>
      <c r="F451" s="21">
        <f>'[1]APRIL 2022 '!F94</f>
        <v>0</v>
      </c>
      <c r="G451" s="4"/>
      <c r="H451" s="22"/>
    </row>
    <row r="452" spans="1:8" x14ac:dyDescent="0.2">
      <c r="A452" s="20">
        <f>'[1]APRIL 2022 '!A100</f>
        <v>44666</v>
      </c>
      <c r="B452" s="20" t="str">
        <f>'[1]APRIL 2022 '!B100</f>
        <v>VM</v>
      </c>
      <c r="C452" s="21">
        <f>'[1]APRIL 2022 '!C100</f>
        <v>0</v>
      </c>
      <c r="D452" s="21">
        <f>'[1]APRIL 2022 '!D100</f>
        <v>2518</v>
      </c>
      <c r="E452" s="21">
        <f>'[1]APRIL 2022 '!E100</f>
        <v>0</v>
      </c>
      <c r="F452" s="21">
        <f>'[1]APRIL 2022 '!F100</f>
        <v>0</v>
      </c>
      <c r="G452" s="4"/>
      <c r="H452" s="22"/>
    </row>
    <row r="453" spans="1:8" x14ac:dyDescent="0.2">
      <c r="A453" s="23">
        <f>'[1]APRIL 2022 '!A101</f>
        <v>44666</v>
      </c>
      <c r="B453" s="23" t="str">
        <f>'[1]APRIL 2022 '!B101</f>
        <v>Kleidung</v>
      </c>
      <c r="C453" s="24">
        <f>'[1]APRIL 2022 '!C101</f>
        <v>0</v>
      </c>
      <c r="D453" s="24">
        <f>'[1]APRIL 2022 '!D101</f>
        <v>3799</v>
      </c>
      <c r="E453" s="24">
        <f>'[1]APRIL 2022 '!E101</f>
        <v>0</v>
      </c>
      <c r="F453" s="24">
        <f>'[1]APRIL 2022 '!F101</f>
        <v>0</v>
      </c>
      <c r="G453" s="4"/>
      <c r="H453" s="4"/>
    </row>
    <row r="454" spans="1:8" x14ac:dyDescent="0.2">
      <c r="A454" s="20">
        <f>'[1]APRIL 2022 '!A102</f>
        <v>44666</v>
      </c>
      <c r="B454" s="20" t="str">
        <f>'[1]APRIL 2022 '!B102</f>
        <v>LM</v>
      </c>
      <c r="C454" s="21">
        <f>'[1]APRIL 2022 '!C102</f>
        <v>0</v>
      </c>
      <c r="D454" s="21">
        <f>'[1]APRIL 2022 '!D102</f>
        <v>640.79999999999995</v>
      </c>
      <c r="E454" s="21">
        <f>'[1]APRIL 2022 '!E102</f>
        <v>0</v>
      </c>
      <c r="F454" s="21">
        <f>'[1]APRIL 2022 '!F102</f>
        <v>0</v>
      </c>
      <c r="G454" s="4"/>
      <c r="H454" s="22"/>
    </row>
    <row r="455" spans="1:8" x14ac:dyDescent="0.2">
      <c r="A455" s="23">
        <f>'[1]APRIL 2022 '!A107</f>
        <v>44667</v>
      </c>
      <c r="B455" s="23" t="str">
        <f>'[1]APRIL 2022 '!B107</f>
        <v>LM</v>
      </c>
      <c r="C455" s="24">
        <f>'[1]APRIL 2022 '!C107</f>
        <v>0</v>
      </c>
      <c r="D455" s="24">
        <f>'[1]APRIL 2022 '!D107</f>
        <v>350</v>
      </c>
      <c r="E455" s="24">
        <f>'[1]APRIL 2022 '!E107</f>
        <v>0</v>
      </c>
      <c r="F455" s="24">
        <f>'[1]APRIL 2022 '!F107</f>
        <v>0</v>
      </c>
      <c r="G455" s="4"/>
      <c r="H455" s="4"/>
    </row>
    <row r="456" spans="1:8" x14ac:dyDescent="0.2">
      <c r="A456" s="20">
        <f>'[1]APRIL 2022 '!A108</f>
        <v>44667</v>
      </c>
      <c r="B456" s="20" t="str">
        <f>'[1]APRIL 2022 '!B108</f>
        <v>VM</v>
      </c>
      <c r="C456" s="21">
        <f>'[1]APRIL 2022 '!C108</f>
        <v>0</v>
      </c>
      <c r="D456" s="21">
        <f>'[1]APRIL 2022 '!D108</f>
        <v>450</v>
      </c>
      <c r="E456" s="21">
        <f>'[1]APRIL 2022 '!E108</f>
        <v>0</v>
      </c>
      <c r="F456" s="21">
        <f>'[1]APRIL 2022 '!F108</f>
        <v>0</v>
      </c>
      <c r="G456" s="4"/>
      <c r="H456" s="22"/>
    </row>
    <row r="457" spans="1:8" x14ac:dyDescent="0.2">
      <c r="A457" s="20">
        <f>'[1]APRIL 2022 '!A114</f>
        <v>44668</v>
      </c>
      <c r="B457" s="20" t="str">
        <f>'[1]APRIL 2022 '!B114</f>
        <v>LM</v>
      </c>
      <c r="C457" s="21">
        <f>'[1]APRIL 2022 '!C114</f>
        <v>0</v>
      </c>
      <c r="D457" s="21">
        <f>'[1]APRIL 2022 '!D114</f>
        <v>300</v>
      </c>
      <c r="E457" s="21">
        <f>'[1]APRIL 2022 '!E114</f>
        <v>0</v>
      </c>
      <c r="F457" s="21">
        <f>'[1]APRIL 2022 '!F114</f>
        <v>0</v>
      </c>
      <c r="G457" s="4"/>
      <c r="H457" s="22"/>
    </row>
    <row r="458" spans="1:8" x14ac:dyDescent="0.2">
      <c r="A458" s="23">
        <f>'[1]APRIL 2022 '!A121</f>
        <v>44669</v>
      </c>
      <c r="B458" s="23" t="str">
        <f>'[1]APRIL 2022 '!B121</f>
        <v>LM</v>
      </c>
      <c r="C458" s="24">
        <f>'[1]APRIL 2022 '!C121</f>
        <v>0</v>
      </c>
      <c r="D458" s="24">
        <f>'[1]APRIL 2022 '!D121</f>
        <v>35</v>
      </c>
      <c r="E458" s="24">
        <f>'[1]APRIL 2022 '!E121</f>
        <v>0</v>
      </c>
      <c r="F458" s="24">
        <f>'[1]APRIL 2022 '!F121</f>
        <v>0</v>
      </c>
      <c r="G458" s="4"/>
      <c r="H458" s="4"/>
    </row>
    <row r="459" spans="1:8" x14ac:dyDescent="0.2">
      <c r="A459" s="20">
        <f>'[1]APRIL 2022 '!A122</f>
        <v>44669</v>
      </c>
      <c r="B459" s="20" t="str">
        <f>'[1]APRIL 2022 '!B122</f>
        <v>LM</v>
      </c>
      <c r="C459" s="21">
        <f>'[1]APRIL 2022 '!C122</f>
        <v>0</v>
      </c>
      <c r="D459" s="21">
        <f>'[1]APRIL 2022 '!D122</f>
        <v>490</v>
      </c>
      <c r="E459" s="21">
        <f>'[1]APRIL 2022 '!E122</f>
        <v>0</v>
      </c>
      <c r="F459" s="21">
        <f>'[1]APRIL 2022 '!F122</f>
        <v>0</v>
      </c>
      <c r="G459" s="4"/>
      <c r="H459" s="22"/>
    </row>
    <row r="460" spans="1:8" x14ac:dyDescent="0.2">
      <c r="A460" s="23">
        <f>'[1]APRIL 2022 '!A123</f>
        <v>44669</v>
      </c>
      <c r="B460" s="23" t="str">
        <f>'[1]APRIL 2022 '!B123</f>
        <v>LM</v>
      </c>
      <c r="C460" s="24">
        <f>'[1]APRIL 2022 '!C123</f>
        <v>0</v>
      </c>
      <c r="D460" s="24">
        <f>'[1]APRIL 2022 '!D123</f>
        <v>89</v>
      </c>
      <c r="E460" s="24">
        <f>'[1]APRIL 2022 '!E123</f>
        <v>0</v>
      </c>
      <c r="F460" s="24">
        <f>'[1]APRIL 2022 '!F123</f>
        <v>0</v>
      </c>
      <c r="G460" s="4"/>
      <c r="H460" s="4"/>
    </row>
    <row r="461" spans="1:8" x14ac:dyDescent="0.2">
      <c r="A461" s="20">
        <f>'[1]APRIL 2022 '!A124</f>
        <v>44669</v>
      </c>
      <c r="B461" s="20" t="str">
        <f>'[1]APRIL 2022 '!B124</f>
        <v>LM</v>
      </c>
      <c r="C461" s="21">
        <f>'[1]APRIL 2022 '!C124</f>
        <v>0</v>
      </c>
      <c r="D461" s="21">
        <f>'[1]APRIL 2022 '!D124</f>
        <v>319</v>
      </c>
      <c r="E461" s="21">
        <f>'[1]APRIL 2022 '!E124</f>
        <v>0</v>
      </c>
      <c r="F461" s="21">
        <f>'[1]APRIL 2022 '!F124</f>
        <v>0</v>
      </c>
      <c r="G461" s="4"/>
      <c r="H461" s="22"/>
    </row>
    <row r="462" spans="1:8" x14ac:dyDescent="0.2">
      <c r="A462" s="23">
        <f>'[1]APRIL 2022 '!A129</f>
        <v>44670</v>
      </c>
      <c r="B462" s="23" t="str">
        <f>'[1]APRIL 2022 '!B129</f>
        <v>VM</v>
      </c>
      <c r="C462" s="24">
        <f>'[1]APRIL 2022 '!C129</f>
        <v>0</v>
      </c>
      <c r="D462" s="24">
        <f>'[1]APRIL 2022 '!D129</f>
        <v>5803.1999999999971</v>
      </c>
      <c r="E462" s="24">
        <f>'[1]APRIL 2022 '!E129</f>
        <v>0</v>
      </c>
      <c r="F462" s="24">
        <f>'[1]APRIL 2022 '!F129</f>
        <v>0</v>
      </c>
      <c r="G462" s="4"/>
      <c r="H462" s="4"/>
    </row>
    <row r="463" spans="1:8" x14ac:dyDescent="0.2">
      <c r="A463" s="20">
        <f>'[1]APRIL 2022 '!A130</f>
        <v>44670</v>
      </c>
      <c r="B463" s="20" t="str">
        <f>'[1]APRIL 2022 '!B130</f>
        <v>VM</v>
      </c>
      <c r="C463" s="21">
        <f>'[1]APRIL 2022 '!C130</f>
        <v>0</v>
      </c>
      <c r="D463" s="21">
        <f>'[1]APRIL 2022 '!D130</f>
        <v>770</v>
      </c>
      <c r="E463" s="21">
        <f>'[1]APRIL 2022 '!E130</f>
        <v>0</v>
      </c>
      <c r="F463" s="21">
        <f>'[1]APRIL 2022 '!F130</f>
        <v>0</v>
      </c>
      <c r="G463" s="4"/>
      <c r="H463" s="22"/>
    </row>
    <row r="464" spans="1:8" x14ac:dyDescent="0.2">
      <c r="A464" s="23">
        <f>'[1]APRIL 2022 '!A135</f>
        <v>44671</v>
      </c>
      <c r="B464" s="23" t="str">
        <f>'[1]APRIL 2022 '!B135</f>
        <v>LM</v>
      </c>
      <c r="C464" s="24">
        <f>'[1]APRIL 2022 '!C135</f>
        <v>0</v>
      </c>
      <c r="D464" s="24">
        <f>'[1]APRIL 2022 '!D135</f>
        <v>578</v>
      </c>
      <c r="E464" s="24">
        <f>'[1]APRIL 2022 '!E135</f>
        <v>0</v>
      </c>
      <c r="F464" s="24">
        <f>'[1]APRIL 2022 '!F135</f>
        <v>0</v>
      </c>
      <c r="G464" s="4"/>
      <c r="H464" s="4"/>
    </row>
    <row r="465" spans="1:8" x14ac:dyDescent="0.2">
      <c r="A465" s="20">
        <f>'[1]APRIL 2022 '!A142</f>
        <v>44672</v>
      </c>
      <c r="B465" s="20" t="str">
        <f>'[1]APRIL 2022 '!B142</f>
        <v>none</v>
      </c>
      <c r="C465" s="21">
        <f>'[1]APRIL 2022 '!C142</f>
        <v>690</v>
      </c>
      <c r="D465" s="21">
        <f>'[1]APRIL 2022 '!D142</f>
        <v>0</v>
      </c>
      <c r="E465" s="21">
        <f>'[1]APRIL 2022 '!E142</f>
        <v>0</v>
      </c>
      <c r="F465" s="21">
        <f>'[1]APRIL 2022 '!F142</f>
        <v>690</v>
      </c>
      <c r="G465" s="4"/>
      <c r="H465" s="22"/>
    </row>
    <row r="466" spans="1:8" x14ac:dyDescent="0.2">
      <c r="A466" s="23">
        <f>'[1]APRIL 2022 '!A143</f>
        <v>44672</v>
      </c>
      <c r="B466" s="23" t="str">
        <f>'[1]APRIL 2022 '!B143</f>
        <v>LM</v>
      </c>
      <c r="C466" s="24">
        <f>'[1]APRIL 2022 '!C143</f>
        <v>0</v>
      </c>
      <c r="D466" s="24">
        <f>'[1]APRIL 2022 '!D143</f>
        <v>558</v>
      </c>
      <c r="E466" s="24">
        <f>'[1]APRIL 2022 '!E143</f>
        <v>0</v>
      </c>
      <c r="F466" s="24">
        <f>'[1]APRIL 2022 '!F143</f>
        <v>0</v>
      </c>
      <c r="G466" s="4"/>
      <c r="H466" s="4"/>
    </row>
    <row r="467" spans="1:8" x14ac:dyDescent="0.2">
      <c r="A467" s="20">
        <f>'[1]APRIL 2022 '!A144</f>
        <v>44672</v>
      </c>
      <c r="B467" s="20" t="str">
        <f>'[1]APRIL 2022 '!B144</f>
        <v>Refill</v>
      </c>
      <c r="C467" s="21">
        <f>'[1]APRIL 2022 '!C144</f>
        <v>37733.43</v>
      </c>
      <c r="D467" s="21">
        <f>'[1]APRIL 2022 '!D144</f>
        <v>0</v>
      </c>
      <c r="E467" s="21">
        <f>'[1]APRIL 2022 '!E144</f>
        <v>0</v>
      </c>
      <c r="F467" s="21">
        <f>'[1]APRIL 2022 '!F144</f>
        <v>0</v>
      </c>
      <c r="G467" s="4"/>
      <c r="H467" s="22"/>
    </row>
    <row r="468" spans="1:8" x14ac:dyDescent="0.2">
      <c r="A468" s="23">
        <f>'[1]APRIL 2022 '!A145</f>
        <v>44672</v>
      </c>
      <c r="B468" s="23" t="str">
        <f>'[1]APRIL 2022 '!B145</f>
        <v>LM</v>
      </c>
      <c r="C468" s="24">
        <f>'[1]APRIL 2022 '!C145</f>
        <v>0</v>
      </c>
      <c r="D468" s="24">
        <f>'[1]APRIL 2022 '!D145</f>
        <v>294</v>
      </c>
      <c r="E468" s="24">
        <f>'[1]APRIL 2022 '!E145</f>
        <v>0</v>
      </c>
      <c r="F468" s="24">
        <f>'[1]APRIL 2022 '!F145</f>
        <v>0</v>
      </c>
      <c r="G468" s="4"/>
      <c r="H468" s="4"/>
    </row>
    <row r="469" spans="1:8" x14ac:dyDescent="0.2">
      <c r="A469" s="20">
        <f>'[1]APRIL 2022 '!A146</f>
        <v>44672</v>
      </c>
      <c r="B469" s="20" t="str">
        <f>'[1]APRIL 2022 '!B146</f>
        <v>Andere</v>
      </c>
      <c r="C469" s="21">
        <f>'[1]APRIL 2022 '!C146</f>
        <v>0</v>
      </c>
      <c r="D469" s="21">
        <f>'[1]APRIL 2022 '!D146</f>
        <v>350</v>
      </c>
      <c r="E469" s="21">
        <f>'[1]APRIL 2022 '!E146</f>
        <v>0</v>
      </c>
      <c r="F469" s="21">
        <f>'[1]APRIL 2022 '!F146</f>
        <v>0</v>
      </c>
      <c r="G469" s="4"/>
      <c r="H469" s="22"/>
    </row>
    <row r="470" spans="1:8" x14ac:dyDescent="0.2">
      <c r="A470" s="23">
        <f>'[1]APRIL 2022 '!A147</f>
        <v>44672</v>
      </c>
      <c r="B470" s="23" t="str">
        <f>'[1]APRIL 2022 '!B147</f>
        <v>VM</v>
      </c>
      <c r="C470" s="24">
        <f>'[1]APRIL 2022 '!C147</f>
        <v>0</v>
      </c>
      <c r="D470" s="24">
        <f>'[1]APRIL 2022 '!D147</f>
        <v>0</v>
      </c>
      <c r="E470" s="24">
        <f>'[1]APRIL 2022 '!E147</f>
        <v>0</v>
      </c>
      <c r="F470" s="24">
        <f>'[1]APRIL 2022 '!F147</f>
        <v>682</v>
      </c>
      <c r="G470" s="4"/>
      <c r="H470" s="4"/>
    </row>
    <row r="471" spans="1:8" x14ac:dyDescent="0.2">
      <c r="A471" s="23">
        <f>'[1]APRIL 2022 '!A149</f>
        <v>44673</v>
      </c>
      <c r="B471" s="23" t="str">
        <f>'[1]APRIL 2022 '!B149</f>
        <v>none</v>
      </c>
      <c r="C471" s="24">
        <f>'[1]APRIL 2022 '!C149</f>
        <v>1934.9</v>
      </c>
      <c r="D471" s="24">
        <f>'[1]APRIL 2022 '!D149</f>
        <v>0</v>
      </c>
      <c r="E471" s="24">
        <f>'[1]APRIL 2022 '!E149</f>
        <v>0</v>
      </c>
      <c r="F471" s="24">
        <f>'[1]APRIL 2022 '!F149</f>
        <v>0</v>
      </c>
      <c r="G471" s="4"/>
      <c r="H471" s="4"/>
    </row>
    <row r="472" spans="1:8" x14ac:dyDescent="0.2">
      <c r="A472" s="20">
        <f>'[1]APRIL 2022 '!A150</f>
        <v>44673</v>
      </c>
      <c r="B472" s="20" t="str">
        <f>'[1]APRIL 2022 '!B150</f>
        <v>Andere</v>
      </c>
      <c r="C472" s="21">
        <f>'[1]APRIL 2022 '!C150</f>
        <v>0</v>
      </c>
      <c r="D472" s="21">
        <f>'[1]APRIL 2022 '!D150</f>
        <v>500</v>
      </c>
      <c r="E472" s="21">
        <f>'[1]APRIL 2022 '!E150</f>
        <v>0</v>
      </c>
      <c r="F472" s="21">
        <f>'[1]APRIL 2022 '!F150</f>
        <v>0</v>
      </c>
      <c r="G472" s="4"/>
      <c r="H472" s="22"/>
    </row>
    <row r="473" spans="1:8" x14ac:dyDescent="0.2">
      <c r="A473" s="23">
        <f>'[1]APRIL 2022 '!A151</f>
        <v>44673</v>
      </c>
      <c r="B473" s="23" t="str">
        <f>'[1]APRIL 2022 '!B151</f>
        <v>LM</v>
      </c>
      <c r="C473" s="24">
        <f>'[1]APRIL 2022 '!C151</f>
        <v>0</v>
      </c>
      <c r="D473" s="24">
        <f>'[1]APRIL 2022 '!D151</f>
        <v>524</v>
      </c>
      <c r="E473" s="24">
        <f>'[1]APRIL 2022 '!E151</f>
        <v>0</v>
      </c>
      <c r="F473" s="24">
        <f>'[1]APRIL 2022 '!F151</f>
        <v>0</v>
      </c>
      <c r="G473" s="4"/>
      <c r="H473" s="4"/>
    </row>
    <row r="474" spans="1:8" x14ac:dyDescent="0.2">
      <c r="A474" s="20">
        <f>'[1]APRIL 2022 '!A152</f>
        <v>44673</v>
      </c>
      <c r="B474" s="20" t="str">
        <f>'[1]APRIL 2022 '!B152</f>
        <v>LM</v>
      </c>
      <c r="C474" s="21">
        <f>'[1]APRIL 2022 '!C152</f>
        <v>0</v>
      </c>
      <c r="D474" s="21">
        <f>'[1]APRIL 2022 '!D152</f>
        <v>1178.08</v>
      </c>
      <c r="E474" s="21">
        <f>'[1]APRIL 2022 '!E152</f>
        <v>0</v>
      </c>
      <c r="F474" s="21">
        <f>'[1]APRIL 2022 '!F152</f>
        <v>0</v>
      </c>
      <c r="G474" s="4"/>
      <c r="H474" s="22"/>
    </row>
    <row r="475" spans="1:8" x14ac:dyDescent="0.2">
      <c r="A475" s="20">
        <f>'[1]APRIL 2022 '!A156</f>
        <v>44674</v>
      </c>
      <c r="B475" s="20" t="str">
        <f>'[1]APRIL 2022 '!B156</f>
        <v>for me</v>
      </c>
      <c r="C475" s="21">
        <f>'[1]APRIL 2022 '!C156</f>
        <v>0</v>
      </c>
      <c r="D475" s="21">
        <f>'[1]APRIL 2022 '!D156</f>
        <v>2500</v>
      </c>
      <c r="E475" s="21">
        <f>'[1]APRIL 2022 '!E156</f>
        <v>0</v>
      </c>
      <c r="F475" s="21">
        <f>'[1]APRIL 2022 '!F156</f>
        <v>0</v>
      </c>
      <c r="G475" s="4"/>
      <c r="H475" s="22"/>
    </row>
    <row r="476" spans="1:8" x14ac:dyDescent="0.2">
      <c r="A476" s="23">
        <f>'[1]APRIL 2022 '!A157</f>
        <v>44674</v>
      </c>
      <c r="B476" s="23" t="str">
        <f>'[1]APRIL 2022 '!B157</f>
        <v>Rauchen</v>
      </c>
      <c r="C476" s="24">
        <f>'[1]APRIL 2022 '!C157</f>
        <v>0</v>
      </c>
      <c r="D476" s="24">
        <f>'[1]APRIL 2022 '!D157</f>
        <v>160</v>
      </c>
      <c r="E476" s="24">
        <f>'[1]APRIL 2022 '!E157</f>
        <v>0</v>
      </c>
      <c r="F476" s="24">
        <f>'[1]APRIL 2022 '!F157</f>
        <v>0</v>
      </c>
      <c r="G476" s="4"/>
      <c r="H476" s="4"/>
    </row>
    <row r="477" spans="1:8" x14ac:dyDescent="0.2">
      <c r="A477" s="20">
        <f>'[1]APRIL 2022 '!A158</f>
        <v>44674</v>
      </c>
      <c r="B477" s="20" t="str">
        <f>'[1]APRIL 2022 '!B158</f>
        <v>Kleidung</v>
      </c>
      <c r="C477" s="21">
        <f>'[1]APRIL 2022 '!C158</f>
        <v>0</v>
      </c>
      <c r="D477" s="21">
        <f>'[1]APRIL 2022 '!D158</f>
        <v>10453</v>
      </c>
      <c r="E477" s="21">
        <f>'[1]APRIL 2022 '!E158</f>
        <v>0</v>
      </c>
      <c r="F477" s="21">
        <f>'[1]APRIL 2022 '!F158</f>
        <v>0</v>
      </c>
      <c r="G477" s="4"/>
      <c r="H477" s="22"/>
    </row>
    <row r="478" spans="1:8" x14ac:dyDescent="0.2">
      <c r="A478" s="23">
        <f>'[1]APRIL 2022 '!A159</f>
        <v>44674</v>
      </c>
      <c r="B478" s="23" t="str">
        <f>'[1]APRIL 2022 '!B159</f>
        <v>VM</v>
      </c>
      <c r="C478" s="24">
        <f>'[1]APRIL 2022 '!C159</f>
        <v>0</v>
      </c>
      <c r="D478" s="24">
        <f>'[1]APRIL 2022 '!D159</f>
        <v>173.32</v>
      </c>
      <c r="E478" s="24">
        <f>'[1]APRIL 2022 '!E159</f>
        <v>0</v>
      </c>
      <c r="F478" s="24">
        <f>'[1]APRIL 2022 '!F159</f>
        <v>0</v>
      </c>
      <c r="G478" s="4"/>
      <c r="H478" s="4"/>
    </row>
    <row r="479" spans="1:8" x14ac:dyDescent="0.2">
      <c r="A479" s="20">
        <f>'[1]APRIL 2022 '!A160</f>
        <v>44674</v>
      </c>
      <c r="B479" s="20" t="str">
        <f>'[1]APRIL 2022 '!B160</f>
        <v>Party</v>
      </c>
      <c r="C479" s="21">
        <f>'[1]APRIL 2022 '!C160</f>
        <v>0</v>
      </c>
      <c r="D479" s="21">
        <f>'[1]APRIL 2022 '!D160</f>
        <v>389.78</v>
      </c>
      <c r="E479" s="21">
        <f>'[1]APRIL 2022 '!E160</f>
        <v>0</v>
      </c>
      <c r="F479" s="21">
        <f>'[1]APRIL 2022 '!F160</f>
        <v>0</v>
      </c>
      <c r="G479" s="4"/>
      <c r="H479" s="22"/>
    </row>
    <row r="480" spans="1:8" x14ac:dyDescent="0.2">
      <c r="A480" s="23">
        <f>'[1]APRIL 2022 '!A163</f>
        <v>44675</v>
      </c>
      <c r="B480" s="23" t="str">
        <f>'[1]APRIL 2022 '!B163</f>
        <v>VM</v>
      </c>
      <c r="C480" s="24">
        <f>'[1]APRIL 2022 '!C163</f>
        <v>0</v>
      </c>
      <c r="D480" s="24">
        <f>'[1]APRIL 2022 '!D163</f>
        <v>163.12</v>
      </c>
      <c r="E480" s="24">
        <f>'[1]APRIL 2022 '!E163</f>
        <v>0</v>
      </c>
      <c r="F480" s="24">
        <f>'[1]APRIL 2022 '!F163</f>
        <v>0</v>
      </c>
      <c r="G480" s="4"/>
      <c r="H480" s="4"/>
    </row>
    <row r="481" spans="1:8" x14ac:dyDescent="0.2">
      <c r="A481" s="20">
        <f>'[1]APRIL 2022 '!A164</f>
        <v>44675</v>
      </c>
      <c r="B481" s="20" t="str">
        <f>'[1]APRIL 2022 '!B164</f>
        <v>Party</v>
      </c>
      <c r="C481" s="21">
        <f>'[1]APRIL 2022 '!C164</f>
        <v>0</v>
      </c>
      <c r="D481" s="21">
        <f>'[1]APRIL 2022 '!D164</f>
        <v>450</v>
      </c>
      <c r="E481" s="21">
        <f>'[1]APRIL 2022 '!E164</f>
        <v>0</v>
      </c>
      <c r="F481" s="21">
        <f>'[1]APRIL 2022 '!F164</f>
        <v>0</v>
      </c>
      <c r="G481" s="4"/>
      <c r="H481" s="22"/>
    </row>
    <row r="482" spans="1:8" x14ac:dyDescent="0.2">
      <c r="A482" s="20">
        <f>'[1]APRIL 2022 '!A170</f>
        <v>44676</v>
      </c>
      <c r="B482" s="20" t="str">
        <f>'[1]APRIL 2022 '!B170</f>
        <v>Andere</v>
      </c>
      <c r="C482" s="21">
        <f>'[1]APRIL 2022 '!C170</f>
        <v>0</v>
      </c>
      <c r="D482" s="21">
        <f>'[1]APRIL 2022 '!D170</f>
        <v>500</v>
      </c>
      <c r="E482" s="21">
        <f>'[1]APRIL 2022 '!E170</f>
        <v>0</v>
      </c>
      <c r="F482" s="21">
        <f>'[1]APRIL 2022 '!F170</f>
        <v>0</v>
      </c>
      <c r="G482" s="4"/>
      <c r="H482" s="22"/>
    </row>
    <row r="483" spans="1:8" x14ac:dyDescent="0.2">
      <c r="A483" s="23">
        <f>'[1]APRIL 2022 '!A171</f>
        <v>44676</v>
      </c>
      <c r="B483" s="23" t="str">
        <f>'[1]APRIL 2022 '!B171</f>
        <v>LM</v>
      </c>
      <c r="C483" s="24">
        <f>'[1]APRIL 2022 '!C171</f>
        <v>0</v>
      </c>
      <c r="D483" s="24">
        <f>'[1]APRIL 2022 '!D171</f>
        <v>574</v>
      </c>
      <c r="E483" s="24">
        <f>'[1]APRIL 2022 '!E171</f>
        <v>0</v>
      </c>
      <c r="F483" s="24">
        <f>'[1]APRIL 2022 '!F171</f>
        <v>0</v>
      </c>
      <c r="G483" s="4"/>
      <c r="H483" s="4"/>
    </row>
    <row r="484" spans="1:8" x14ac:dyDescent="0.2">
      <c r="A484" s="23">
        <f>'[1]APRIL 2022 '!A177</f>
        <v>44677</v>
      </c>
      <c r="B484" s="23" t="str">
        <f>'[1]APRIL 2022 '!B177</f>
        <v>Rauchen</v>
      </c>
      <c r="C484" s="24">
        <f>'[1]APRIL 2022 '!C177</f>
        <v>0</v>
      </c>
      <c r="D484" s="24">
        <f>'[1]APRIL 2022 '!D177</f>
        <v>155</v>
      </c>
      <c r="E484" s="24">
        <f>'[1]APRIL 2022 '!E177</f>
        <v>0</v>
      </c>
      <c r="F484" s="24">
        <f>'[1]APRIL 2022 '!F177</f>
        <v>0</v>
      </c>
      <c r="G484" s="4"/>
      <c r="H484" s="4"/>
    </row>
    <row r="485" spans="1:8" x14ac:dyDescent="0.2">
      <c r="A485" s="20">
        <f>'[1]APRIL 2022 '!A178</f>
        <v>44677</v>
      </c>
      <c r="B485" s="20" t="str">
        <f>'[1]APRIL 2022 '!B178</f>
        <v>LM</v>
      </c>
      <c r="C485" s="21">
        <f>'[1]APRIL 2022 '!C178</f>
        <v>0</v>
      </c>
      <c r="D485" s="21">
        <f>'[1]APRIL 2022 '!D178</f>
        <v>629</v>
      </c>
      <c r="E485" s="21">
        <f>'[1]APRIL 2022 '!E178</f>
        <v>0</v>
      </c>
      <c r="F485" s="21">
        <f>'[1]APRIL 2022 '!F178</f>
        <v>0</v>
      </c>
      <c r="G485" s="4"/>
      <c r="H485" s="22"/>
    </row>
    <row r="486" spans="1:8" x14ac:dyDescent="0.2">
      <c r="A486" s="20">
        <f>'[1]APRIL 2022 '!A184</f>
        <v>44678</v>
      </c>
      <c r="B486" s="20" t="str">
        <f>'[1]APRIL 2022 '!B184</f>
        <v>LM</v>
      </c>
      <c r="C486" s="21">
        <f>'[1]APRIL 2022 '!C184</f>
        <v>0</v>
      </c>
      <c r="D486" s="21">
        <f>'[1]APRIL 2022 '!D184</f>
        <v>788.74</v>
      </c>
      <c r="E486" s="21">
        <f>'[1]APRIL 2022 '!E184</f>
        <v>0</v>
      </c>
      <c r="F486" s="21">
        <f>'[1]APRIL 2022 '!F184</f>
        <v>0</v>
      </c>
      <c r="G486" s="4"/>
      <c r="H486" s="22"/>
    </row>
    <row r="487" spans="1:8" x14ac:dyDescent="0.2">
      <c r="A487" s="23">
        <f>'[1]APRIL 2022 '!A185</f>
        <v>44678</v>
      </c>
      <c r="B487" s="23" t="str">
        <f>'[1]APRIL 2022 '!B185</f>
        <v>Andere</v>
      </c>
      <c r="C487" s="24">
        <f>'[1]APRIL 2022 '!C185</f>
        <v>0</v>
      </c>
      <c r="D487" s="24">
        <f>'[1]APRIL 2022 '!D185</f>
        <v>1000</v>
      </c>
      <c r="E487" s="24">
        <f>'[1]APRIL 2022 '!E185</f>
        <v>0</v>
      </c>
      <c r="F487" s="24">
        <f>'[1]APRIL 2022 '!F185</f>
        <v>0</v>
      </c>
      <c r="G487" s="4"/>
      <c r="H487" s="4"/>
    </row>
    <row r="488" spans="1:8" x14ac:dyDescent="0.2">
      <c r="A488" s="23">
        <f>'[1]APRIL 2022 '!A191</f>
        <v>44679</v>
      </c>
      <c r="B488" s="23" t="str">
        <f>'[1]APRIL 2022 '!B191</f>
        <v>LM</v>
      </c>
      <c r="C488" s="24">
        <f>'[1]APRIL 2022 '!C191</f>
        <v>0</v>
      </c>
      <c r="D488" s="24">
        <f>'[1]APRIL 2022 '!D191</f>
        <v>529</v>
      </c>
      <c r="E488" s="24">
        <f>'[1]APRIL 2022 '!E191</f>
        <v>0</v>
      </c>
      <c r="F488" s="24">
        <f>'[1]APRIL 2022 '!F191</f>
        <v>0</v>
      </c>
      <c r="G488" s="4"/>
      <c r="H488" s="4"/>
    </row>
    <row r="489" spans="1:8" x14ac:dyDescent="0.2">
      <c r="A489" s="20">
        <f>'[1]APRIL 2022 '!A192</f>
        <v>44679</v>
      </c>
      <c r="B489" s="20" t="str">
        <f>'[1]APRIL 2022 '!B192</f>
        <v>Rauchen</v>
      </c>
      <c r="C489" s="21">
        <f>'[1]APRIL 2022 '!C192</f>
        <v>0</v>
      </c>
      <c r="D489" s="21">
        <f>'[1]APRIL 2022 '!D192</f>
        <v>170</v>
      </c>
      <c r="E489" s="21">
        <f>'[1]APRIL 2022 '!E192</f>
        <v>0</v>
      </c>
      <c r="F489" s="21">
        <f>'[1]APRIL 2022 '!F192</f>
        <v>0</v>
      </c>
      <c r="G489" s="4"/>
      <c r="H489" s="22"/>
    </row>
    <row r="490" spans="1:8" x14ac:dyDescent="0.2">
      <c r="A490" s="20">
        <f>'[1]APRIL 2022 '!A198</f>
        <v>44680</v>
      </c>
      <c r="B490" s="20" t="str">
        <f>'[1]APRIL 2022 '!B198</f>
        <v>LM</v>
      </c>
      <c r="C490" s="21">
        <f>'[1]APRIL 2022 '!C198</f>
        <v>0</v>
      </c>
      <c r="D490" s="21">
        <f>'[1]APRIL 2022 '!D198</f>
        <v>490</v>
      </c>
      <c r="E490" s="21">
        <f>'[1]APRIL 2022 '!E198</f>
        <v>0</v>
      </c>
      <c r="F490" s="21">
        <f>'[1]APRIL 2022 '!F198</f>
        <v>0</v>
      </c>
      <c r="G490" s="4"/>
      <c r="H490" s="22"/>
    </row>
    <row r="491" spans="1:8" x14ac:dyDescent="0.2">
      <c r="A491" s="23">
        <f>'[1]APRIL 2022 '!A199</f>
        <v>44680</v>
      </c>
      <c r="B491" s="23" t="str">
        <f>'[1]APRIL 2022 '!B199</f>
        <v>LM</v>
      </c>
      <c r="C491" s="24">
        <f>'[1]APRIL 2022 '!C199</f>
        <v>0</v>
      </c>
      <c r="D491" s="24">
        <f>'[1]APRIL 2022 '!D199</f>
        <v>370</v>
      </c>
      <c r="E491" s="24">
        <f>'[1]APRIL 2022 '!E199</f>
        <v>0</v>
      </c>
      <c r="F491" s="24">
        <f>'[1]APRIL 2022 '!F199</f>
        <v>0</v>
      </c>
      <c r="G491" s="4"/>
      <c r="H491" s="4"/>
    </row>
    <row r="492" spans="1:8" x14ac:dyDescent="0.2">
      <c r="A492" s="20">
        <f>'[1]APRIL 2022 '!A200</f>
        <v>44680</v>
      </c>
      <c r="B492" s="20" t="str">
        <f>'[1]APRIL 2022 '!B200</f>
        <v>Andere</v>
      </c>
      <c r="C492" s="21">
        <f>'[1]APRIL 2022 '!C200</f>
        <v>0</v>
      </c>
      <c r="D492" s="21">
        <f>'[1]APRIL 2022 '!D200</f>
        <v>200</v>
      </c>
      <c r="E492" s="21">
        <f>'[1]APRIL 2022 '!E200</f>
        <v>0</v>
      </c>
      <c r="F492" s="21">
        <f>'[1]APRIL 2022 '!F200</f>
        <v>0</v>
      </c>
      <c r="G492" s="4"/>
      <c r="H492" s="22"/>
    </row>
    <row r="493" spans="1:8" x14ac:dyDescent="0.2">
      <c r="A493" s="23">
        <f>'[1]APRIL 2022 '!A205</f>
        <v>44681</v>
      </c>
      <c r="B493" s="23" t="str">
        <f>'[1]APRIL 2022 '!B205</f>
        <v>Party</v>
      </c>
      <c r="C493" s="24">
        <f>'[1]APRIL 2022 '!C205</f>
        <v>0</v>
      </c>
      <c r="D493" s="24">
        <f>'[1]APRIL 2022 '!D205</f>
        <v>1800</v>
      </c>
      <c r="E493" s="24">
        <f>'[1]APRIL 2022 '!E205</f>
        <v>0</v>
      </c>
      <c r="F493" s="24">
        <f>'[1]APRIL 2022 '!F205</f>
        <v>0</v>
      </c>
      <c r="G493" s="4"/>
      <c r="H493" s="4"/>
    </row>
    <row r="494" spans="1:8" x14ac:dyDescent="0.2">
      <c r="A494" s="20">
        <f>'[1]APRIL 2022 '!A206</f>
        <v>44681</v>
      </c>
      <c r="B494" s="20" t="str">
        <f>'[1]APRIL 2022 '!B206</f>
        <v>Andere</v>
      </c>
      <c r="C494" s="21">
        <f>'[1]APRIL 2022 '!C206</f>
        <v>0</v>
      </c>
      <c r="D494" s="21">
        <f>'[1]APRIL 2022 '!D206</f>
        <v>500</v>
      </c>
      <c r="E494" s="21">
        <f>'[1]APRIL 2022 '!E206</f>
        <v>0</v>
      </c>
      <c r="F494" s="21">
        <f>'[1]APRIL 2022 '!F206</f>
        <v>0</v>
      </c>
      <c r="G494" s="4"/>
      <c r="H494" s="22"/>
    </row>
    <row r="495" spans="1:8" x14ac:dyDescent="0.2">
      <c r="A495" s="23">
        <f>'[1]APRIL 2022 '!A207</f>
        <v>44681</v>
      </c>
      <c r="B495" s="23" t="str">
        <f>'[1]APRIL 2022 '!B207</f>
        <v>Refill</v>
      </c>
      <c r="C495" s="24">
        <f>'[1]APRIL 2022 '!C207</f>
        <v>1610.6499999999999</v>
      </c>
      <c r="D495" s="24">
        <f>'[1]APRIL 2022 '!D207</f>
        <v>0</v>
      </c>
      <c r="E495" s="24">
        <f>'[1]APRIL 2022 '!E207</f>
        <v>0</v>
      </c>
      <c r="F495" s="24">
        <f>'[1]APRIL 2022 '!F207</f>
        <v>0</v>
      </c>
      <c r="G495" s="4"/>
      <c r="H495" s="4"/>
    </row>
    <row r="496" spans="1:8" x14ac:dyDescent="0.2">
      <c r="A496" s="20">
        <f>'[1]APRIL 2022 '!A208</f>
        <v>44681</v>
      </c>
      <c r="B496" s="20" t="str">
        <f>'[1]APRIL 2022 '!B208</f>
        <v>LM</v>
      </c>
      <c r="C496" s="21">
        <f>'[1]APRIL 2022 '!C208</f>
        <v>0</v>
      </c>
      <c r="D496" s="21">
        <f>'[1]APRIL 2022 '!D208</f>
        <v>505.85</v>
      </c>
      <c r="E496" s="21">
        <f>'[1]APRIL 2022 '!E208</f>
        <v>0</v>
      </c>
      <c r="F496" s="21">
        <f>'[1]APRIL 2022 '!F208</f>
        <v>0</v>
      </c>
      <c r="G496" s="4"/>
      <c r="H496" s="22"/>
    </row>
    <row r="497" spans="1:8" x14ac:dyDescent="0.2">
      <c r="A497" s="20">
        <f>'[1]MAY 2022'!A2</f>
        <v>44682</v>
      </c>
      <c r="B497" s="20" t="str">
        <f>'[1]MAY 2022'!B2</f>
        <v>LM</v>
      </c>
      <c r="C497" s="21">
        <f>'[1]MAY 2022'!C2</f>
        <v>0</v>
      </c>
      <c r="D497" s="21">
        <f>'[1]MAY 2022'!D2</f>
        <v>589.99</v>
      </c>
      <c r="E497" s="21">
        <f>'[1]MAY 2022'!E2</f>
        <v>0</v>
      </c>
      <c r="F497" s="21">
        <f>'[1]MAY 2022'!F2</f>
        <v>0</v>
      </c>
      <c r="G497" s="4"/>
      <c r="H497" s="22"/>
    </row>
    <row r="498" spans="1:8" x14ac:dyDescent="0.2">
      <c r="A498" s="23">
        <f>'[1]MAY 2022'!A9</f>
        <v>44683</v>
      </c>
      <c r="B498" s="23" t="str">
        <f>'[1]MAY 2022'!B9</f>
        <v>for me</v>
      </c>
      <c r="C498" s="24">
        <f>'[1]MAY 2022'!C9</f>
        <v>0</v>
      </c>
      <c r="D498" s="24">
        <f>'[1]MAY 2022'!D9</f>
        <v>600</v>
      </c>
      <c r="E498" s="24">
        <f>'[1]MAY 2022'!E9</f>
        <v>0</v>
      </c>
      <c r="F498" s="24">
        <f>'[1]MAY 2022'!F9</f>
        <v>0</v>
      </c>
      <c r="G498" s="4"/>
      <c r="H498" s="4"/>
    </row>
    <row r="499" spans="1:8" x14ac:dyDescent="0.2">
      <c r="A499" s="20">
        <f>'[1]MAY 2022'!A10</f>
        <v>44683</v>
      </c>
      <c r="B499" s="20" t="str">
        <f>'[1]MAY 2022'!B10</f>
        <v>LM</v>
      </c>
      <c r="C499" s="21">
        <f>'[1]MAY 2022'!C10</f>
        <v>0</v>
      </c>
      <c r="D499" s="21">
        <f>'[1]MAY 2022'!D10</f>
        <v>351.98</v>
      </c>
      <c r="E499" s="21">
        <f>'[1]MAY 2022'!E10</f>
        <v>0</v>
      </c>
      <c r="F499" s="21">
        <f>'[1]MAY 2022'!F10</f>
        <v>0</v>
      </c>
      <c r="G499" s="4"/>
      <c r="H499" s="22"/>
    </row>
    <row r="500" spans="1:8" x14ac:dyDescent="0.2">
      <c r="A500" s="23">
        <f>'[1]MAY 2022'!A23</f>
        <v>44685</v>
      </c>
      <c r="B500" s="23" t="str">
        <f>'[1]MAY 2022'!B23</f>
        <v>VM</v>
      </c>
      <c r="C500" s="24">
        <f>'[1]MAY 2022'!C23</f>
        <v>0</v>
      </c>
      <c r="D500" s="24">
        <f>'[1]MAY 2022'!D23</f>
        <v>435</v>
      </c>
      <c r="E500" s="24">
        <f>'[1]MAY 2022'!E23</f>
        <v>0</v>
      </c>
      <c r="F500" s="24">
        <f>'[1]MAY 2022'!F23</f>
        <v>0</v>
      </c>
      <c r="G500" s="4"/>
      <c r="H500" s="4"/>
    </row>
    <row r="501" spans="1:8" x14ac:dyDescent="0.2">
      <c r="A501" s="20">
        <f>'[1]MAY 2022'!A24</f>
        <v>44685</v>
      </c>
      <c r="B501" s="20" t="str">
        <f>'[1]MAY 2022'!B24</f>
        <v>for me</v>
      </c>
      <c r="C501" s="21">
        <f>'[1]MAY 2022'!C24</f>
        <v>0</v>
      </c>
      <c r="D501" s="21">
        <f>'[1]MAY 2022'!D24</f>
        <v>211.57</v>
      </c>
      <c r="E501" s="21">
        <f>'[1]MAY 2022'!E24</f>
        <v>0</v>
      </c>
      <c r="F501" s="21">
        <f>'[1]MAY 2022'!F24</f>
        <v>0</v>
      </c>
      <c r="G501" s="4"/>
      <c r="H501" s="22"/>
    </row>
    <row r="502" spans="1:8" x14ac:dyDescent="0.2">
      <c r="A502" s="23">
        <f>'[1]MAY 2022'!A25</f>
        <v>44685</v>
      </c>
      <c r="B502" s="23" t="str">
        <f>'[1]MAY 2022'!B25</f>
        <v>LM</v>
      </c>
      <c r="C502" s="24">
        <f>'[1]MAY 2022'!C25</f>
        <v>0</v>
      </c>
      <c r="D502" s="24">
        <f>'[1]MAY 2022'!D25</f>
        <v>440</v>
      </c>
      <c r="E502" s="24">
        <f>'[1]MAY 2022'!E25</f>
        <v>0</v>
      </c>
      <c r="F502" s="24">
        <f>'[1]MAY 2022'!F25</f>
        <v>0</v>
      </c>
      <c r="G502" s="4"/>
      <c r="H502" s="4"/>
    </row>
    <row r="503" spans="1:8" x14ac:dyDescent="0.2">
      <c r="A503" s="20">
        <f>'[1]MAY 2022'!A26</f>
        <v>44685</v>
      </c>
      <c r="B503" s="20" t="str">
        <f>'[1]MAY 2022'!B26</f>
        <v>LM</v>
      </c>
      <c r="C503" s="21">
        <f>'[1]MAY 2022'!C26</f>
        <v>0</v>
      </c>
      <c r="D503" s="21">
        <f>'[1]MAY 2022'!D26</f>
        <v>144</v>
      </c>
      <c r="E503" s="21">
        <f>'[1]MAY 2022'!E26</f>
        <v>0</v>
      </c>
      <c r="F503" s="21">
        <f>'[1]MAY 2022'!F26</f>
        <v>0</v>
      </c>
      <c r="G503" s="4"/>
      <c r="H503" s="22"/>
    </row>
    <row r="504" spans="1:8" x14ac:dyDescent="0.2">
      <c r="A504" s="23">
        <f>'[1]MAY 2022'!A27</f>
        <v>44685</v>
      </c>
      <c r="B504" s="23" t="str">
        <f>'[1]MAY 2022'!B27</f>
        <v>Andere</v>
      </c>
      <c r="C504" s="24">
        <f>'[1]MAY 2022'!C27</f>
        <v>0</v>
      </c>
      <c r="D504" s="24">
        <f>'[1]MAY 2022'!D27</f>
        <v>303</v>
      </c>
      <c r="E504" s="24">
        <f>'[1]MAY 2022'!E27</f>
        <v>0</v>
      </c>
      <c r="F504" s="24">
        <f>'[1]MAY 2022'!F27</f>
        <v>0</v>
      </c>
      <c r="G504" s="4"/>
      <c r="H504" s="4"/>
    </row>
    <row r="505" spans="1:8" x14ac:dyDescent="0.2">
      <c r="A505" s="20">
        <f>'[1]MAY 2022'!A28</f>
        <v>44685</v>
      </c>
      <c r="B505" s="20" t="str">
        <f>'[1]MAY 2022'!B28</f>
        <v>LM</v>
      </c>
      <c r="C505" s="21">
        <f>'[1]MAY 2022'!C28</f>
        <v>0</v>
      </c>
      <c r="D505" s="21">
        <f>'[1]MAY 2022'!D28</f>
        <v>260</v>
      </c>
      <c r="E505" s="21">
        <f>'[1]MAY 2022'!E28</f>
        <v>0</v>
      </c>
      <c r="F505" s="21">
        <f>'[1]MAY 2022'!F28</f>
        <v>0</v>
      </c>
      <c r="G505" s="4"/>
      <c r="H505" s="22"/>
    </row>
    <row r="506" spans="1:8" x14ac:dyDescent="0.2">
      <c r="A506" s="20">
        <f>'[1]MAY 2022'!A30</f>
        <v>44686</v>
      </c>
      <c r="B506" s="20" t="str">
        <f>'[1]MAY 2022'!B30</f>
        <v>Party</v>
      </c>
      <c r="C506" s="21">
        <f>'[1]MAY 2022'!C30</f>
        <v>0</v>
      </c>
      <c r="D506" s="21">
        <f>'[1]MAY 2022'!D30</f>
        <v>1090</v>
      </c>
      <c r="E506" s="21">
        <f>'[1]MAY 2022'!E30</f>
        <v>0</v>
      </c>
      <c r="F506" s="21">
        <f>'[1]MAY 2022'!F30</f>
        <v>0</v>
      </c>
      <c r="G506" s="4"/>
      <c r="H506" s="22"/>
    </row>
    <row r="507" spans="1:8" x14ac:dyDescent="0.2">
      <c r="A507" s="23">
        <f>'[1]MAY 2022'!A31</f>
        <v>44686</v>
      </c>
      <c r="B507" s="23" t="str">
        <f>'[1]MAY 2022'!B31</f>
        <v>for me</v>
      </c>
      <c r="C507" s="24">
        <f>'[1]MAY 2022'!C31</f>
        <v>0</v>
      </c>
      <c r="D507" s="24">
        <f>'[1]MAY 2022'!D31</f>
        <v>750</v>
      </c>
      <c r="E507" s="24">
        <f>'[1]MAY 2022'!E31</f>
        <v>0</v>
      </c>
      <c r="F507" s="24">
        <f>'[1]MAY 2022'!F31</f>
        <v>0</v>
      </c>
      <c r="G507" s="4"/>
      <c r="H507" s="4"/>
    </row>
    <row r="508" spans="1:8" x14ac:dyDescent="0.2">
      <c r="A508" s="20">
        <f>'[1]MAY 2022'!A32</f>
        <v>44686</v>
      </c>
      <c r="B508" s="20" t="str">
        <f>'[1]MAY 2022'!B32</f>
        <v>Rauchen</v>
      </c>
      <c r="C508" s="21">
        <f>'[1]MAY 2022'!C32</f>
        <v>0</v>
      </c>
      <c r="D508" s="21">
        <f>'[1]MAY 2022'!D32</f>
        <v>150</v>
      </c>
      <c r="E508" s="21">
        <f>'[1]MAY 2022'!E32</f>
        <v>0</v>
      </c>
      <c r="F508" s="21">
        <f>'[1]MAY 2022'!F32</f>
        <v>0</v>
      </c>
      <c r="G508" s="4"/>
      <c r="H508" s="22"/>
    </row>
    <row r="509" spans="1:8" x14ac:dyDescent="0.2">
      <c r="A509" s="23">
        <f>'[1]MAY 2022'!A33</f>
        <v>44686</v>
      </c>
      <c r="B509" s="23" t="str">
        <f>'[1]MAY 2022'!B33</f>
        <v>LM</v>
      </c>
      <c r="C509" s="24">
        <f>'[1]MAY 2022'!C33</f>
        <v>0</v>
      </c>
      <c r="D509" s="24">
        <f>'[1]MAY 2022'!D33</f>
        <v>467</v>
      </c>
      <c r="E509" s="24">
        <f>'[1]MAY 2022'!E33</f>
        <v>0</v>
      </c>
      <c r="F509" s="24">
        <f>'[1]MAY 2022'!F33</f>
        <v>0</v>
      </c>
      <c r="G509" s="4"/>
      <c r="H509" s="4"/>
    </row>
    <row r="510" spans="1:8" x14ac:dyDescent="0.2">
      <c r="A510" s="20">
        <f>'[1]MAY 2022'!A34</f>
        <v>44686</v>
      </c>
      <c r="B510" s="20" t="str">
        <f>'[1]MAY 2022'!B34</f>
        <v>none</v>
      </c>
      <c r="C510" s="21">
        <f>'[1]MAY 2022'!C34</f>
        <v>0</v>
      </c>
      <c r="D510" s="21">
        <f>'[1]MAY 2022'!D34</f>
        <v>500</v>
      </c>
      <c r="E510" s="21">
        <f>'[1]MAY 2022'!E34</f>
        <v>500</v>
      </c>
      <c r="F510" s="21">
        <f>'[1]MAY 2022'!F34</f>
        <v>0</v>
      </c>
      <c r="G510" s="4"/>
      <c r="H510" s="22"/>
    </row>
    <row r="511" spans="1:8" x14ac:dyDescent="0.2">
      <c r="A511" s="23">
        <f>'[1]MAY 2022'!A35</f>
        <v>44686</v>
      </c>
      <c r="B511" s="23" t="str">
        <f>'[1]MAY 2022'!B35</f>
        <v>LM</v>
      </c>
      <c r="C511" s="24">
        <f>'[1]MAY 2022'!C35</f>
        <v>0</v>
      </c>
      <c r="D511" s="24">
        <f>'[1]MAY 2022'!D35</f>
        <v>0</v>
      </c>
      <c r="E511" s="24">
        <f>'[1]MAY 2022'!E35</f>
        <v>0</v>
      </c>
      <c r="F511" s="24">
        <f>'[1]MAY 2022'!F35</f>
        <v>270</v>
      </c>
      <c r="G511" s="4"/>
      <c r="H511" s="4"/>
    </row>
    <row r="512" spans="1:8" x14ac:dyDescent="0.2">
      <c r="A512" s="23">
        <f>'[1]MAY 2022'!A37</f>
        <v>44687</v>
      </c>
      <c r="B512" s="23" t="str">
        <f>'[1]MAY 2022'!B37</f>
        <v>LM</v>
      </c>
      <c r="C512" s="24">
        <f>'[1]MAY 2022'!C37</f>
        <v>0</v>
      </c>
      <c r="D512" s="24">
        <f>'[1]MAY 2022'!D37</f>
        <v>278</v>
      </c>
      <c r="E512" s="24">
        <f>'[1]MAY 2022'!E37</f>
        <v>0</v>
      </c>
      <c r="F512" s="24">
        <f>'[1]MAY 2022'!F37</f>
        <v>0</v>
      </c>
      <c r="G512" s="4"/>
      <c r="H512" s="4"/>
    </row>
    <row r="513" spans="1:8" x14ac:dyDescent="0.2">
      <c r="A513" s="20">
        <f>'[1]MAY 2022'!A38</f>
        <v>44687</v>
      </c>
      <c r="B513" s="20" t="str">
        <f>'[1]MAY 2022'!B38</f>
        <v>Education</v>
      </c>
      <c r="C513" s="21">
        <f>'[1]MAY 2022'!C38</f>
        <v>0</v>
      </c>
      <c r="D513" s="21">
        <f>'[1]MAY 2022'!D38</f>
        <v>750</v>
      </c>
      <c r="E513" s="21">
        <f>'[1]MAY 2022'!E38</f>
        <v>0</v>
      </c>
      <c r="F513" s="21">
        <f>'[1]MAY 2022'!F38</f>
        <v>0</v>
      </c>
      <c r="G513" s="4"/>
      <c r="H513" s="22"/>
    </row>
    <row r="514" spans="1:8" x14ac:dyDescent="0.2">
      <c r="A514" s="23">
        <f>'[1]MAY 2022'!A39</f>
        <v>44687</v>
      </c>
      <c r="B514" s="23" t="str">
        <f>'[1]MAY 2022'!B39</f>
        <v>Refill</v>
      </c>
      <c r="C514" s="24">
        <f>'[1]MAY 2022'!C39</f>
        <v>116778.57</v>
      </c>
      <c r="D514" s="24">
        <f>'[1]MAY 2022'!D39</f>
        <v>0</v>
      </c>
      <c r="E514" s="24">
        <f>'[1]MAY 2022'!E39</f>
        <v>0</v>
      </c>
      <c r="F514" s="24">
        <f>'[1]MAY 2022'!F39</f>
        <v>0</v>
      </c>
      <c r="G514" s="4"/>
      <c r="H514" s="4"/>
    </row>
    <row r="515" spans="1:8" x14ac:dyDescent="0.2">
      <c r="A515" s="20">
        <f>'[1]MAY 2022'!A40</f>
        <v>44687</v>
      </c>
      <c r="B515" s="20" t="str">
        <f>'[1]MAY 2022'!B40</f>
        <v>VM</v>
      </c>
      <c r="C515" s="21">
        <f>'[1]MAY 2022'!C40</f>
        <v>0</v>
      </c>
      <c r="D515" s="21">
        <f>'[1]MAY 2022'!D40</f>
        <v>494</v>
      </c>
      <c r="E515" s="21">
        <f>'[1]MAY 2022'!E40</f>
        <v>0</v>
      </c>
      <c r="F515" s="21">
        <f>'[1]MAY 2022'!F40</f>
        <v>0</v>
      </c>
      <c r="G515" s="4"/>
      <c r="H515" s="22"/>
    </row>
    <row r="516" spans="1:8" x14ac:dyDescent="0.2">
      <c r="A516" s="23">
        <f>'[1]MAY 2022'!A41</f>
        <v>44687</v>
      </c>
      <c r="B516" s="23" t="str">
        <f>'[1]MAY 2022'!B41</f>
        <v>Andere</v>
      </c>
      <c r="C516" s="24">
        <f>'[1]MAY 2022'!C41</f>
        <v>0</v>
      </c>
      <c r="D516" s="24">
        <f>'[1]MAY 2022'!D41</f>
        <v>4950</v>
      </c>
      <c r="E516" s="24">
        <f>'[1]MAY 2022'!E41</f>
        <v>0</v>
      </c>
      <c r="F516" s="24">
        <f>'[1]MAY 2022'!F41</f>
        <v>0</v>
      </c>
      <c r="G516" s="4"/>
      <c r="H516" s="4"/>
    </row>
    <row r="517" spans="1:8" x14ac:dyDescent="0.2">
      <c r="A517" s="20">
        <f>'[1]MAY 2022'!A42</f>
        <v>44687</v>
      </c>
      <c r="B517" s="20" t="str">
        <f>'[1]MAY 2022'!B42</f>
        <v>none</v>
      </c>
      <c r="C517" s="21">
        <f>'[1]MAY 2022'!C42</f>
        <v>804</v>
      </c>
      <c r="D517" s="21">
        <f>'[1]MAY 2022'!D42</f>
        <v>0</v>
      </c>
      <c r="E517" s="21">
        <f>'[1]MAY 2022'!E42</f>
        <v>0</v>
      </c>
      <c r="F517" s="21">
        <f>'[1]MAY 2022'!F42</f>
        <v>0</v>
      </c>
      <c r="G517" s="4"/>
      <c r="H517" s="22"/>
    </row>
    <row r="518" spans="1:8" x14ac:dyDescent="0.2">
      <c r="A518" s="20">
        <f>'[1]MAY 2022'!A44</f>
        <v>44688</v>
      </c>
      <c r="B518" s="20" t="str">
        <f>'[1]MAY 2022'!B44</f>
        <v>LM</v>
      </c>
      <c r="C518" s="21">
        <f>'[1]MAY 2022'!C44</f>
        <v>0</v>
      </c>
      <c r="D518" s="21">
        <f>'[1]MAY 2022'!D44</f>
        <v>2580</v>
      </c>
      <c r="E518" s="21">
        <f>'[1]MAY 2022'!E44</f>
        <v>0</v>
      </c>
      <c r="F518" s="21">
        <f>'[1]MAY 2022'!F44</f>
        <v>0</v>
      </c>
      <c r="G518" s="4"/>
      <c r="H518" s="22"/>
    </row>
    <row r="519" spans="1:8" x14ac:dyDescent="0.2">
      <c r="A519" s="23">
        <f>'[1]MAY 2022'!A45</f>
        <v>44688</v>
      </c>
      <c r="B519" s="23" t="str">
        <f>'[1]MAY 2022'!B45</f>
        <v>for me</v>
      </c>
      <c r="C519" s="24">
        <f>'[1]MAY 2022'!C45</f>
        <v>0</v>
      </c>
      <c r="D519" s="24">
        <f>'[1]MAY 2022'!D45</f>
        <v>1181.5</v>
      </c>
      <c r="E519" s="24">
        <f>'[1]MAY 2022'!E45</f>
        <v>0</v>
      </c>
      <c r="F519" s="24">
        <f>'[1]MAY 2022'!F45</f>
        <v>0</v>
      </c>
      <c r="G519" s="4"/>
      <c r="H519" s="4"/>
    </row>
    <row r="520" spans="1:8" x14ac:dyDescent="0.2">
      <c r="A520" s="20">
        <f>'[1]MAY 2022'!A46</f>
        <v>44688</v>
      </c>
      <c r="B520" s="20" t="str">
        <f>'[1]MAY 2022'!B46</f>
        <v>LM</v>
      </c>
      <c r="C520" s="21">
        <f>'[1]MAY 2022'!C46</f>
        <v>0</v>
      </c>
      <c r="D520" s="21">
        <f>'[1]MAY 2022'!D46</f>
        <v>630.99</v>
      </c>
      <c r="E520" s="21">
        <f>'[1]MAY 2022'!E46</f>
        <v>0</v>
      </c>
      <c r="F520" s="21">
        <f>'[1]MAY 2022'!F46</f>
        <v>0</v>
      </c>
      <c r="G520" s="4"/>
      <c r="H520" s="22"/>
    </row>
    <row r="521" spans="1:8" x14ac:dyDescent="0.2">
      <c r="A521" s="23">
        <f>'[1]MAY 2022'!A47</f>
        <v>44688</v>
      </c>
      <c r="B521" s="23" t="str">
        <f>'[1]MAY 2022'!B47</f>
        <v>Andere</v>
      </c>
      <c r="C521" s="24">
        <f>'[1]MAY 2022'!C47</f>
        <v>0</v>
      </c>
      <c r="D521" s="24">
        <f>'[1]MAY 2022'!D47</f>
        <v>1550</v>
      </c>
      <c r="E521" s="24">
        <f>'[1]MAY 2022'!E47</f>
        <v>0</v>
      </c>
      <c r="F521" s="24">
        <f>'[1]MAY 2022'!F47</f>
        <v>0</v>
      </c>
      <c r="G521" s="4"/>
      <c r="H521" s="4"/>
    </row>
    <row r="522" spans="1:8" x14ac:dyDescent="0.2">
      <c r="A522" s="20">
        <f>'[1]MAY 2022'!A48</f>
        <v>44688</v>
      </c>
      <c r="B522" s="20" t="str">
        <f>'[1]MAY 2022'!B48</f>
        <v>LM</v>
      </c>
      <c r="C522" s="21">
        <f>'[1]MAY 2022'!C48</f>
        <v>0</v>
      </c>
      <c r="D522" s="21">
        <f>'[1]MAY 2022'!D48</f>
        <v>961</v>
      </c>
      <c r="E522" s="21">
        <f>'[1]MAY 2022'!E48</f>
        <v>0</v>
      </c>
      <c r="F522" s="21">
        <f>'[1]MAY 2022'!F48</f>
        <v>0</v>
      </c>
      <c r="G522" s="4"/>
      <c r="H522" s="22"/>
    </row>
    <row r="523" spans="1:8" x14ac:dyDescent="0.2">
      <c r="A523" s="23">
        <f>'[1]MAY 2022'!A49</f>
        <v>44688</v>
      </c>
      <c r="B523" s="23" t="str">
        <f>'[1]MAY 2022'!B49</f>
        <v>Party</v>
      </c>
      <c r="C523" s="24">
        <f>'[1]MAY 2022'!C49</f>
        <v>0</v>
      </c>
      <c r="D523" s="24">
        <f>'[1]MAY 2022'!D49</f>
        <v>4950</v>
      </c>
      <c r="E523" s="24">
        <f>'[1]MAY 2022'!E49</f>
        <v>0</v>
      </c>
      <c r="F523" s="24">
        <f>'[1]MAY 2022'!F49</f>
        <v>0</v>
      </c>
      <c r="G523" s="4"/>
      <c r="H523" s="4"/>
    </row>
    <row r="524" spans="1:8" x14ac:dyDescent="0.2">
      <c r="A524" s="20">
        <f>'[1]MAY 2022'!A50</f>
        <v>44688</v>
      </c>
      <c r="B524" s="20" t="str">
        <f>'[1]MAY 2022'!B50</f>
        <v>VM</v>
      </c>
      <c r="C524" s="21">
        <f>'[1]MAY 2022'!C50</f>
        <v>0</v>
      </c>
      <c r="D524" s="21">
        <f>'[1]MAY 2022'!D50</f>
        <v>1315</v>
      </c>
      <c r="E524" s="21">
        <f>'[1]MAY 2022'!E50</f>
        <v>0</v>
      </c>
      <c r="F524" s="21">
        <f>'[1]MAY 2022'!F50</f>
        <v>0</v>
      </c>
      <c r="G524" s="4"/>
      <c r="H524" s="22"/>
    </row>
    <row r="525" spans="1:8" x14ac:dyDescent="0.2">
      <c r="A525" s="23">
        <f>'[1]MAY 2022'!A51</f>
        <v>44689</v>
      </c>
      <c r="B525" s="23" t="str">
        <f>'[1]MAY 2022'!B51</f>
        <v>Party</v>
      </c>
      <c r="C525" s="24">
        <f>'[1]MAY 2022'!C51</f>
        <v>0</v>
      </c>
      <c r="D525" s="24">
        <f>'[1]MAY 2022'!D51</f>
        <v>2517</v>
      </c>
      <c r="E525" s="24">
        <f>'[1]MAY 2022'!E51</f>
        <v>0</v>
      </c>
      <c r="F525" s="24">
        <f>'[1]MAY 2022'!F51</f>
        <v>0</v>
      </c>
      <c r="G525" s="4"/>
      <c r="H525" s="4"/>
    </row>
    <row r="526" spans="1:8" x14ac:dyDescent="0.2">
      <c r="A526" s="20">
        <f>'[1]MAY 2022'!A52</f>
        <v>44689</v>
      </c>
      <c r="B526" s="20" t="str">
        <f>'[1]MAY 2022'!B52</f>
        <v>LM</v>
      </c>
      <c r="C526" s="21">
        <f>'[1]MAY 2022'!C52</f>
        <v>0</v>
      </c>
      <c r="D526" s="21">
        <f>'[1]MAY 2022'!D52</f>
        <v>2729</v>
      </c>
      <c r="E526" s="21">
        <f>'[1]MAY 2022'!E52</f>
        <v>0</v>
      </c>
      <c r="F526" s="21">
        <f>'[1]MAY 2022'!F52</f>
        <v>0</v>
      </c>
      <c r="G526" s="4"/>
      <c r="H526" s="22"/>
    </row>
    <row r="527" spans="1:8" x14ac:dyDescent="0.2">
      <c r="A527" s="23">
        <f>'[1]MAY 2022'!A53</f>
        <v>44689</v>
      </c>
      <c r="B527" s="23" t="str">
        <f>'[1]MAY 2022'!B53</f>
        <v>LM</v>
      </c>
      <c r="C527" s="24">
        <f>'[1]MAY 2022'!C53</f>
        <v>0</v>
      </c>
      <c r="D527" s="24">
        <f>'[1]MAY 2022'!D53</f>
        <v>900</v>
      </c>
      <c r="E527" s="24">
        <f>'[1]MAY 2022'!E53</f>
        <v>0</v>
      </c>
      <c r="F527" s="24">
        <f>'[1]MAY 2022'!F53</f>
        <v>0</v>
      </c>
      <c r="G527" s="4"/>
      <c r="H527" s="4"/>
    </row>
    <row r="528" spans="1:8" x14ac:dyDescent="0.2">
      <c r="A528" s="20">
        <f>'[1]MAY 2022'!A54</f>
        <v>44689</v>
      </c>
      <c r="B528" s="20" t="str">
        <f>'[1]MAY 2022'!B54</f>
        <v>Education</v>
      </c>
      <c r="C528" s="21">
        <f>'[1]MAY 2022'!C54</f>
        <v>0</v>
      </c>
      <c r="D528" s="21">
        <f>'[1]MAY 2022'!D54</f>
        <v>170</v>
      </c>
      <c r="E528" s="21">
        <f>'[1]MAY 2022'!E54</f>
        <v>0</v>
      </c>
      <c r="F528" s="21">
        <f>'[1]MAY 2022'!F54</f>
        <v>0</v>
      </c>
      <c r="G528" s="4"/>
      <c r="H528" s="22"/>
    </row>
    <row r="529" spans="1:8" x14ac:dyDescent="0.2">
      <c r="A529" s="20">
        <f>'[1]MAY 2022'!A58</f>
        <v>44690</v>
      </c>
      <c r="B529" s="20" t="str">
        <f>'[1]MAY 2022'!B58</f>
        <v>LM</v>
      </c>
      <c r="C529" s="21">
        <f>'[1]MAY 2022'!C58</f>
        <v>0</v>
      </c>
      <c r="D529" s="21">
        <f>'[1]MAY 2022'!D58</f>
        <v>290</v>
      </c>
      <c r="E529" s="21">
        <f>'[1]MAY 2022'!E58</f>
        <v>0</v>
      </c>
      <c r="F529" s="21">
        <f>'[1]MAY 2022'!F58</f>
        <v>0</v>
      </c>
      <c r="G529" s="4"/>
      <c r="H529" s="22"/>
    </row>
    <row r="530" spans="1:8" x14ac:dyDescent="0.2">
      <c r="A530" s="23">
        <f>'[1]MAY 2022'!A59</f>
        <v>44690</v>
      </c>
      <c r="B530" s="23" t="str">
        <f>'[1]MAY 2022'!B59</f>
        <v>Party</v>
      </c>
      <c r="C530" s="24">
        <f>'[1]MAY 2022'!C59</f>
        <v>0</v>
      </c>
      <c r="D530" s="24">
        <f>'[1]MAY 2022'!D59</f>
        <v>569.97</v>
      </c>
      <c r="E530" s="24">
        <f>'[1]MAY 2022'!E59</f>
        <v>0</v>
      </c>
      <c r="F530" s="24">
        <f>'[1]MAY 2022'!F59</f>
        <v>0</v>
      </c>
      <c r="G530" s="4"/>
      <c r="H530" s="4"/>
    </row>
    <row r="531" spans="1:8" x14ac:dyDescent="0.2">
      <c r="A531" s="23">
        <f>'[1]MAY 2022'!A65</f>
        <v>44691</v>
      </c>
      <c r="B531" s="23" t="str">
        <f>'[1]MAY 2022'!B65</f>
        <v>LM</v>
      </c>
      <c r="C531" s="24">
        <f>'[1]MAY 2022'!C65</f>
        <v>0</v>
      </c>
      <c r="D531" s="24">
        <f>'[1]MAY 2022'!D65</f>
        <v>1067</v>
      </c>
      <c r="E531" s="24">
        <f>'[1]MAY 2022'!E65</f>
        <v>0</v>
      </c>
      <c r="F531" s="24">
        <f>'[1]MAY 2022'!F65</f>
        <v>0</v>
      </c>
      <c r="G531" s="4"/>
      <c r="H531" s="4"/>
    </row>
    <row r="532" spans="1:8" x14ac:dyDescent="0.2">
      <c r="A532" s="20">
        <f>'[1]MAY 2022'!A66</f>
        <v>44691</v>
      </c>
      <c r="B532" s="20" t="str">
        <f>'[1]MAY 2022'!B66</f>
        <v>none</v>
      </c>
      <c r="C532" s="21">
        <f>'[1]MAY 2022'!C66</f>
        <v>0</v>
      </c>
      <c r="D532" s="21">
        <f>'[1]MAY 2022'!D66</f>
        <v>200</v>
      </c>
      <c r="E532" s="21">
        <f>'[1]MAY 2022'!E66</f>
        <v>200</v>
      </c>
      <c r="F532" s="21">
        <f>'[1]MAY 2022'!F66</f>
        <v>0</v>
      </c>
      <c r="G532" s="4"/>
      <c r="H532" s="22"/>
    </row>
    <row r="533" spans="1:8" x14ac:dyDescent="0.2">
      <c r="A533" s="23">
        <f>'[1]MAY 2022'!A67</f>
        <v>44691</v>
      </c>
      <c r="B533" s="23" t="str">
        <f>'[1]MAY 2022'!B67</f>
        <v>Andere</v>
      </c>
      <c r="C533" s="24">
        <f>'[1]MAY 2022'!C67</f>
        <v>0</v>
      </c>
      <c r="D533" s="24">
        <f>'[1]MAY 2022'!D67</f>
        <v>0</v>
      </c>
      <c r="E533" s="24">
        <f>'[1]MAY 2022'!E67</f>
        <v>0</v>
      </c>
      <c r="F533" s="24">
        <f>'[1]MAY 2022'!F67</f>
        <v>335.73</v>
      </c>
      <c r="G533" s="4"/>
      <c r="H533" s="4"/>
    </row>
    <row r="534" spans="1:8" x14ac:dyDescent="0.2">
      <c r="A534" s="20">
        <f>'[1]MAY 2022'!A72</f>
        <v>44692</v>
      </c>
      <c r="B534" s="20" t="str">
        <f>'[1]MAY 2022'!B72</f>
        <v>Andere</v>
      </c>
      <c r="C534" s="21">
        <f>'[1]MAY 2022'!C72</f>
        <v>0</v>
      </c>
      <c r="D534" s="21">
        <f>'[1]MAY 2022'!D72</f>
        <v>1500</v>
      </c>
      <c r="E534" s="21">
        <f>'[1]MAY 2022'!E72</f>
        <v>0</v>
      </c>
      <c r="F534" s="21">
        <f>'[1]MAY 2022'!F72</f>
        <v>0</v>
      </c>
      <c r="G534" s="4"/>
      <c r="H534" s="22"/>
    </row>
    <row r="535" spans="1:8" x14ac:dyDescent="0.2">
      <c r="A535" s="23">
        <f>'[1]MAY 2022'!A73</f>
        <v>44692</v>
      </c>
      <c r="B535" s="23" t="str">
        <f>'[1]MAY 2022'!B73</f>
        <v>Party</v>
      </c>
      <c r="C535" s="24">
        <f>'[1]MAY 2022'!C73</f>
        <v>0</v>
      </c>
      <c r="D535" s="24">
        <f>'[1]MAY 2022'!D73</f>
        <v>300</v>
      </c>
      <c r="E535" s="24">
        <f>'[1]MAY 2022'!E73</f>
        <v>0</v>
      </c>
      <c r="F535" s="24">
        <f>'[1]MAY 2022'!F73</f>
        <v>0</v>
      </c>
      <c r="G535" s="4"/>
      <c r="H535" s="4"/>
    </row>
    <row r="536" spans="1:8" x14ac:dyDescent="0.2">
      <c r="A536" s="20">
        <f>'[1]MAY 2022'!A74</f>
        <v>44692</v>
      </c>
      <c r="B536" s="20" t="str">
        <f>'[1]MAY 2022'!B74</f>
        <v>VM</v>
      </c>
      <c r="C536" s="21">
        <f>'[1]MAY 2022'!C74</f>
        <v>0</v>
      </c>
      <c r="D536" s="21">
        <f>'[1]MAY 2022'!D74</f>
        <v>200</v>
      </c>
      <c r="E536" s="21">
        <f>'[1]MAY 2022'!E74</f>
        <v>0</v>
      </c>
      <c r="F536" s="21">
        <f>'[1]MAY 2022'!F74</f>
        <v>0</v>
      </c>
      <c r="G536" s="4"/>
      <c r="H536" s="22"/>
    </row>
    <row r="537" spans="1:8" x14ac:dyDescent="0.2">
      <c r="A537" s="23">
        <f>'[1]MAY 2022'!A75</f>
        <v>44692</v>
      </c>
      <c r="B537" s="23" t="str">
        <f>'[1]MAY 2022'!B75</f>
        <v>for me</v>
      </c>
      <c r="C537" s="24">
        <f>'[1]MAY 2022'!C75</f>
        <v>0</v>
      </c>
      <c r="D537" s="24">
        <f>'[1]MAY 2022'!D75</f>
        <v>1143</v>
      </c>
      <c r="E537" s="24">
        <f>'[1]MAY 2022'!E75</f>
        <v>0</v>
      </c>
      <c r="F537" s="24">
        <f>'[1]MAY 2022'!F75</f>
        <v>0</v>
      </c>
      <c r="G537" s="4"/>
      <c r="H537" s="4"/>
    </row>
    <row r="538" spans="1:8" x14ac:dyDescent="0.2">
      <c r="A538" s="20">
        <f>'[1]MAY 2022'!A76</f>
        <v>44692</v>
      </c>
      <c r="B538" s="20" t="str">
        <f>'[1]MAY 2022'!B76</f>
        <v>Rauchen</v>
      </c>
      <c r="C538" s="21">
        <f>'[1]MAY 2022'!C76</f>
        <v>0</v>
      </c>
      <c r="D538" s="21">
        <f>'[1]MAY 2022'!D76</f>
        <v>150</v>
      </c>
      <c r="E538" s="21">
        <f>'[1]MAY 2022'!E76</f>
        <v>0</v>
      </c>
      <c r="F538" s="21">
        <f>'[1]MAY 2022'!F76</f>
        <v>0</v>
      </c>
      <c r="G538" s="4"/>
      <c r="H538" s="22"/>
    </row>
    <row r="539" spans="1:8" x14ac:dyDescent="0.2">
      <c r="A539" s="23">
        <f>'[1]MAY 2022'!A77</f>
        <v>44692</v>
      </c>
      <c r="B539" s="23" t="str">
        <f>'[1]MAY 2022'!B77</f>
        <v>none</v>
      </c>
      <c r="C539" s="24">
        <f>'[1]MAY 2022'!C77</f>
        <v>0</v>
      </c>
      <c r="D539" s="24">
        <f>'[1]MAY 2022'!D77</f>
        <v>1000</v>
      </c>
      <c r="E539" s="24">
        <f>'[1]MAY 2022'!E77</f>
        <v>1000</v>
      </c>
      <c r="F539" s="24">
        <f>'[1]MAY 2022'!F77</f>
        <v>0</v>
      </c>
      <c r="G539" s="4"/>
      <c r="H539" s="4"/>
    </row>
    <row r="540" spans="1:8" x14ac:dyDescent="0.2">
      <c r="A540" s="23">
        <f>'[1]MAY 2022'!A79</f>
        <v>44693</v>
      </c>
      <c r="B540" s="23" t="str">
        <f>'[1]MAY 2022'!B79</f>
        <v>VM</v>
      </c>
      <c r="C540" s="24">
        <f>'[1]MAY 2022'!C79</f>
        <v>0</v>
      </c>
      <c r="D540" s="24">
        <f>'[1]MAY 2022'!D79</f>
        <v>100</v>
      </c>
      <c r="E540" s="24">
        <f>'[1]MAY 2022'!E79</f>
        <v>0</v>
      </c>
      <c r="F540" s="24">
        <f>'[1]MAY 2022'!F79</f>
        <v>0</v>
      </c>
      <c r="G540" s="4"/>
      <c r="H540" s="4"/>
    </row>
    <row r="541" spans="1:8" x14ac:dyDescent="0.2">
      <c r="A541" s="20">
        <f>'[1]MAY 2022'!A80</f>
        <v>44693</v>
      </c>
      <c r="B541" s="20" t="str">
        <f>'[1]MAY 2022'!B80</f>
        <v>LM</v>
      </c>
      <c r="C541" s="21">
        <f>'[1]MAY 2022'!C80</f>
        <v>0</v>
      </c>
      <c r="D541" s="21">
        <f>'[1]MAY 2022'!D80</f>
        <v>555</v>
      </c>
      <c r="E541" s="21">
        <f>'[1]MAY 2022'!E80</f>
        <v>0</v>
      </c>
      <c r="F541" s="21">
        <f>'[1]MAY 2022'!F80</f>
        <v>0</v>
      </c>
      <c r="G541" s="4"/>
      <c r="H541" s="22"/>
    </row>
    <row r="542" spans="1:8" x14ac:dyDescent="0.2">
      <c r="A542" s="20">
        <f>'[1]MAY 2022'!A86</f>
        <v>44694</v>
      </c>
      <c r="B542" s="20" t="str">
        <f>'[1]MAY 2022'!B86</f>
        <v>LM</v>
      </c>
      <c r="C542" s="21">
        <f>'[1]MAY 2022'!C86</f>
        <v>0</v>
      </c>
      <c r="D542" s="21">
        <f>'[1]MAY 2022'!D86</f>
        <v>393.88</v>
      </c>
      <c r="E542" s="21">
        <f>'[1]MAY 2022'!E86</f>
        <v>0</v>
      </c>
      <c r="F542" s="21">
        <f>'[1]MAY 2022'!F86</f>
        <v>0</v>
      </c>
      <c r="G542" s="4"/>
      <c r="H542" s="22"/>
    </row>
    <row r="543" spans="1:8" x14ac:dyDescent="0.2">
      <c r="A543" s="23">
        <f>'[1]MAY 2022'!A87</f>
        <v>44694</v>
      </c>
      <c r="B543" s="23" t="str">
        <f>'[1]MAY 2022'!B87</f>
        <v>none</v>
      </c>
      <c r="C543" s="24">
        <f>'[1]MAY 2022'!C87</f>
        <v>0</v>
      </c>
      <c r="D543" s="24">
        <f>'[1]MAY 2022'!D87</f>
        <v>1000</v>
      </c>
      <c r="E543" s="24">
        <f>'[1]MAY 2022'!E87</f>
        <v>0</v>
      </c>
      <c r="F543" s="24">
        <f>'[1]MAY 2022'!F87</f>
        <v>0</v>
      </c>
      <c r="G543" s="4"/>
      <c r="H543" s="4"/>
    </row>
    <row r="544" spans="1:8" x14ac:dyDescent="0.2">
      <c r="A544" s="20">
        <f>'[1]MAY 2022'!A88</f>
        <v>44694</v>
      </c>
      <c r="B544" s="20" t="str">
        <f>'[1]MAY 2022'!B88</f>
        <v>VM</v>
      </c>
      <c r="C544" s="21">
        <f>'[1]MAY 2022'!C88</f>
        <v>0</v>
      </c>
      <c r="D544" s="21">
        <f>'[1]MAY 2022'!D88</f>
        <v>0</v>
      </c>
      <c r="E544" s="21">
        <f>'[1]MAY 2022'!E88</f>
        <v>0</v>
      </c>
      <c r="F544" s="21">
        <f>'[1]MAY 2022'!F88</f>
        <v>558</v>
      </c>
      <c r="G544" s="4"/>
      <c r="H544" s="22"/>
    </row>
    <row r="545" spans="1:8" x14ac:dyDescent="0.2">
      <c r="A545" s="23">
        <f>'[1]MAY 2022'!A93</f>
        <v>44695</v>
      </c>
      <c r="B545" s="23" t="str">
        <f>'[1]MAY 2022'!B93</f>
        <v>Party</v>
      </c>
      <c r="C545" s="24">
        <f>'[1]MAY 2022'!C93</f>
        <v>0</v>
      </c>
      <c r="D545" s="24">
        <f>'[1]MAY 2022'!D93</f>
        <v>6800</v>
      </c>
      <c r="E545" s="24">
        <f>'[1]MAY 2022'!E93</f>
        <v>0</v>
      </c>
      <c r="F545" s="24">
        <f>'[1]MAY 2022'!F93</f>
        <v>0</v>
      </c>
      <c r="G545" s="4"/>
      <c r="H545" s="4"/>
    </row>
    <row r="546" spans="1:8" x14ac:dyDescent="0.2">
      <c r="A546" s="20">
        <f>'[1]MAY 2022'!A94</f>
        <v>44695</v>
      </c>
      <c r="B546" s="20" t="str">
        <f>'[1]MAY 2022'!B94</f>
        <v>LM</v>
      </c>
      <c r="C546" s="21">
        <f>'[1]MAY 2022'!C94</f>
        <v>0</v>
      </c>
      <c r="D546" s="21">
        <f>'[1]MAY 2022'!D94</f>
        <v>892.9</v>
      </c>
      <c r="E546" s="21">
        <f>'[1]MAY 2022'!E94</f>
        <v>0</v>
      </c>
      <c r="F546" s="21">
        <f>'[1]MAY 2022'!F94</f>
        <v>0</v>
      </c>
      <c r="G546" s="4"/>
      <c r="H546" s="22"/>
    </row>
    <row r="547" spans="1:8" x14ac:dyDescent="0.2">
      <c r="A547" s="23">
        <f>'[1]MAY 2022'!A95</f>
        <v>44695</v>
      </c>
      <c r="B547" s="23" t="str">
        <f>'[1]MAY 2022'!B95</f>
        <v>Rauchen</v>
      </c>
      <c r="C547" s="24">
        <f>'[1]MAY 2022'!C95</f>
        <v>0</v>
      </c>
      <c r="D547" s="24">
        <f>'[1]MAY 2022'!D95</f>
        <v>150</v>
      </c>
      <c r="E547" s="24">
        <f>'[1]MAY 2022'!E95</f>
        <v>0</v>
      </c>
      <c r="F547" s="24">
        <f>'[1]MAY 2022'!F95</f>
        <v>0</v>
      </c>
      <c r="G547" s="4"/>
      <c r="H547" s="4"/>
    </row>
    <row r="548" spans="1:8" x14ac:dyDescent="0.2">
      <c r="A548" s="20">
        <f>'[1]MAY 2022'!A100</f>
        <v>44696</v>
      </c>
      <c r="B548" s="20" t="str">
        <f>'[1]MAY 2022'!B100</f>
        <v>LM</v>
      </c>
      <c r="C548" s="21">
        <f>'[1]MAY 2022'!C100</f>
        <v>0</v>
      </c>
      <c r="D548" s="21">
        <f>'[1]MAY 2022'!D100</f>
        <v>308</v>
      </c>
      <c r="E548" s="21">
        <f>'[1]MAY 2022'!E100</f>
        <v>0</v>
      </c>
      <c r="F548" s="21">
        <f>'[1]MAY 2022'!F100</f>
        <v>0</v>
      </c>
      <c r="G548" s="4"/>
      <c r="H548" s="22"/>
    </row>
    <row r="549" spans="1:8" x14ac:dyDescent="0.2">
      <c r="A549" s="23">
        <f>'[1]MAY 2022'!A101</f>
        <v>44696</v>
      </c>
      <c r="B549" s="23" t="str">
        <f>'[1]MAY 2022'!B101</f>
        <v>VM</v>
      </c>
      <c r="C549" s="24">
        <f>'[1]MAY 2022'!C101</f>
        <v>0</v>
      </c>
      <c r="D549" s="24">
        <f>'[1]MAY 2022'!D101</f>
        <v>0</v>
      </c>
      <c r="E549" s="24">
        <f>'[1]MAY 2022'!E101</f>
        <v>0</v>
      </c>
      <c r="F549" s="24">
        <f>'[1]MAY 2022'!F101</f>
        <v>228.06</v>
      </c>
      <c r="G549" s="4"/>
      <c r="H549" s="4"/>
    </row>
    <row r="550" spans="1:8" x14ac:dyDescent="0.2">
      <c r="A550" s="23">
        <f>'[1]MAY 2022'!A107</f>
        <v>44697</v>
      </c>
      <c r="B550" s="23" t="str">
        <f>'[1]MAY 2022'!B107</f>
        <v>LM</v>
      </c>
      <c r="C550" s="24">
        <f>'[1]MAY 2022'!C107</f>
        <v>0</v>
      </c>
      <c r="D550" s="24">
        <f>'[1]MAY 2022'!D107</f>
        <v>1025</v>
      </c>
      <c r="E550" s="24">
        <f>'[1]MAY 2022'!E107</f>
        <v>0</v>
      </c>
      <c r="F550" s="24">
        <f>'[1]MAY 2022'!F107</f>
        <v>0</v>
      </c>
      <c r="G550" s="4"/>
      <c r="H550" s="4"/>
    </row>
    <row r="551" spans="1:8" x14ac:dyDescent="0.2">
      <c r="A551" s="20">
        <f>'[1]MAY 2022'!A108</f>
        <v>44697</v>
      </c>
      <c r="B551" s="20" t="str">
        <f>'[1]MAY 2022'!B108</f>
        <v>Rauchen</v>
      </c>
      <c r="C551" s="21">
        <f>'[1]MAY 2022'!C108</f>
        <v>0</v>
      </c>
      <c r="D551" s="21">
        <f>'[1]MAY 2022'!D108</f>
        <v>170</v>
      </c>
      <c r="E551" s="21">
        <f>'[1]MAY 2022'!E108</f>
        <v>0</v>
      </c>
      <c r="F551" s="21">
        <f>'[1]MAY 2022'!F108</f>
        <v>0</v>
      </c>
      <c r="G551" s="4"/>
      <c r="H551" s="22"/>
    </row>
    <row r="552" spans="1:8" x14ac:dyDescent="0.2">
      <c r="A552" s="23">
        <f>'[1]MAY 2022'!A109</f>
        <v>44697</v>
      </c>
      <c r="B552" s="23" t="str">
        <f>'[1]MAY 2022'!B109</f>
        <v>VM</v>
      </c>
      <c r="C552" s="24">
        <f>'[1]MAY 2022'!C109</f>
        <v>0</v>
      </c>
      <c r="D552" s="24">
        <f>'[1]MAY 2022'!D109</f>
        <v>0</v>
      </c>
      <c r="E552" s="24">
        <f>'[1]MAY 2022'!E109</f>
        <v>0</v>
      </c>
      <c r="F552" s="24">
        <f>'[1]MAY 2022'!F109</f>
        <v>100</v>
      </c>
      <c r="G552" s="4"/>
      <c r="H552" s="4"/>
    </row>
    <row r="553" spans="1:8" x14ac:dyDescent="0.2">
      <c r="A553" s="20">
        <f>'[1]MAY 2022'!A114</f>
        <v>44698</v>
      </c>
      <c r="B553" s="20" t="str">
        <f>'[1]MAY 2022'!B114</f>
        <v>LM</v>
      </c>
      <c r="C553" s="21">
        <f>'[1]MAY 2022'!C114</f>
        <v>0</v>
      </c>
      <c r="D553" s="21">
        <f>'[1]MAY 2022'!D114</f>
        <v>219.39</v>
      </c>
      <c r="E553" s="21">
        <f>'[1]MAY 2022'!E114</f>
        <v>0</v>
      </c>
      <c r="F553" s="21">
        <f>'[1]MAY 2022'!F114</f>
        <v>0</v>
      </c>
      <c r="G553" s="4"/>
      <c r="H553" s="22"/>
    </row>
    <row r="554" spans="1:8" x14ac:dyDescent="0.2">
      <c r="A554" s="23">
        <f>'[1]MAY 2022'!A115</f>
        <v>44698</v>
      </c>
      <c r="B554" s="23" t="str">
        <f>'[1]MAY 2022'!B115</f>
        <v>LM</v>
      </c>
      <c r="C554" s="24">
        <f>'[1]MAY 2022'!C115</f>
        <v>0</v>
      </c>
      <c r="D554" s="24">
        <f>'[1]MAY 2022'!D115</f>
        <v>425</v>
      </c>
      <c r="E554" s="24">
        <f>'[1]MAY 2022'!E115</f>
        <v>0</v>
      </c>
      <c r="F554" s="24">
        <f>'[1]MAY 2022'!F115</f>
        <v>0</v>
      </c>
      <c r="G554" s="4"/>
      <c r="H554" s="4"/>
    </row>
    <row r="555" spans="1:8" x14ac:dyDescent="0.2">
      <c r="A555" s="23">
        <f>'[1]MAY 2022'!A121</f>
        <v>44699</v>
      </c>
      <c r="B555" s="23" t="str">
        <f>'[1]MAY 2022'!B121</f>
        <v>LM</v>
      </c>
      <c r="C555" s="24">
        <f>'[1]MAY 2022'!C121</f>
        <v>0</v>
      </c>
      <c r="D555" s="24">
        <f>'[1]MAY 2022'!D121</f>
        <v>575</v>
      </c>
      <c r="E555" s="24">
        <f>'[1]MAY 2022'!E121</f>
        <v>0</v>
      </c>
      <c r="F555" s="24">
        <f>'[1]MAY 2022'!F121</f>
        <v>0</v>
      </c>
      <c r="G555" s="4"/>
      <c r="H555" s="4"/>
    </row>
    <row r="556" spans="1:8" x14ac:dyDescent="0.2">
      <c r="A556" s="20">
        <f>'[1]MAY 2022'!A128</f>
        <v>44700</v>
      </c>
      <c r="B556" s="20" t="str">
        <f>'[1]MAY 2022'!B128</f>
        <v>LM</v>
      </c>
      <c r="C556" s="21">
        <f>'[1]MAY 2022'!C128</f>
        <v>0</v>
      </c>
      <c r="D556" s="21">
        <f>'[1]MAY 2022'!D128</f>
        <v>768</v>
      </c>
      <c r="E556" s="21">
        <f>'[1]MAY 2022'!E128</f>
        <v>0</v>
      </c>
      <c r="F556" s="21">
        <f>'[1]MAY 2022'!F128</f>
        <v>0</v>
      </c>
      <c r="G556" s="4"/>
      <c r="H556" s="22"/>
    </row>
    <row r="557" spans="1:8" x14ac:dyDescent="0.2">
      <c r="A557" s="23">
        <f>'[1]MAY 2022'!A129</f>
        <v>44700</v>
      </c>
      <c r="B557" s="23" t="str">
        <f>'[1]MAY 2022'!B129</f>
        <v>Andere</v>
      </c>
      <c r="C557" s="24">
        <f>'[1]MAY 2022'!C129</f>
        <v>0</v>
      </c>
      <c r="D557" s="24">
        <f>'[1]MAY 2022'!D129</f>
        <v>660</v>
      </c>
      <c r="E557" s="24">
        <f>'[1]MAY 2022'!E129</f>
        <v>0</v>
      </c>
      <c r="F557" s="24">
        <f>'[1]MAY 2022'!F129</f>
        <v>0</v>
      </c>
      <c r="G557" s="4"/>
      <c r="H557" s="4"/>
    </row>
    <row r="558" spans="1:8" x14ac:dyDescent="0.2">
      <c r="A558" s="23">
        <f>'[1]MAY 2022'!A135</f>
        <v>44701</v>
      </c>
      <c r="B558" s="23" t="str">
        <f>'[1]MAY 2022'!B135</f>
        <v>LM</v>
      </c>
      <c r="C558" s="24">
        <f>'[1]MAY 2022'!C135</f>
        <v>0</v>
      </c>
      <c r="D558" s="24">
        <f>'[1]MAY 2022'!D135</f>
        <v>440</v>
      </c>
      <c r="E558" s="24">
        <f>'[1]MAY 2022'!E135</f>
        <v>0</v>
      </c>
      <c r="F558" s="24">
        <f>'[1]MAY 2022'!F135</f>
        <v>0</v>
      </c>
      <c r="G558" s="4"/>
      <c r="H558" s="4"/>
    </row>
    <row r="559" spans="1:8" x14ac:dyDescent="0.2">
      <c r="A559" s="20">
        <f>'[1]MAY 2022'!A136</f>
        <v>44701</v>
      </c>
      <c r="B559" s="20" t="str">
        <f>'[1]MAY 2022'!B136</f>
        <v>Rauchen</v>
      </c>
      <c r="C559" s="21">
        <f>'[1]MAY 2022'!C136</f>
        <v>0</v>
      </c>
      <c r="D559" s="21">
        <f>'[1]MAY 2022'!D136</f>
        <v>155</v>
      </c>
      <c r="E559" s="21">
        <f>'[1]MAY 2022'!E136</f>
        <v>0</v>
      </c>
      <c r="F559" s="21">
        <f>'[1]MAY 2022'!F136</f>
        <v>0</v>
      </c>
      <c r="G559" s="4"/>
      <c r="H559" s="22"/>
    </row>
    <row r="560" spans="1:8" x14ac:dyDescent="0.2">
      <c r="A560" s="20">
        <f>'[1]MAY 2022'!A142</f>
        <v>44702</v>
      </c>
      <c r="B560" s="20" t="str">
        <f>'[1]MAY 2022'!B142</f>
        <v>Party</v>
      </c>
      <c r="C560" s="21">
        <f>'[1]MAY 2022'!C142</f>
        <v>0</v>
      </c>
      <c r="D560" s="21">
        <f>'[1]MAY 2022'!D142</f>
        <v>2710</v>
      </c>
      <c r="E560" s="21">
        <f>'[1]MAY 2022'!E142</f>
        <v>0</v>
      </c>
      <c r="F560" s="21">
        <f>'[1]MAY 2022'!F142</f>
        <v>0</v>
      </c>
      <c r="G560" s="4"/>
      <c r="H560" s="22"/>
    </row>
    <row r="561" spans="1:8" x14ac:dyDescent="0.2">
      <c r="A561" s="23">
        <f>'[1]MAY 2022'!A143</f>
        <v>44702</v>
      </c>
      <c r="B561" s="23" t="str">
        <f>'[1]MAY 2022'!B143</f>
        <v>LM</v>
      </c>
      <c r="C561" s="24">
        <f>'[1]MAY 2022'!C143</f>
        <v>0</v>
      </c>
      <c r="D561" s="24">
        <f>'[1]MAY 2022'!D143</f>
        <v>1554.25</v>
      </c>
      <c r="E561" s="24">
        <f>'[1]MAY 2022'!E143</f>
        <v>0</v>
      </c>
      <c r="F561" s="24">
        <f>'[1]MAY 2022'!F143</f>
        <v>0</v>
      </c>
      <c r="G561" s="4"/>
      <c r="H561" s="4"/>
    </row>
    <row r="562" spans="1:8" x14ac:dyDescent="0.2">
      <c r="A562" s="23">
        <f>'[1]MAY 2022'!A149</f>
        <v>44703</v>
      </c>
      <c r="B562" s="23" t="str">
        <f>'[1]MAY 2022'!B149</f>
        <v>Rauchen</v>
      </c>
      <c r="C562" s="24">
        <f>'[1]MAY 2022'!C149</f>
        <v>0</v>
      </c>
      <c r="D562" s="24">
        <f>'[1]MAY 2022'!D149</f>
        <v>150</v>
      </c>
      <c r="E562" s="24">
        <f>'[1]MAY 2022'!E149</f>
        <v>0</v>
      </c>
      <c r="F562" s="24">
        <f>'[1]MAY 2022'!F149</f>
        <v>0</v>
      </c>
      <c r="G562" s="4"/>
      <c r="H562" s="4"/>
    </row>
    <row r="563" spans="1:8" x14ac:dyDescent="0.2">
      <c r="A563" s="20">
        <f>'[1]MAY 2022'!A150</f>
        <v>44703</v>
      </c>
      <c r="B563" s="20" t="str">
        <f>'[1]MAY 2022'!B150</f>
        <v>none</v>
      </c>
      <c r="C563" s="21">
        <f>'[1]MAY 2022'!C150</f>
        <v>0</v>
      </c>
      <c r="D563" s="21">
        <f>'[1]MAY 2022'!D150</f>
        <v>500</v>
      </c>
      <c r="E563" s="21">
        <f>'[1]MAY 2022'!E150</f>
        <v>500</v>
      </c>
      <c r="F563" s="21">
        <f>'[1]MAY 2022'!F150</f>
        <v>0</v>
      </c>
      <c r="G563" s="4"/>
      <c r="H563" s="22"/>
    </row>
    <row r="564" spans="1:8" x14ac:dyDescent="0.2">
      <c r="A564" s="23">
        <f>'[1]MAY 2022'!A151</f>
        <v>44703</v>
      </c>
      <c r="B564" s="23" t="str">
        <f>'[1]MAY 2022'!B151</f>
        <v>VM</v>
      </c>
      <c r="C564" s="24">
        <f>'[1]MAY 2022'!C151</f>
        <v>0</v>
      </c>
      <c r="D564" s="24">
        <f>'[1]MAY 2022'!D151</f>
        <v>350</v>
      </c>
      <c r="E564" s="24">
        <f>'[1]MAY 2022'!E151</f>
        <v>0</v>
      </c>
      <c r="F564" s="24">
        <f>'[1]MAY 2022'!F151</f>
        <v>0</v>
      </c>
      <c r="G564" s="4"/>
      <c r="H564" s="4"/>
    </row>
    <row r="565" spans="1:8" x14ac:dyDescent="0.2">
      <c r="A565" s="20">
        <f>'[1]MAY 2022'!A152</f>
        <v>44703</v>
      </c>
      <c r="B565" s="20" t="str">
        <f>'[1]MAY 2022'!B152</f>
        <v>LM</v>
      </c>
      <c r="C565" s="21">
        <f>'[1]MAY 2022'!C152</f>
        <v>0</v>
      </c>
      <c r="D565" s="21">
        <f>'[1]MAY 2022'!D152</f>
        <v>0</v>
      </c>
      <c r="E565" s="21">
        <f>'[1]MAY 2022'!E152</f>
        <v>0</v>
      </c>
      <c r="F565" s="21">
        <f>'[1]MAY 2022'!F152</f>
        <v>290</v>
      </c>
      <c r="G565" s="4"/>
      <c r="H565" s="22"/>
    </row>
    <row r="566" spans="1:8" x14ac:dyDescent="0.2">
      <c r="A566" s="20">
        <f>'[1]MAY 2022'!A156</f>
        <v>44704</v>
      </c>
      <c r="B566" s="20" t="str">
        <f>'[1]MAY 2022'!B156</f>
        <v>LM</v>
      </c>
      <c r="C566" s="21">
        <f>'[1]MAY 2022'!C156</f>
        <v>0</v>
      </c>
      <c r="D566" s="21">
        <f>'[1]MAY 2022'!D156</f>
        <v>2294.17</v>
      </c>
      <c r="E566" s="21">
        <f>'[1]MAY 2022'!E156</f>
        <v>0</v>
      </c>
      <c r="F566" s="21">
        <f>'[1]MAY 2022'!F156</f>
        <v>0</v>
      </c>
      <c r="G566" s="4"/>
      <c r="H566" s="22"/>
    </row>
    <row r="567" spans="1:8" x14ac:dyDescent="0.2">
      <c r="A567" s="23">
        <f>'[1]MAY 2022'!A157</f>
        <v>44704</v>
      </c>
      <c r="B567" s="23" t="str">
        <f>'[1]MAY 2022'!B157</f>
        <v>Rauchen</v>
      </c>
      <c r="C567" s="24">
        <f>'[1]MAY 2022'!C157</f>
        <v>0</v>
      </c>
      <c r="D567" s="24">
        <f>'[1]MAY 2022'!D157</f>
        <v>160</v>
      </c>
      <c r="E567" s="24">
        <f>'[1]MAY 2022'!E157</f>
        <v>0</v>
      </c>
      <c r="F567" s="24">
        <f>'[1]MAY 2022'!F157</f>
        <v>0</v>
      </c>
      <c r="G567" s="4"/>
      <c r="H567" s="4"/>
    </row>
    <row r="568" spans="1:8" x14ac:dyDescent="0.2">
      <c r="A568" s="23">
        <f>'[1]MAY 2022'!A163</f>
        <v>44705</v>
      </c>
      <c r="B568" s="23" t="str">
        <f>'[1]MAY 2022'!B163</f>
        <v>Refill</v>
      </c>
      <c r="C568" s="24">
        <f>'[1]MAY 2022'!C163</f>
        <v>24012</v>
      </c>
      <c r="D568" s="24">
        <f>'[1]MAY 2022'!D163</f>
        <v>0</v>
      </c>
      <c r="E568" s="24">
        <f>'[1]MAY 2022'!E163</f>
        <v>0</v>
      </c>
      <c r="F568" s="24">
        <f>'[1]MAY 2022'!F163</f>
        <v>0</v>
      </c>
      <c r="G568" s="4"/>
      <c r="H568" s="4"/>
    </row>
    <row r="569" spans="1:8" x14ac:dyDescent="0.2">
      <c r="A569" s="20">
        <f>'[1]MAY 2022'!A164</f>
        <v>44705</v>
      </c>
      <c r="B569" s="20" t="str">
        <f>'[1]MAY 2022'!B164</f>
        <v>LM</v>
      </c>
      <c r="C569" s="21">
        <f>'[1]MAY 2022'!C164</f>
        <v>0</v>
      </c>
      <c r="D569" s="21">
        <f>'[1]MAY 2022'!D164</f>
        <v>525</v>
      </c>
      <c r="E569" s="21">
        <f>'[1]MAY 2022'!E164</f>
        <v>0</v>
      </c>
      <c r="F569" s="21">
        <f>'[1]MAY 2022'!F164</f>
        <v>0</v>
      </c>
      <c r="G569" s="4"/>
      <c r="H569" s="22"/>
    </row>
    <row r="570" spans="1:8" x14ac:dyDescent="0.2">
      <c r="A570" s="20">
        <f>'[1]MAY 2022'!A170</f>
        <v>44706</v>
      </c>
      <c r="B570" s="20" t="str">
        <f>'[1]MAY 2022'!B170</f>
        <v>Rauchen</v>
      </c>
      <c r="C570" s="21">
        <f>'[1]MAY 2022'!C170</f>
        <v>0</v>
      </c>
      <c r="D570" s="21">
        <f>'[1]MAY 2022'!D170</f>
        <v>155</v>
      </c>
      <c r="E570" s="21">
        <f>'[1]MAY 2022'!E170</f>
        <v>0</v>
      </c>
      <c r="F570" s="21">
        <f>'[1]MAY 2022'!F170</f>
        <v>0</v>
      </c>
      <c r="G570" s="4"/>
      <c r="H570" s="22"/>
    </row>
    <row r="571" spans="1:8" x14ac:dyDescent="0.2">
      <c r="A571" s="23">
        <f>'[1]MAY 2022'!A171</f>
        <v>44706</v>
      </c>
      <c r="B571" s="23" t="str">
        <f>'[1]MAY 2022'!B171</f>
        <v>LM</v>
      </c>
      <c r="C571" s="24">
        <f>'[1]MAY 2022'!C171</f>
        <v>0</v>
      </c>
      <c r="D571" s="24">
        <f>'[1]MAY 2022'!D171</f>
        <v>575</v>
      </c>
      <c r="E571" s="24">
        <f>'[1]MAY 2022'!E171</f>
        <v>0</v>
      </c>
      <c r="F571" s="24">
        <f>'[1]MAY 2022'!F171</f>
        <v>0</v>
      </c>
      <c r="G571" s="4"/>
      <c r="H571" s="4"/>
    </row>
    <row r="572" spans="1:8" x14ac:dyDescent="0.2">
      <c r="A572" s="20">
        <f>'[1]MAY 2022'!A172</f>
        <v>44706</v>
      </c>
      <c r="B572" s="20" t="str">
        <f>'[1]MAY 2022'!B172</f>
        <v>LM</v>
      </c>
      <c r="C572" s="21">
        <f>'[1]MAY 2022'!C172</f>
        <v>0</v>
      </c>
      <c r="D572" s="21">
        <f>'[1]MAY 2022'!D172</f>
        <v>1456.68</v>
      </c>
      <c r="E572" s="21">
        <f>'[1]MAY 2022'!E172</f>
        <v>0</v>
      </c>
      <c r="F572" s="21">
        <f>'[1]MAY 2022'!F172</f>
        <v>0</v>
      </c>
      <c r="G572" s="4"/>
      <c r="H572" s="22"/>
    </row>
    <row r="573" spans="1:8" x14ac:dyDescent="0.2">
      <c r="A573" s="23">
        <f>'[1]MAY 2022'!A177</f>
        <v>44707</v>
      </c>
      <c r="B573" s="23" t="str">
        <f>'[1]MAY 2022'!B177</f>
        <v>Andere</v>
      </c>
      <c r="C573" s="24">
        <f>'[1]MAY 2022'!C177</f>
        <v>0</v>
      </c>
      <c r="D573" s="24">
        <f>'[1]MAY 2022'!D177</f>
        <v>3125</v>
      </c>
      <c r="E573" s="24">
        <f>'[1]MAY 2022'!E177</f>
        <v>0</v>
      </c>
      <c r="F573" s="24">
        <f>'[1]MAY 2022'!F177</f>
        <v>0</v>
      </c>
      <c r="G573" s="4"/>
      <c r="H573" s="4"/>
    </row>
    <row r="574" spans="1:8" x14ac:dyDescent="0.2">
      <c r="A574" s="20">
        <f>'[1]MAY 2022'!A184</f>
        <v>44708</v>
      </c>
      <c r="B574" s="20" t="str">
        <f>'[1]MAY 2022'!B184</f>
        <v>LM</v>
      </c>
      <c r="C574" s="21">
        <f>'[1]MAY 2022'!C184</f>
        <v>0</v>
      </c>
      <c r="D574" s="21">
        <f>'[1]MAY 2022'!D184</f>
        <v>490</v>
      </c>
      <c r="E574" s="21">
        <f>'[1]MAY 2022'!E184</f>
        <v>0</v>
      </c>
      <c r="F574" s="21">
        <f>'[1]MAY 2022'!F184</f>
        <v>0</v>
      </c>
      <c r="G574" s="4"/>
      <c r="H574" s="22"/>
    </row>
    <row r="575" spans="1:8" x14ac:dyDescent="0.2">
      <c r="A575" s="23">
        <f>'[1]MAY 2022'!A185</f>
        <v>44708</v>
      </c>
      <c r="B575" s="23" t="str">
        <f>'[1]MAY 2022'!B185</f>
        <v>Rauchen</v>
      </c>
      <c r="C575" s="24">
        <f>'[1]MAY 2022'!C185</f>
        <v>0</v>
      </c>
      <c r="D575" s="24">
        <f>'[1]MAY 2022'!D185</f>
        <v>170</v>
      </c>
      <c r="E575" s="24">
        <f>'[1]MAY 2022'!E185</f>
        <v>0</v>
      </c>
      <c r="F575" s="24">
        <f>'[1]MAY 2022'!F185</f>
        <v>0</v>
      </c>
      <c r="G575" s="4"/>
      <c r="H575" s="4"/>
    </row>
    <row r="576" spans="1:8" x14ac:dyDescent="0.2">
      <c r="A576" s="23">
        <f>'[1]MAY 2022'!A191</f>
        <v>44709</v>
      </c>
      <c r="B576" s="23" t="str">
        <f>'[1]MAY 2022'!B191</f>
        <v>LM</v>
      </c>
      <c r="C576" s="24">
        <f>'[1]MAY 2022'!C191</f>
        <v>0</v>
      </c>
      <c r="D576" s="24">
        <f>'[1]MAY 2022'!D191</f>
        <v>390</v>
      </c>
      <c r="E576" s="24">
        <f>'[1]MAY 2022'!E191</f>
        <v>0</v>
      </c>
      <c r="F576" s="24">
        <f>'[1]MAY 2022'!F191</f>
        <v>0</v>
      </c>
      <c r="G576" s="4"/>
      <c r="H576" s="4"/>
    </row>
    <row r="577" spans="1:8" x14ac:dyDescent="0.2">
      <c r="A577" s="20">
        <f>'[1]MAY 2022'!A198</f>
        <v>44710</v>
      </c>
      <c r="B577" s="20" t="str">
        <f>'[1]MAY 2022'!B198</f>
        <v>Party</v>
      </c>
      <c r="C577" s="21">
        <f>'[1]MAY 2022'!C198</f>
        <v>0</v>
      </c>
      <c r="D577" s="21">
        <f>'[1]MAY 2022'!D198</f>
        <v>3880</v>
      </c>
      <c r="E577" s="21">
        <f>'[1]MAY 2022'!E198</f>
        <v>0</v>
      </c>
      <c r="F577" s="21">
        <f>'[1]MAY 2022'!F198</f>
        <v>0</v>
      </c>
      <c r="G577" s="4"/>
      <c r="H577" s="22"/>
    </row>
    <row r="578" spans="1:8" x14ac:dyDescent="0.2">
      <c r="A578" s="23">
        <f>'[1]MAY 2022'!A199</f>
        <v>44710</v>
      </c>
      <c r="B578" s="23" t="str">
        <f>'[1]MAY 2022'!B199</f>
        <v>for me</v>
      </c>
      <c r="C578" s="24">
        <f>'[1]MAY 2022'!C199</f>
        <v>0</v>
      </c>
      <c r="D578" s="24">
        <f>'[1]MAY 2022'!D199</f>
        <v>450</v>
      </c>
      <c r="E578" s="24">
        <f>'[1]MAY 2022'!E199</f>
        <v>0</v>
      </c>
      <c r="F578" s="24">
        <f>'[1]MAY 2022'!F199</f>
        <v>0</v>
      </c>
      <c r="G578" s="4"/>
      <c r="H578" s="4"/>
    </row>
    <row r="579" spans="1:8" x14ac:dyDescent="0.2">
      <c r="A579" s="20">
        <f>'[1]MAY 2022'!A200</f>
        <v>44710</v>
      </c>
      <c r="B579" s="20" t="str">
        <f>'[1]MAY 2022'!B200</f>
        <v>LM</v>
      </c>
      <c r="C579" s="21">
        <f>'[1]MAY 2022'!C200</f>
        <v>0</v>
      </c>
      <c r="D579" s="21">
        <f>'[1]MAY 2022'!D200</f>
        <v>754</v>
      </c>
      <c r="E579" s="21">
        <f>'[1]MAY 2022'!E200</f>
        <v>0</v>
      </c>
      <c r="F579" s="21">
        <f>'[1]MAY 2022'!F200</f>
        <v>0</v>
      </c>
      <c r="G579" s="4"/>
      <c r="H579" s="22"/>
    </row>
    <row r="580" spans="1:8" x14ac:dyDescent="0.2">
      <c r="A580" s="23">
        <f>'[1]MAY 2022'!A205</f>
        <v>44711</v>
      </c>
      <c r="B580" s="23" t="str">
        <f>'[1]MAY 2022'!B205</f>
        <v>LM</v>
      </c>
      <c r="C580" s="24">
        <f>'[1]MAY 2022'!C205</f>
        <v>0</v>
      </c>
      <c r="D580" s="24">
        <f>'[1]MAY 2022'!D205</f>
        <v>690</v>
      </c>
      <c r="E580" s="24">
        <f>'[1]MAY 2022'!E205</f>
        <v>0</v>
      </c>
      <c r="F580" s="24">
        <f>'[1]MAY 2022'!F205</f>
        <v>0</v>
      </c>
      <c r="G580" s="4"/>
      <c r="H580" s="4"/>
    </row>
    <row r="581" spans="1:8" x14ac:dyDescent="0.2">
      <c r="A581" s="20">
        <f>'[1]MAY 2022'!A206</f>
        <v>44711</v>
      </c>
      <c r="B581" s="20" t="str">
        <f>'[1]MAY 2022'!B206</f>
        <v>Rauchen</v>
      </c>
      <c r="C581" s="21">
        <f>'[1]MAY 2022'!C206</f>
        <v>0</v>
      </c>
      <c r="D581" s="21">
        <f>'[1]MAY 2022'!D206</f>
        <v>155</v>
      </c>
      <c r="E581" s="21">
        <f>'[1]MAY 2022'!E206</f>
        <v>0</v>
      </c>
      <c r="F581" s="21">
        <f>'[1]MAY 2022'!F206</f>
        <v>0</v>
      </c>
      <c r="G581" s="4"/>
      <c r="H581" s="22"/>
    </row>
    <row r="582" spans="1:8" x14ac:dyDescent="0.2">
      <c r="A582" s="23">
        <f>'[1]MAY 2022'!A207</f>
        <v>44711</v>
      </c>
      <c r="B582" s="23" t="str">
        <f>'[1]MAY 2022'!B207</f>
        <v>LM</v>
      </c>
      <c r="C582" s="24">
        <f>'[1]MAY 2022'!C207</f>
        <v>0</v>
      </c>
      <c r="D582" s="24">
        <f>'[1]MAY 2022'!D207</f>
        <v>825</v>
      </c>
      <c r="E582" s="24">
        <f>'[1]MAY 2022'!E207</f>
        <v>0</v>
      </c>
      <c r="F582" s="24">
        <f>'[1]MAY 2022'!F207</f>
        <v>0</v>
      </c>
      <c r="G582" s="4"/>
      <c r="H582" s="4"/>
    </row>
    <row r="583" spans="1:8" x14ac:dyDescent="0.2">
      <c r="A583" s="20">
        <f>'[1]MAY 2022'!A212</f>
        <v>44712</v>
      </c>
      <c r="B583" s="20" t="str">
        <f>'[1]MAY 2022'!B212</f>
        <v>LM</v>
      </c>
      <c r="C583" s="21">
        <f>'[1]MAY 2022'!C212</f>
        <v>0</v>
      </c>
      <c r="D583" s="21">
        <f>'[1]MAY 2022'!D212</f>
        <v>942.3</v>
      </c>
      <c r="E583" s="21">
        <f>'[1]MAY 2022'!E212</f>
        <v>0</v>
      </c>
      <c r="F583" s="21">
        <f>'[1]MAY 2022'!F212</f>
        <v>0</v>
      </c>
      <c r="G583" s="4"/>
      <c r="H583" s="22"/>
    </row>
    <row r="584" spans="1:8" x14ac:dyDescent="0.2">
      <c r="A584" s="23">
        <f>'[1]MAY 2022'!A213</f>
        <v>44712</v>
      </c>
      <c r="B584" s="23" t="str">
        <f>'[1]MAY 2022'!B213</f>
        <v>Refill</v>
      </c>
      <c r="C584" s="24">
        <f>'[1]MAY 2022'!C213</f>
        <v>1059.95</v>
      </c>
      <c r="D584" s="24">
        <f>'[1]MAY 2022'!D213</f>
        <v>0</v>
      </c>
      <c r="E584" s="24">
        <f>'[1]MAY 2022'!E213</f>
        <v>0</v>
      </c>
      <c r="F584" s="24">
        <f>'[1]MAY 2022'!F213</f>
        <v>0</v>
      </c>
      <c r="G584" s="4"/>
      <c r="H584" s="4"/>
    </row>
    <row r="585" spans="1:8" x14ac:dyDescent="0.2">
      <c r="A585" s="23">
        <f>'[1]JUNE 2022'!A2</f>
        <v>44713</v>
      </c>
      <c r="B585" s="12" t="str">
        <f>'[1]JUNE 2022'!B2</f>
        <v>LM</v>
      </c>
      <c r="C585" s="3">
        <f>'[1]JUNE 2022'!C2</f>
        <v>0</v>
      </c>
      <c r="D585" s="3">
        <f>'[1]JUNE 2022'!D2</f>
        <v>682</v>
      </c>
      <c r="E585" s="4">
        <f>'[1]JUNE 2022'!E2</f>
        <v>0</v>
      </c>
      <c r="F585" s="6">
        <f>'[1]JUNE 2022'!F2</f>
        <v>0</v>
      </c>
      <c r="G585" s="4"/>
      <c r="H585" s="4"/>
    </row>
    <row r="586" spans="1:8" x14ac:dyDescent="0.2">
      <c r="A586" s="20">
        <f>'[1]JUNE 2022'!A3</f>
        <v>44713</v>
      </c>
      <c r="B586" s="12" t="str">
        <f>'[1]JUNE 2022'!B3</f>
        <v>Rauchen</v>
      </c>
      <c r="C586" s="3">
        <f>'[1]JUNE 2022'!C3</f>
        <v>0</v>
      </c>
      <c r="D586" s="3">
        <f>'[1]JUNE 2022'!D3</f>
        <v>155</v>
      </c>
      <c r="E586" s="4">
        <f>'[1]JUNE 2022'!E3</f>
        <v>0</v>
      </c>
      <c r="F586" s="6">
        <f>'[1]JUNE 2022'!F3</f>
        <v>0</v>
      </c>
      <c r="G586" s="4"/>
      <c r="H586" s="4"/>
    </row>
    <row r="587" spans="1:8" x14ac:dyDescent="0.2">
      <c r="A587" s="23">
        <f>'[1]JUNE 2022'!A4</f>
        <v>44713</v>
      </c>
      <c r="B587" s="12" t="str">
        <f>'[1]JUNE 2022'!B4</f>
        <v>none</v>
      </c>
      <c r="C587" s="3">
        <f>'[1]JUNE 2022'!C4</f>
        <v>117.65</v>
      </c>
      <c r="D587" s="3">
        <f>'[1]JUNE 2022'!D4</f>
        <v>0</v>
      </c>
      <c r="E587" s="4">
        <f>'[1]JUNE 2022'!E4</f>
        <v>0</v>
      </c>
      <c r="F587" s="6">
        <f>'[1]JUNE 2022'!F4</f>
        <v>0</v>
      </c>
      <c r="G587" s="4"/>
      <c r="H587" s="4"/>
    </row>
    <row r="588" spans="1:8" x14ac:dyDescent="0.2">
      <c r="A588" s="20">
        <f>'[1]JUNE 2022'!A9</f>
        <v>44714</v>
      </c>
      <c r="B588" s="12" t="str">
        <f>'[1]JUNE 2022'!B9</f>
        <v>LM</v>
      </c>
      <c r="C588" s="3">
        <f>'[1]JUNE 2022'!C9</f>
        <v>0</v>
      </c>
      <c r="D588" s="3">
        <f>'[1]JUNE 2022'!D9</f>
        <v>440</v>
      </c>
      <c r="E588" s="4">
        <f>'[1]JUNE 2022'!E9</f>
        <v>0</v>
      </c>
      <c r="F588" s="6">
        <f>'[1]JUNE 2022'!F9</f>
        <v>0</v>
      </c>
      <c r="G588" s="4"/>
      <c r="H588" s="4"/>
    </row>
    <row r="589" spans="1:8" x14ac:dyDescent="0.2">
      <c r="A589" s="23">
        <f>'[1]JUNE 2022'!A16</f>
        <v>44715</v>
      </c>
      <c r="B589" s="12" t="str">
        <f>'[1]JUNE 2022'!B16</f>
        <v>VM</v>
      </c>
      <c r="C589" s="3">
        <f>'[1]JUNE 2022'!C16</f>
        <v>0</v>
      </c>
      <c r="D589" s="3">
        <f>'[1]JUNE 2022'!D16</f>
        <v>435</v>
      </c>
      <c r="E589" s="4">
        <f>'[1]JUNE 2022'!E16</f>
        <v>0</v>
      </c>
      <c r="F589" s="6">
        <f>'[1]JUNE 2022'!F16</f>
        <v>0</v>
      </c>
      <c r="G589" s="4"/>
      <c r="H589" s="4"/>
    </row>
    <row r="590" spans="1:8" x14ac:dyDescent="0.2">
      <c r="A590" s="20">
        <f>'[1]JUNE 2022'!A17</f>
        <v>44715</v>
      </c>
      <c r="B590" s="12" t="str">
        <f>'[1]JUNE 2022'!B17</f>
        <v>LM</v>
      </c>
      <c r="C590" s="3">
        <f>'[1]JUNE 2022'!C17</f>
        <v>0</v>
      </c>
      <c r="D590" s="3">
        <f>'[1]JUNE 2022'!D17</f>
        <v>364</v>
      </c>
      <c r="E590" s="4">
        <f>'[1]JUNE 2022'!E17</f>
        <v>0</v>
      </c>
      <c r="F590" s="6">
        <f>'[1]JUNE 2022'!F17</f>
        <v>0</v>
      </c>
      <c r="G590" s="4"/>
      <c r="H590" s="4"/>
    </row>
    <row r="591" spans="1:8" x14ac:dyDescent="0.2">
      <c r="A591" s="23">
        <f>'[1]JUNE 2022'!A18</f>
        <v>44715</v>
      </c>
      <c r="B591" s="12" t="str">
        <f>'[1]JUNE 2022'!B18</f>
        <v>none</v>
      </c>
      <c r="C591" s="3">
        <f>'[1]JUNE 2022'!C18</f>
        <v>0</v>
      </c>
      <c r="D591" s="3">
        <f>'[1]JUNE 2022'!D18</f>
        <v>550</v>
      </c>
      <c r="E591" s="4">
        <f>'[1]JUNE 2022'!E18</f>
        <v>550</v>
      </c>
      <c r="F591" s="6">
        <f>'[1]JUNE 2022'!F18</f>
        <v>0</v>
      </c>
      <c r="G591" s="4"/>
      <c r="H591" s="4"/>
    </row>
    <row r="592" spans="1:8" x14ac:dyDescent="0.2">
      <c r="A592" s="20">
        <f>'[1]JUNE 2022'!A23</f>
        <v>44716</v>
      </c>
      <c r="B592" s="12" t="str">
        <f>'[1]JUNE 2022'!B23</f>
        <v>none</v>
      </c>
      <c r="C592" s="3">
        <f>'[1]JUNE 2022'!C23</f>
        <v>0</v>
      </c>
      <c r="D592" s="3">
        <f>'[1]JUNE 2022'!D23</f>
        <v>500</v>
      </c>
      <c r="E592" s="4">
        <f>'[1]JUNE 2022'!E23</f>
        <v>500</v>
      </c>
      <c r="F592" s="6">
        <f>'[1]JUNE 2022'!F23</f>
        <v>0</v>
      </c>
      <c r="G592" s="4"/>
      <c r="H592" s="4"/>
    </row>
    <row r="593" spans="1:8" x14ac:dyDescent="0.2">
      <c r="A593" s="23">
        <f>'[1]JUNE 2022'!A24</f>
        <v>44716</v>
      </c>
      <c r="B593" s="12" t="str">
        <f>'[1]JUNE 2022'!B24</f>
        <v>Andere</v>
      </c>
      <c r="C593" s="3">
        <f>'[1]JUNE 2022'!C24</f>
        <v>0</v>
      </c>
      <c r="D593" s="3">
        <f>'[1]JUNE 2022'!D24</f>
        <v>510.2</v>
      </c>
      <c r="E593" s="4">
        <f>'[1]JUNE 2022'!E24</f>
        <v>0</v>
      </c>
      <c r="F593" s="6">
        <f>'[1]JUNE 2022'!F24</f>
        <v>0</v>
      </c>
      <c r="G593" s="4"/>
      <c r="H593" s="4"/>
    </row>
    <row r="594" spans="1:8" x14ac:dyDescent="0.2">
      <c r="A594" s="20">
        <f>'[1]JUNE 2022'!A25</f>
        <v>44716</v>
      </c>
      <c r="B594" s="12" t="str">
        <f>'[1]JUNE 2022'!B25</f>
        <v>Andere</v>
      </c>
      <c r="C594" s="3">
        <f>'[1]JUNE 2022'!C25</f>
        <v>0</v>
      </c>
      <c r="D594" s="3">
        <f>'[1]JUNE 2022'!D25</f>
        <v>350</v>
      </c>
      <c r="E594" s="4">
        <f>'[1]JUNE 2022'!E25</f>
        <v>0</v>
      </c>
      <c r="F594" s="6">
        <f>'[1]JUNE 2022'!F25</f>
        <v>0</v>
      </c>
      <c r="G594" s="4"/>
      <c r="H594" s="4"/>
    </row>
    <row r="595" spans="1:8" x14ac:dyDescent="0.2">
      <c r="A595" s="23">
        <f>'[1]JUNE 2022'!A26</f>
        <v>44716</v>
      </c>
      <c r="B595" s="12" t="str">
        <f>'[1]JUNE 2022'!B26</f>
        <v>LM</v>
      </c>
      <c r="C595" s="3">
        <f>'[1]JUNE 2022'!C26</f>
        <v>0</v>
      </c>
      <c r="D595" s="3">
        <f>'[1]JUNE 2022'!D26</f>
        <v>2070</v>
      </c>
      <c r="E595" s="4">
        <f>'[1]JUNE 2022'!E26</f>
        <v>0</v>
      </c>
      <c r="F595" s="6">
        <f>'[1]JUNE 2022'!F26</f>
        <v>0</v>
      </c>
      <c r="G595" s="4"/>
      <c r="H595" s="4"/>
    </row>
    <row r="596" spans="1:8" x14ac:dyDescent="0.2">
      <c r="A596" s="20">
        <f>'[1]JUNE 2022'!A27</f>
        <v>44716</v>
      </c>
      <c r="B596" s="12" t="str">
        <f>'[1]JUNE 2022'!B27</f>
        <v>VM</v>
      </c>
      <c r="C596" s="3">
        <f>'[1]JUNE 2022'!C27</f>
        <v>0</v>
      </c>
      <c r="D596" s="3">
        <f>'[1]JUNE 2022'!D27</f>
        <v>0</v>
      </c>
      <c r="E596" s="4">
        <f>'[1]JUNE 2022'!E27</f>
        <v>0</v>
      </c>
      <c r="F596" s="6">
        <f>'[1]JUNE 2022'!F27</f>
        <v>707</v>
      </c>
      <c r="G596" s="4"/>
      <c r="H596" s="4"/>
    </row>
    <row r="597" spans="1:8" x14ac:dyDescent="0.2">
      <c r="A597" s="23">
        <f>'[1]JUNE 2022'!A28</f>
        <v>44716</v>
      </c>
      <c r="B597" s="12" t="str">
        <f>'[1]JUNE 2022'!B28</f>
        <v>none</v>
      </c>
      <c r="C597" s="3">
        <f>'[1]JUNE 2022'!C28</f>
        <v>0</v>
      </c>
      <c r="D597" s="3">
        <f>'[1]JUNE 2022'!D28</f>
        <v>2110</v>
      </c>
      <c r="E597" s="4">
        <f>'[1]JUNE 2022'!E28</f>
        <v>2110</v>
      </c>
      <c r="F597" s="6">
        <f>'[1]JUNE 2022'!F28</f>
        <v>0</v>
      </c>
      <c r="G597" s="4"/>
      <c r="H597" s="4"/>
    </row>
    <row r="598" spans="1:8" x14ac:dyDescent="0.2">
      <c r="A598" s="23">
        <f>'[1]JUNE 2022'!A30</f>
        <v>44717</v>
      </c>
      <c r="B598" s="12" t="str">
        <f>'[1]JUNE 2022'!B30</f>
        <v>VM</v>
      </c>
      <c r="C598" s="3">
        <f>'[1]JUNE 2022'!C30</f>
        <v>0</v>
      </c>
      <c r="D598" s="3">
        <f>'[1]JUNE 2022'!D30</f>
        <v>7424</v>
      </c>
      <c r="E598" s="4">
        <f>'[1]JUNE 2022'!E30</f>
        <v>0</v>
      </c>
      <c r="F598" s="6">
        <f>'[1]JUNE 2022'!F30</f>
        <v>0</v>
      </c>
      <c r="G598" s="4"/>
      <c r="H598" s="4"/>
    </row>
    <row r="599" spans="1:8" x14ac:dyDescent="0.2">
      <c r="A599" s="20">
        <f>'[1]JUNE 2022'!A31</f>
        <v>44717</v>
      </c>
      <c r="B599" s="12" t="str">
        <f>'[1]JUNE 2022'!B31</f>
        <v>Rauchen</v>
      </c>
      <c r="C599" s="3">
        <f>'[1]JUNE 2022'!C31</f>
        <v>0</v>
      </c>
      <c r="D599" s="3">
        <f>'[1]JUNE 2022'!D31</f>
        <v>150</v>
      </c>
      <c r="E599" s="4">
        <f>'[1]JUNE 2022'!E31</f>
        <v>0</v>
      </c>
      <c r="F599" s="6">
        <f>'[1]JUNE 2022'!F31</f>
        <v>0</v>
      </c>
      <c r="G599" s="4"/>
      <c r="H599" s="4"/>
    </row>
    <row r="600" spans="1:8" x14ac:dyDescent="0.2">
      <c r="A600" s="23">
        <f>'[1]JUNE 2022'!A32</f>
        <v>44717</v>
      </c>
      <c r="B600" s="12" t="str">
        <f>'[1]JUNE 2022'!B32</f>
        <v>LM</v>
      </c>
      <c r="C600" s="3">
        <f>'[1]JUNE 2022'!C32</f>
        <v>0</v>
      </c>
      <c r="D600" s="3">
        <f>'[1]JUNE 2022'!D32</f>
        <v>1966.88</v>
      </c>
      <c r="E600" s="4">
        <f>'[1]JUNE 2022'!E32</f>
        <v>150</v>
      </c>
      <c r="F600" s="6">
        <f>'[1]JUNE 2022'!F32</f>
        <v>0</v>
      </c>
      <c r="G600" s="4"/>
      <c r="H600" s="4"/>
    </row>
    <row r="601" spans="1:8" x14ac:dyDescent="0.2">
      <c r="A601" s="20">
        <f>'[1]JUNE 2022'!A33</f>
        <v>44717</v>
      </c>
      <c r="B601" s="12" t="str">
        <f>'[1]JUNE 2022'!B33</f>
        <v>none</v>
      </c>
      <c r="C601" s="3">
        <f>'[1]JUNE 2022'!C33</f>
        <v>0</v>
      </c>
      <c r="D601" s="3">
        <f>'[1]JUNE 2022'!D33</f>
        <v>150</v>
      </c>
      <c r="E601" s="4">
        <f>'[1]JUNE 2022'!E33</f>
        <v>0</v>
      </c>
      <c r="F601" s="6">
        <f>'[1]JUNE 2022'!F33</f>
        <v>0</v>
      </c>
      <c r="G601" s="4"/>
      <c r="H601" s="4"/>
    </row>
    <row r="602" spans="1:8" x14ac:dyDescent="0.2">
      <c r="A602" s="20">
        <f>'[1]JUNE 2022'!A37</f>
        <v>44718</v>
      </c>
      <c r="B602" s="12" t="str">
        <f>'[1]JUNE 2022'!B37</f>
        <v>LM</v>
      </c>
      <c r="C602" s="3">
        <f>'[1]JUNE 2022'!C37</f>
        <v>0</v>
      </c>
      <c r="D602" s="3">
        <f>'[1]JUNE 2022'!D37</f>
        <v>109</v>
      </c>
      <c r="E602" s="4">
        <f>'[1]JUNE 2022'!E37</f>
        <v>0</v>
      </c>
      <c r="F602" s="6">
        <f>'[1]JUNE 2022'!F37</f>
        <v>0</v>
      </c>
      <c r="G602" s="4"/>
      <c r="H602" s="4"/>
    </row>
    <row r="603" spans="1:8" x14ac:dyDescent="0.2">
      <c r="A603" s="23">
        <f>'[1]JUNE 2022'!A44</f>
        <v>44719</v>
      </c>
      <c r="B603" s="12" t="str">
        <f>'[1]JUNE 2022'!B44</f>
        <v>Andere</v>
      </c>
      <c r="C603" s="3">
        <f>'[1]JUNE 2022'!C44</f>
        <v>0</v>
      </c>
      <c r="D603" s="3">
        <f>'[1]JUNE 2022'!D44</f>
        <v>500</v>
      </c>
      <c r="E603" s="4">
        <f>'[1]JUNE 2022'!E44</f>
        <v>500</v>
      </c>
      <c r="F603" s="6">
        <f>'[1]JUNE 2022'!F44</f>
        <v>0</v>
      </c>
      <c r="G603" s="4"/>
      <c r="H603" s="4"/>
    </row>
    <row r="604" spans="1:8" x14ac:dyDescent="0.2">
      <c r="A604" s="20">
        <f>'[1]JUNE 2022'!A45</f>
        <v>44719</v>
      </c>
      <c r="B604" s="12" t="str">
        <f>'[1]JUNE 2022'!B45</f>
        <v>LM</v>
      </c>
      <c r="C604" s="3">
        <f>'[1]JUNE 2022'!C45</f>
        <v>0</v>
      </c>
      <c r="D604" s="3">
        <f>'[1]JUNE 2022'!D45</f>
        <v>570</v>
      </c>
      <c r="E604" s="4">
        <f>'[1]JUNE 2022'!E45</f>
        <v>0</v>
      </c>
      <c r="F604" s="6">
        <f>'[1]JUNE 2022'!F45</f>
        <v>0</v>
      </c>
      <c r="G604" s="4"/>
      <c r="H604" s="4"/>
    </row>
    <row r="605" spans="1:8" x14ac:dyDescent="0.2">
      <c r="A605" s="23">
        <f>'[1]JUNE 2022'!A46</f>
        <v>44719</v>
      </c>
      <c r="B605" s="12" t="str">
        <f>'[1]JUNE 2022'!B46</f>
        <v>none</v>
      </c>
      <c r="C605" s="3">
        <f>'[1]JUNE 2022'!C46</f>
        <v>0</v>
      </c>
      <c r="D605" s="3">
        <f>'[1]JUNE 2022'!D46</f>
        <v>490</v>
      </c>
      <c r="E605" s="4">
        <f>'[1]JUNE 2022'!E46</f>
        <v>490</v>
      </c>
      <c r="F605" s="6">
        <f>'[1]JUNE 2022'!F46</f>
        <v>0</v>
      </c>
      <c r="G605" s="4"/>
      <c r="H605" s="4"/>
    </row>
    <row r="606" spans="1:8" x14ac:dyDescent="0.2">
      <c r="A606" s="20">
        <f>'[1]JUNE 2022'!A51</f>
        <v>44720</v>
      </c>
      <c r="B606" s="12" t="str">
        <f>'[1]JUNE 2022'!B51</f>
        <v>LM</v>
      </c>
      <c r="C606" s="3">
        <f>'[1]JUNE 2022'!C51</f>
        <v>0</v>
      </c>
      <c r="D606" s="3">
        <f>'[1]JUNE 2022'!D51</f>
        <v>788</v>
      </c>
      <c r="E606" s="4">
        <f>'[1]JUNE 2022'!E51</f>
        <v>0</v>
      </c>
      <c r="F606" s="6">
        <f>'[1]JUNE 2022'!F51</f>
        <v>0</v>
      </c>
      <c r="G606" s="4"/>
      <c r="H606" s="4"/>
    </row>
    <row r="607" spans="1:8" x14ac:dyDescent="0.2">
      <c r="A607" s="23">
        <f>'[1]JUNE 2022'!A52</f>
        <v>44720</v>
      </c>
      <c r="B607" s="12" t="str">
        <f>'[1]JUNE 2022'!B52</f>
        <v>Rauchen</v>
      </c>
      <c r="C607" s="3">
        <f>'[1]JUNE 2022'!C52</f>
        <v>0</v>
      </c>
      <c r="D607" s="3">
        <f>'[1]JUNE 2022'!D52</f>
        <v>155</v>
      </c>
      <c r="E607" s="4">
        <f>'[1]JUNE 2022'!E52</f>
        <v>0</v>
      </c>
      <c r="F607" s="6">
        <f>'[1]JUNE 2022'!F52</f>
        <v>0</v>
      </c>
      <c r="G607" s="4"/>
      <c r="H607" s="4"/>
    </row>
    <row r="608" spans="1:8" x14ac:dyDescent="0.2">
      <c r="A608" s="23">
        <f>'[1]JUNE 2022'!A58</f>
        <v>44721</v>
      </c>
      <c r="B608" s="12" t="str">
        <f>'[1]JUNE 2022'!B58</f>
        <v>none</v>
      </c>
      <c r="C608" s="3">
        <f>'[1]JUNE 2022'!C58</f>
        <v>0</v>
      </c>
      <c r="D608" s="3">
        <f>'[1]JUNE 2022'!D58</f>
        <v>200</v>
      </c>
      <c r="E608" s="4">
        <f>'[1]JUNE 2022'!E58</f>
        <v>200</v>
      </c>
      <c r="F608" s="6">
        <f>'[1]JUNE 2022'!F58</f>
        <v>0</v>
      </c>
      <c r="G608" s="4"/>
      <c r="H608" s="4"/>
    </row>
    <row r="609" spans="1:8" x14ac:dyDescent="0.2">
      <c r="A609" s="20">
        <f>'[1]JUNE 2022'!A59</f>
        <v>44721</v>
      </c>
      <c r="B609" s="12" t="str">
        <f>'[1]JUNE 2022'!B59</f>
        <v>Andere</v>
      </c>
      <c r="C609" s="3">
        <f>'[1]JUNE 2022'!C59</f>
        <v>0</v>
      </c>
      <c r="D609" s="3">
        <f>'[1]JUNE 2022'!D59</f>
        <v>200</v>
      </c>
      <c r="E609" s="4">
        <f>'[1]JUNE 2022'!E59</f>
        <v>200</v>
      </c>
      <c r="F609" s="6">
        <f>'[1]JUNE 2022'!F59</f>
        <v>0</v>
      </c>
      <c r="G609" s="4"/>
      <c r="H609" s="4"/>
    </row>
    <row r="610" spans="1:8" x14ac:dyDescent="0.2">
      <c r="A610" s="23">
        <f>'[1]JUNE 2022'!A60</f>
        <v>44721</v>
      </c>
      <c r="B610" s="12" t="str">
        <f>'[1]JUNE 2022'!B60</f>
        <v>VM</v>
      </c>
      <c r="C610" s="3">
        <f>'[1]JUNE 2022'!C60</f>
        <v>0</v>
      </c>
      <c r="D610" s="3">
        <f>'[1]JUNE 2022'!D60</f>
        <v>850</v>
      </c>
      <c r="E610" s="4">
        <f>'[1]JUNE 2022'!E60</f>
        <v>0</v>
      </c>
      <c r="F610" s="6">
        <f>'[1]JUNE 2022'!F60</f>
        <v>0</v>
      </c>
      <c r="G610" s="4"/>
      <c r="H610" s="4"/>
    </row>
    <row r="611" spans="1:8" x14ac:dyDescent="0.2">
      <c r="A611" s="20">
        <f>'[1]JUNE 2022'!A61</f>
        <v>44721</v>
      </c>
      <c r="B611" s="12" t="str">
        <f>'[1]JUNE 2022'!B61</f>
        <v>Party</v>
      </c>
      <c r="C611" s="3">
        <f>'[1]JUNE 2022'!C61</f>
        <v>0</v>
      </c>
      <c r="D611" s="3">
        <f>'[1]JUNE 2022'!D61</f>
        <v>530</v>
      </c>
      <c r="E611" s="4">
        <f>'[1]JUNE 2022'!E61</f>
        <v>0</v>
      </c>
      <c r="F611" s="6">
        <f>'[1]JUNE 2022'!F61</f>
        <v>0</v>
      </c>
      <c r="G611" s="4"/>
      <c r="H611" s="4"/>
    </row>
    <row r="612" spans="1:8" x14ac:dyDescent="0.2">
      <c r="A612" s="23">
        <f>'[1]JUNE 2022'!A62</f>
        <v>44721</v>
      </c>
      <c r="B612" s="12" t="str">
        <f>'[1]JUNE 2022'!B62</f>
        <v>none</v>
      </c>
      <c r="C612" s="3">
        <f>'[1]JUNE 2022'!C62</f>
        <v>0</v>
      </c>
      <c r="D612" s="3">
        <f>'[1]JUNE 2022'!D62</f>
        <v>199.96</v>
      </c>
      <c r="E612" s="4">
        <f>'[1]JUNE 2022'!E62</f>
        <v>199.96</v>
      </c>
      <c r="F612" s="6">
        <f>'[1]JUNE 2022'!F62</f>
        <v>0</v>
      </c>
      <c r="G612" s="4"/>
      <c r="H612" s="4"/>
    </row>
    <row r="613" spans="1:8" x14ac:dyDescent="0.2">
      <c r="A613" s="20">
        <f>'[1]JUNE 2022'!A63</f>
        <v>44721</v>
      </c>
      <c r="B613" s="12" t="str">
        <f>'[1]JUNE 2022'!B63</f>
        <v>Refill</v>
      </c>
      <c r="C613" s="3">
        <f>'[1]JUNE 2022'!C63</f>
        <v>149220</v>
      </c>
      <c r="D613" s="3">
        <f>'[1]JUNE 2022'!D63</f>
        <v>0</v>
      </c>
      <c r="E613" s="4">
        <f>'[1]JUNE 2022'!E63</f>
        <v>0</v>
      </c>
      <c r="F613" s="6">
        <f>'[1]JUNE 2022'!F63</f>
        <v>0</v>
      </c>
      <c r="G613" s="4"/>
      <c r="H613" s="4"/>
    </row>
    <row r="614" spans="1:8" x14ac:dyDescent="0.2">
      <c r="A614" s="23">
        <f>'[1]JUNE 2022'!A64</f>
        <v>44721</v>
      </c>
      <c r="B614" s="12" t="str">
        <f>'[1]JUNE 2022'!B64</f>
        <v>LM</v>
      </c>
      <c r="C614" s="3">
        <f>'[1]JUNE 2022'!C64</f>
        <v>0</v>
      </c>
      <c r="D614" s="3">
        <f>'[1]JUNE 2022'!D64</f>
        <v>0</v>
      </c>
      <c r="E614" s="4">
        <f>'[1]JUNE 2022'!E64</f>
        <v>0</v>
      </c>
      <c r="F614" s="6">
        <f>'[1]JUNE 2022'!F64</f>
        <v>370</v>
      </c>
      <c r="G614" s="4"/>
      <c r="H614" s="4"/>
    </row>
    <row r="615" spans="1:8" x14ac:dyDescent="0.2">
      <c r="A615" s="20">
        <f>'[1]JUNE 2022'!A65</f>
        <v>44722</v>
      </c>
      <c r="B615" s="12" t="str">
        <f>'[1]JUNE 2022'!B65</f>
        <v>Andere</v>
      </c>
      <c r="C615" s="3">
        <f>'[1]JUNE 2022'!C65</f>
        <v>0</v>
      </c>
      <c r="D615" s="3">
        <f>'[1]JUNE 2022'!D65</f>
        <v>0</v>
      </c>
      <c r="E615" s="4">
        <f>'[1]JUNE 2022'!E65</f>
        <v>0</v>
      </c>
      <c r="F615" s="6">
        <f>'[1]JUNE 2022'!F65</f>
        <v>367.04</v>
      </c>
      <c r="G615" s="4"/>
      <c r="H615" s="4"/>
    </row>
    <row r="616" spans="1:8" x14ac:dyDescent="0.2">
      <c r="A616" s="23">
        <f>'[1]JUNE 2022'!A66</f>
        <v>44722</v>
      </c>
      <c r="B616" s="12" t="str">
        <f>'[1]JUNE 2022'!B66</f>
        <v>Andere</v>
      </c>
      <c r="C616" s="3">
        <f>'[1]JUNE 2022'!C66</f>
        <v>0</v>
      </c>
      <c r="D616" s="3">
        <f>'[1]JUNE 2022'!D66</f>
        <v>0</v>
      </c>
      <c r="E616" s="4">
        <f>'[1]JUNE 2022'!E66</f>
        <v>0</v>
      </c>
      <c r="F616" s="6">
        <f>'[1]JUNE 2022'!F66</f>
        <v>0.1</v>
      </c>
      <c r="G616" s="4"/>
      <c r="H616" s="4"/>
    </row>
    <row r="617" spans="1:8" x14ac:dyDescent="0.2">
      <c r="A617" s="23">
        <f>'[1]JUNE 2022'!A72</f>
        <v>44723</v>
      </c>
      <c r="B617" s="12" t="str">
        <f>'[1]JUNE 2022'!B72</f>
        <v>Andere</v>
      </c>
      <c r="C617" s="3">
        <f>'[1]JUNE 2022'!C72</f>
        <v>0</v>
      </c>
      <c r="D617" s="3">
        <f>'[1]JUNE 2022'!D72</f>
        <v>959.78</v>
      </c>
      <c r="E617" s="4">
        <f>'[1]JUNE 2022'!E72</f>
        <v>0</v>
      </c>
      <c r="F617" s="6">
        <f>'[1]JUNE 2022'!F72</f>
        <v>0</v>
      </c>
      <c r="G617" s="4"/>
      <c r="H617" s="4"/>
    </row>
    <row r="618" spans="1:8" x14ac:dyDescent="0.2">
      <c r="A618" s="20">
        <f>'[1]JUNE 2022'!A79</f>
        <v>44724</v>
      </c>
      <c r="B618" s="12" t="str">
        <f>'[1]JUNE 2022'!B79</f>
        <v>LM</v>
      </c>
      <c r="C618" s="3">
        <f>'[1]JUNE 2022'!C79</f>
        <v>0</v>
      </c>
      <c r="D618" s="3">
        <f>'[1]JUNE 2022'!D79</f>
        <v>53.99</v>
      </c>
      <c r="E618" s="4">
        <f>'[1]JUNE 2022'!E79</f>
        <v>0</v>
      </c>
      <c r="F618" s="6">
        <f>'[1]JUNE 2022'!F79</f>
        <v>0</v>
      </c>
      <c r="G618" s="4"/>
      <c r="H618" s="4"/>
    </row>
    <row r="619" spans="1:8" x14ac:dyDescent="0.2">
      <c r="A619" s="23">
        <f>'[1]JUNE 2022'!A86</f>
        <v>44725</v>
      </c>
      <c r="B619" s="12" t="str">
        <f>'[1]JUNE 2022'!B86</f>
        <v>LM</v>
      </c>
      <c r="C619" s="3">
        <f>'[1]JUNE 2022'!C86</f>
        <v>0</v>
      </c>
      <c r="D619" s="3">
        <f>'[1]JUNE 2022'!D86</f>
        <v>373</v>
      </c>
      <c r="E619" s="4">
        <f>'[1]JUNE 2022'!E86</f>
        <v>0</v>
      </c>
      <c r="F619" s="6">
        <f>'[1]JUNE 2022'!F86</f>
        <v>0</v>
      </c>
      <c r="G619" s="4"/>
      <c r="H619" s="4"/>
    </row>
    <row r="620" spans="1:8" x14ac:dyDescent="0.2">
      <c r="A620" s="20">
        <f>'[1]JUNE 2022'!A93</f>
        <v>44726</v>
      </c>
      <c r="B620" s="12" t="str">
        <f>'[1]JUNE 2022'!B93</f>
        <v>LM</v>
      </c>
      <c r="C620" s="3">
        <f>'[1]JUNE 2022'!C93</f>
        <v>0</v>
      </c>
      <c r="D620" s="3">
        <f>'[1]JUNE 2022'!D93</f>
        <v>350</v>
      </c>
      <c r="E620" s="4">
        <f>'[1]JUNE 2022'!E93</f>
        <v>0</v>
      </c>
      <c r="F620" s="6">
        <f>'[1]JUNE 2022'!F93</f>
        <v>0</v>
      </c>
      <c r="G620" s="4"/>
      <c r="H620" s="4"/>
    </row>
    <row r="621" spans="1:8" x14ac:dyDescent="0.2">
      <c r="A621" s="23">
        <f>'[1]JUNE 2022'!A94</f>
        <v>44726</v>
      </c>
      <c r="B621" s="12" t="str">
        <f>'[1]JUNE 2022'!B94</f>
        <v>VM</v>
      </c>
      <c r="C621" s="3">
        <f>'[1]JUNE 2022'!C94</f>
        <v>0</v>
      </c>
      <c r="D621" s="3">
        <f>'[1]JUNE 2022'!D94</f>
        <v>450</v>
      </c>
      <c r="E621" s="4">
        <f>'[1]JUNE 2022'!E94</f>
        <v>0</v>
      </c>
      <c r="F621" s="6">
        <f>'[1]JUNE 2022'!F94</f>
        <v>0</v>
      </c>
      <c r="G621" s="4"/>
      <c r="H621" s="4"/>
    </row>
    <row r="622" spans="1:8" x14ac:dyDescent="0.2">
      <c r="A622" s="23">
        <f>'[1]JUNE 2022'!A100</f>
        <v>44727</v>
      </c>
      <c r="B622" s="12" t="str">
        <f>'[1]JUNE 2022'!B100</f>
        <v>LM</v>
      </c>
      <c r="C622" s="3">
        <f>'[1]JUNE 2022'!C100</f>
        <v>0</v>
      </c>
      <c r="D622" s="3">
        <f>'[1]JUNE 2022'!D100</f>
        <v>460.84</v>
      </c>
      <c r="E622" s="4">
        <f>'[1]JUNE 2022'!E100</f>
        <v>0</v>
      </c>
      <c r="F622" s="6">
        <f>'[1]JUNE 2022'!F100</f>
        <v>0</v>
      </c>
      <c r="G622" s="4"/>
      <c r="H622" s="4"/>
    </row>
    <row r="623" spans="1:8" x14ac:dyDescent="0.2">
      <c r="A623" s="20">
        <f>'[1]JUNE 2022'!A101</f>
        <v>44727</v>
      </c>
      <c r="B623" s="12" t="str">
        <f>'[1]JUNE 2022'!B101</f>
        <v>LM</v>
      </c>
      <c r="C623" s="3">
        <f>'[1]JUNE 2022'!C101</f>
        <v>0</v>
      </c>
      <c r="D623" s="3">
        <f>'[1]JUNE 2022'!D101</f>
        <v>0</v>
      </c>
      <c r="E623" s="4">
        <f>'[1]JUNE 2022'!E101</f>
        <v>0</v>
      </c>
      <c r="F623" s="6">
        <f>'[1]JUNE 2022'!F101</f>
        <v>270</v>
      </c>
      <c r="G623" s="4"/>
      <c r="H623" s="4"/>
    </row>
    <row r="624" spans="1:8" x14ac:dyDescent="0.2">
      <c r="A624" s="20">
        <f>'[1]JUNE 2022'!A107</f>
        <v>44728</v>
      </c>
      <c r="B624" s="12" t="str">
        <f>'[1]JUNE 2022'!B107</f>
        <v>LM</v>
      </c>
      <c r="C624" s="3">
        <f>'[1]JUNE 2022'!C107</f>
        <v>0</v>
      </c>
      <c r="D624" s="3">
        <f>'[1]JUNE 2022'!D107</f>
        <v>1137</v>
      </c>
      <c r="E624" s="4">
        <f>'[1]JUNE 2022'!E107</f>
        <v>0</v>
      </c>
      <c r="F624" s="6">
        <f>'[1]JUNE 2022'!F107</f>
        <v>0</v>
      </c>
      <c r="G624" s="4"/>
      <c r="H624" s="4"/>
    </row>
    <row r="625" spans="1:8" x14ac:dyDescent="0.2">
      <c r="A625" s="23">
        <f>'[1]JUNE 2022'!A108</f>
        <v>44728</v>
      </c>
      <c r="B625" s="12" t="str">
        <f>'[1]JUNE 2022'!B108</f>
        <v>Rauchen</v>
      </c>
      <c r="C625" s="3">
        <f>'[1]JUNE 2022'!C108</f>
        <v>0</v>
      </c>
      <c r="D625" s="3">
        <f>'[1]JUNE 2022'!D108</f>
        <v>150</v>
      </c>
      <c r="E625" s="4">
        <f>'[1]JUNE 2022'!E108</f>
        <v>0</v>
      </c>
      <c r="F625" s="6">
        <f>'[1]JUNE 2022'!F108</f>
        <v>0</v>
      </c>
      <c r="G625" s="4"/>
      <c r="H625" s="4"/>
    </row>
    <row r="626" spans="1:8" x14ac:dyDescent="0.2">
      <c r="A626" s="23">
        <f>'[1]JUNE 2022'!A114</f>
        <v>44729</v>
      </c>
      <c r="B626" s="12" t="str">
        <f>'[1]JUNE 2022'!B114</f>
        <v>LM</v>
      </c>
      <c r="C626" s="3">
        <f>'[1]JUNE 2022'!C114</f>
        <v>0</v>
      </c>
      <c r="D626" s="3">
        <f>'[1]JUNE 2022'!D114</f>
        <v>0</v>
      </c>
      <c r="E626" s="4">
        <f>'[1]JUNE 2022'!E114</f>
        <v>0</v>
      </c>
      <c r="F626" s="6">
        <f>'[1]JUNE 2022'!F114</f>
        <v>240</v>
      </c>
      <c r="G626" s="4"/>
      <c r="H626" s="4"/>
    </row>
    <row r="627" spans="1:8" x14ac:dyDescent="0.2">
      <c r="A627" s="20">
        <f>'[1]JUNE 2022'!A121</f>
        <v>44730</v>
      </c>
      <c r="B627" s="12" t="str">
        <f>'[1]JUNE 2022'!B121</f>
        <v>Kleidung</v>
      </c>
      <c r="C627" s="3">
        <f>'[1]JUNE 2022'!C121</f>
        <v>0</v>
      </c>
      <c r="D627" s="3">
        <f>'[1]JUNE 2022'!D121</f>
        <v>7500</v>
      </c>
      <c r="E627" s="4">
        <f>'[1]JUNE 2022'!E121</f>
        <v>0</v>
      </c>
      <c r="F627" s="6">
        <f>'[1]JUNE 2022'!F121</f>
        <v>0</v>
      </c>
      <c r="G627" s="4"/>
      <c r="H627" s="4"/>
    </row>
    <row r="628" spans="1:8" x14ac:dyDescent="0.2">
      <c r="A628" s="23">
        <f>'[1]JUNE 2022'!A122</f>
        <v>44730</v>
      </c>
      <c r="B628" s="12" t="str">
        <f>'[1]JUNE 2022'!B122</f>
        <v>LM</v>
      </c>
      <c r="C628" s="3">
        <f>'[1]JUNE 2022'!C122</f>
        <v>0</v>
      </c>
      <c r="D628" s="3">
        <f>'[1]JUNE 2022'!D122</f>
        <v>817.6099999999999</v>
      </c>
      <c r="E628" s="4">
        <f>'[1]JUNE 2022'!E122</f>
        <v>0</v>
      </c>
      <c r="F628" s="6">
        <f>'[1]JUNE 2022'!F122</f>
        <v>0</v>
      </c>
      <c r="G628" s="4"/>
      <c r="H628" s="4"/>
    </row>
    <row r="629" spans="1:8" x14ac:dyDescent="0.2">
      <c r="A629" s="20">
        <f>'[1]JUNE 2022'!A123</f>
        <v>44730</v>
      </c>
      <c r="B629" s="12" t="str">
        <f>'[1]JUNE 2022'!B123</f>
        <v>Andere</v>
      </c>
      <c r="C629" s="3">
        <f>'[1]JUNE 2022'!C123</f>
        <v>0</v>
      </c>
      <c r="D629" s="3">
        <f>'[1]JUNE 2022'!D123</f>
        <v>110</v>
      </c>
      <c r="E629" s="4">
        <f>'[1]JUNE 2022'!E123</f>
        <v>0</v>
      </c>
      <c r="F629" s="6">
        <f>'[1]JUNE 2022'!F123</f>
        <v>0</v>
      </c>
      <c r="G629" s="4"/>
      <c r="H629" s="4"/>
    </row>
    <row r="630" spans="1:8" x14ac:dyDescent="0.2">
      <c r="A630" s="23">
        <f>'[1]JUNE 2022'!A128</f>
        <v>44731</v>
      </c>
      <c r="B630" s="12" t="str">
        <f>'[1]JUNE 2022'!B128</f>
        <v>Party</v>
      </c>
      <c r="C630" s="3">
        <f>'[1]JUNE 2022'!C128</f>
        <v>0</v>
      </c>
      <c r="D630" s="3">
        <f>'[1]JUNE 2022'!D128</f>
        <v>7020</v>
      </c>
      <c r="E630" s="4">
        <f>'[1]JUNE 2022'!E128</f>
        <v>0</v>
      </c>
      <c r="F630" s="6">
        <f>'[1]JUNE 2022'!F128</f>
        <v>0</v>
      </c>
      <c r="G630" s="4"/>
      <c r="H630" s="4"/>
    </row>
    <row r="631" spans="1:8" x14ac:dyDescent="0.2">
      <c r="A631" s="20">
        <f>'[1]JUNE 2022'!A129</f>
        <v>44731</v>
      </c>
      <c r="B631" s="12" t="str">
        <f>'[1]JUNE 2022'!B129</f>
        <v>LM</v>
      </c>
      <c r="C631" s="3">
        <f>'[1]JUNE 2022'!C129</f>
        <v>0</v>
      </c>
      <c r="D631" s="3">
        <f>'[1]JUNE 2022'!D129</f>
        <v>559.95000000000005</v>
      </c>
      <c r="E631" s="4">
        <f>'[1]JUNE 2022'!E129</f>
        <v>0</v>
      </c>
      <c r="F631" s="6">
        <f>'[1]JUNE 2022'!F129</f>
        <v>0</v>
      </c>
      <c r="G631" s="4"/>
      <c r="H631" s="4"/>
    </row>
    <row r="632" spans="1:8" x14ac:dyDescent="0.2">
      <c r="A632" s="23">
        <f>'[1]JUNE 2022'!A130</f>
        <v>44731</v>
      </c>
      <c r="B632" s="12" t="str">
        <f>'[1]JUNE 2022'!B130</f>
        <v>VM</v>
      </c>
      <c r="C632" s="3">
        <f>'[1]JUNE 2022'!C130</f>
        <v>0</v>
      </c>
      <c r="D632" s="3">
        <f>'[1]JUNE 2022'!D130</f>
        <v>51</v>
      </c>
      <c r="E632" s="4">
        <f>'[1]JUNE 2022'!E130</f>
        <v>0</v>
      </c>
      <c r="F632" s="6">
        <f>'[1]JUNE 2022'!F130</f>
        <v>118</v>
      </c>
      <c r="G632" s="4"/>
      <c r="H632" s="4"/>
    </row>
    <row r="633" spans="1:8" x14ac:dyDescent="0.2">
      <c r="A633" s="20">
        <f>'[1]JUNE 2022'!A131</f>
        <v>44731</v>
      </c>
      <c r="B633" s="12" t="str">
        <f>'[1]JUNE 2022'!B131</f>
        <v>none</v>
      </c>
      <c r="C633" s="3">
        <f>'[1]JUNE 2022'!C131</f>
        <v>0</v>
      </c>
      <c r="D633" s="3">
        <f>'[1]JUNE 2022'!D131</f>
        <v>7980</v>
      </c>
      <c r="E633" s="4">
        <f>'[1]JUNE 2022'!E131</f>
        <v>7980</v>
      </c>
      <c r="F633" s="6">
        <f>'[1]JUNE 2022'!F131</f>
        <v>0</v>
      </c>
      <c r="G633" s="4"/>
      <c r="H633" s="4"/>
    </row>
    <row r="634" spans="1:8" x14ac:dyDescent="0.2">
      <c r="A634" s="20">
        <f>'[1]JUNE 2022'!A135</f>
        <v>44732</v>
      </c>
      <c r="B634" s="12" t="str">
        <f>'[1]JUNE 2022'!B135</f>
        <v>Andere</v>
      </c>
      <c r="C634" s="3">
        <f>'[1]JUNE 2022'!C135</f>
        <v>0</v>
      </c>
      <c r="D634" s="3">
        <f>'[1]JUNE 2022'!D135</f>
        <v>326.83</v>
      </c>
      <c r="E634" s="4">
        <f>'[1]JUNE 2022'!E135</f>
        <v>0</v>
      </c>
      <c r="F634" s="6">
        <f>'[1]JUNE 2022'!F135</f>
        <v>0</v>
      </c>
      <c r="G634" s="4"/>
      <c r="H634" s="4"/>
    </row>
    <row r="635" spans="1:8" x14ac:dyDescent="0.2">
      <c r="A635" s="23">
        <f>'[1]JUNE 2022'!A136</f>
        <v>44732</v>
      </c>
      <c r="B635" s="12" t="str">
        <f>'[1]JUNE 2022'!B136</f>
        <v>LM</v>
      </c>
      <c r="C635" s="3">
        <f>'[1]JUNE 2022'!C136</f>
        <v>0</v>
      </c>
      <c r="D635" s="3">
        <f>'[1]JUNE 2022'!D136</f>
        <v>808.86</v>
      </c>
      <c r="E635" s="4">
        <f>'[1]JUNE 2022'!E136</f>
        <v>0</v>
      </c>
      <c r="F635" s="6">
        <f>'[1]JUNE 2022'!F136</f>
        <v>0</v>
      </c>
      <c r="G635" s="4"/>
      <c r="H635" s="4"/>
    </row>
    <row r="636" spans="1:8" x14ac:dyDescent="0.2">
      <c r="A636" s="20">
        <f>'[1]JUNE 2022'!A137</f>
        <v>44732</v>
      </c>
      <c r="B636" s="12" t="str">
        <f>'[1]JUNE 2022'!B137</f>
        <v>VM</v>
      </c>
      <c r="C636" s="3">
        <f>'[1]JUNE 2022'!C137</f>
        <v>0</v>
      </c>
      <c r="D636" s="3">
        <f>'[1]JUNE 2022'!D137</f>
        <v>0</v>
      </c>
      <c r="E636" s="4">
        <f>'[1]JUNE 2022'!E137</f>
        <v>0</v>
      </c>
      <c r="F636" s="6">
        <f>'[1]JUNE 2022'!F137</f>
        <v>174</v>
      </c>
      <c r="G636" s="4"/>
      <c r="H636" s="4"/>
    </row>
    <row r="637" spans="1:8" x14ac:dyDescent="0.2">
      <c r="A637" s="23">
        <f>'[1]JUNE 2022'!A142</f>
        <v>44733</v>
      </c>
      <c r="B637" s="12" t="str">
        <f>'[1]JUNE 2022'!B142</f>
        <v>LM</v>
      </c>
      <c r="C637" s="3">
        <f>'[1]JUNE 2022'!C142</f>
        <v>0</v>
      </c>
      <c r="D637" s="3">
        <f>'[1]JUNE 2022'!D142</f>
        <v>0</v>
      </c>
      <c r="E637" s="4">
        <f>'[1]JUNE 2022'!E142</f>
        <v>0</v>
      </c>
      <c r="F637" s="6">
        <f>'[1]JUNE 2022'!F142</f>
        <v>370</v>
      </c>
      <c r="G637" s="4"/>
      <c r="H637" s="4"/>
    </row>
    <row r="638" spans="1:8" x14ac:dyDescent="0.2">
      <c r="A638" s="20">
        <f>'[1]JUNE 2022'!A149</f>
        <v>44734</v>
      </c>
      <c r="B638" s="12" t="str">
        <f>'[1]JUNE 2022'!B149</f>
        <v>LM</v>
      </c>
      <c r="C638" s="3">
        <f>'[1]JUNE 2022'!C149</f>
        <v>0</v>
      </c>
      <c r="D638" s="3">
        <f>'[1]JUNE 2022'!D149</f>
        <v>500</v>
      </c>
      <c r="E638" s="4">
        <f>'[1]JUNE 2022'!E149</f>
        <v>0</v>
      </c>
      <c r="F638" s="6">
        <f>'[1]JUNE 2022'!F149</f>
        <v>0</v>
      </c>
      <c r="G638" s="4"/>
      <c r="H638" s="4"/>
    </row>
    <row r="639" spans="1:8" x14ac:dyDescent="0.2">
      <c r="A639" s="23">
        <f>'[1]JUNE 2022'!A150</f>
        <v>44734</v>
      </c>
      <c r="B639" s="12" t="str">
        <f>'[1]JUNE 2022'!B150</f>
        <v>Rauchen</v>
      </c>
      <c r="C639" s="3">
        <f>'[1]JUNE 2022'!C150</f>
        <v>0</v>
      </c>
      <c r="D639" s="3">
        <f>'[1]JUNE 2022'!D150</f>
        <v>1240</v>
      </c>
      <c r="E639" s="4">
        <f>'[1]JUNE 2022'!E150</f>
        <v>0</v>
      </c>
      <c r="F639" s="6">
        <f>'[1]JUNE 2022'!F150</f>
        <v>0</v>
      </c>
      <c r="G639" s="4"/>
      <c r="H639" s="4"/>
    </row>
    <row r="640" spans="1:8" x14ac:dyDescent="0.2">
      <c r="A640" s="23">
        <f>'[1]JUNE 2022'!A156</f>
        <v>44735</v>
      </c>
      <c r="B640" s="12" t="str">
        <f>'[1]JUNE 2022'!B156</f>
        <v>LM</v>
      </c>
      <c r="C640" s="3">
        <f>'[1]JUNE 2022'!C156</f>
        <v>0</v>
      </c>
      <c r="D640" s="3">
        <f>'[1]JUNE 2022'!D156</f>
        <v>848.95</v>
      </c>
      <c r="E640" s="4">
        <f>'[1]JUNE 2022'!E156</f>
        <v>0</v>
      </c>
      <c r="F640" s="6">
        <f>'[1]JUNE 2022'!F156</f>
        <v>0</v>
      </c>
      <c r="G640" s="4"/>
      <c r="H640" s="4"/>
    </row>
    <row r="641" spans="1:8" x14ac:dyDescent="0.2">
      <c r="A641" s="20">
        <f>'[1]JUNE 2022'!A157</f>
        <v>44735</v>
      </c>
      <c r="B641" s="12" t="str">
        <f>'[1]JUNE 2022'!B157</f>
        <v>VM</v>
      </c>
      <c r="C641" s="3">
        <f>'[1]JUNE 2022'!C157</f>
        <v>0</v>
      </c>
      <c r="D641" s="3">
        <f>'[1]JUNE 2022'!D157</f>
        <v>51</v>
      </c>
      <c r="E641" s="4">
        <f>'[1]JUNE 2022'!E157</f>
        <v>0</v>
      </c>
      <c r="F641" s="6">
        <f>'[1]JUNE 2022'!F157</f>
        <v>0</v>
      </c>
      <c r="G641" s="4"/>
      <c r="H641" s="4"/>
    </row>
    <row r="642" spans="1:8" x14ac:dyDescent="0.2">
      <c r="A642" s="20">
        <f>'[1]JUNE 2022'!A163</f>
        <v>44736</v>
      </c>
      <c r="B642" s="12" t="str">
        <f>'[1]JUNE 2022'!B163</f>
        <v>LM</v>
      </c>
      <c r="C642" s="3">
        <f>'[1]JUNE 2022'!C163</f>
        <v>0</v>
      </c>
      <c r="D642" s="3">
        <f>'[1]JUNE 2022'!D163</f>
        <v>619.38</v>
      </c>
      <c r="E642" s="4">
        <f>'[1]JUNE 2022'!E163</f>
        <v>0</v>
      </c>
      <c r="F642" s="6">
        <f>'[1]JUNE 2022'!F163</f>
        <v>0</v>
      </c>
      <c r="G642" s="4"/>
      <c r="H642" s="4"/>
    </row>
    <row r="643" spans="1:8" x14ac:dyDescent="0.2">
      <c r="A643" s="23">
        <f>'[1]JUNE 2022'!A164</f>
        <v>44736</v>
      </c>
      <c r="B643" s="12" t="str">
        <f>'[1]JUNE 2022'!B164</f>
        <v>Refill</v>
      </c>
      <c r="C643" s="3">
        <f>'[1]JUNE 2022'!C164</f>
        <v>34302.57</v>
      </c>
      <c r="D643" s="3">
        <f>'[1]JUNE 2022'!D164</f>
        <v>0</v>
      </c>
      <c r="E643" s="4">
        <f>'[1]JUNE 2022'!E164</f>
        <v>0</v>
      </c>
      <c r="F643" s="6">
        <f>'[1]JUNE 2022'!F164</f>
        <v>0</v>
      </c>
      <c r="G643" s="4"/>
      <c r="H643" s="4"/>
    </row>
    <row r="644" spans="1:8" x14ac:dyDescent="0.2">
      <c r="A644" s="23">
        <f>'[1]JUNE 2022'!A170</f>
        <v>44737</v>
      </c>
      <c r="B644" s="12" t="str">
        <f>'[1]JUNE 2022'!B170</f>
        <v>LM</v>
      </c>
      <c r="C644" s="3">
        <f>'[1]JUNE 2022'!C170</f>
        <v>0</v>
      </c>
      <c r="D644" s="3">
        <f>'[1]JUNE 2022'!D170</f>
        <v>589.79999999999995</v>
      </c>
      <c r="E644" s="4">
        <f>'[1]JUNE 2022'!E170</f>
        <v>0</v>
      </c>
      <c r="F644" s="6">
        <f>'[1]JUNE 2022'!F170</f>
        <v>0</v>
      </c>
      <c r="G644" s="4"/>
      <c r="H644" s="4"/>
    </row>
    <row r="645" spans="1:8" x14ac:dyDescent="0.2">
      <c r="A645" s="20">
        <f>'[1]JUNE 2022'!A171</f>
        <v>44737</v>
      </c>
      <c r="B645" s="12" t="str">
        <f>'[1]JUNE 2022'!B171</f>
        <v>Party</v>
      </c>
      <c r="C645" s="3">
        <f>'[1]JUNE 2022'!C171</f>
        <v>0</v>
      </c>
      <c r="D645" s="3">
        <f>'[1]JUNE 2022'!D171</f>
        <v>467</v>
      </c>
      <c r="E645" s="4">
        <f>'[1]JUNE 2022'!E171</f>
        <v>0</v>
      </c>
      <c r="F645" s="6">
        <f>'[1]JUNE 2022'!F171</f>
        <v>0</v>
      </c>
      <c r="G645" s="4"/>
      <c r="H645" s="4"/>
    </row>
    <row r="646" spans="1:8" x14ac:dyDescent="0.2">
      <c r="A646" s="23">
        <f>'[1]JUNE 2022'!A172</f>
        <v>44737</v>
      </c>
      <c r="B646" s="12" t="str">
        <f>'[1]JUNE 2022'!B172</f>
        <v>for me</v>
      </c>
      <c r="C646" s="3">
        <f>'[1]JUNE 2022'!C172</f>
        <v>0</v>
      </c>
      <c r="D646" s="3">
        <f>'[1]JUNE 2022'!D172</f>
        <v>500</v>
      </c>
      <c r="E646" s="4">
        <f>'[1]JUNE 2022'!E172</f>
        <v>0</v>
      </c>
      <c r="F646" s="6">
        <f>'[1]JUNE 2022'!F172</f>
        <v>0</v>
      </c>
      <c r="G646" s="4"/>
      <c r="H646" s="4"/>
    </row>
    <row r="647" spans="1:8" x14ac:dyDescent="0.2">
      <c r="A647" s="20">
        <f>'[1]JUNE 2022'!A173</f>
        <v>44737</v>
      </c>
      <c r="B647" s="12" t="str">
        <f>'[1]JUNE 2022'!B173</f>
        <v>VM</v>
      </c>
      <c r="C647" s="3">
        <f>'[1]JUNE 2022'!C173</f>
        <v>0</v>
      </c>
      <c r="D647" s="3">
        <f>'[1]JUNE 2022'!D173</f>
        <v>0</v>
      </c>
      <c r="E647" s="4">
        <f>'[1]JUNE 2022'!E173</f>
        <v>0</v>
      </c>
      <c r="F647" s="6">
        <f>'[1]JUNE 2022'!F173</f>
        <v>315</v>
      </c>
      <c r="G647" s="4"/>
      <c r="H647" s="4"/>
    </row>
    <row r="648" spans="1:8" x14ac:dyDescent="0.2">
      <c r="A648" s="23">
        <f>'[1]JUNE 2022'!A174</f>
        <v>44737</v>
      </c>
      <c r="B648" s="12" t="str">
        <f>'[1]JUNE 2022'!B174</f>
        <v>VM</v>
      </c>
      <c r="C648" s="3">
        <f>'[1]JUNE 2022'!C174</f>
        <v>0</v>
      </c>
      <c r="D648" s="3">
        <f>'[1]JUNE 2022'!D174</f>
        <v>0</v>
      </c>
      <c r="E648" s="4">
        <f>'[1]JUNE 2022'!E174</f>
        <v>0</v>
      </c>
      <c r="F648" s="6">
        <f>'[1]JUNE 2022'!F174</f>
        <v>491</v>
      </c>
      <c r="G648" s="4"/>
      <c r="H648" s="4"/>
    </row>
    <row r="649" spans="1:8" x14ac:dyDescent="0.2">
      <c r="A649" s="20">
        <f>'[1]JUNE 2022'!A175</f>
        <v>44737</v>
      </c>
      <c r="B649" s="12" t="str">
        <f>'[1]JUNE 2022'!B175</f>
        <v>none</v>
      </c>
      <c r="C649" s="3">
        <f>'[1]JUNE 2022'!C175</f>
        <v>0</v>
      </c>
      <c r="D649" s="3">
        <f>'[1]JUNE 2022'!D175</f>
        <v>760</v>
      </c>
      <c r="E649" s="4">
        <f>'[1]JUNE 2022'!E175</f>
        <v>760</v>
      </c>
      <c r="F649" s="6">
        <f>'[1]JUNE 2022'!F175</f>
        <v>0</v>
      </c>
      <c r="G649" s="4"/>
      <c r="H649" s="4"/>
    </row>
    <row r="650" spans="1:8" x14ac:dyDescent="0.2">
      <c r="A650" s="23">
        <f>'[1]JUNE 2022'!A176</f>
        <v>44737</v>
      </c>
      <c r="B650" s="12" t="str">
        <f>'[1]JUNE 2022'!B176</f>
        <v>for me</v>
      </c>
      <c r="C650" s="3">
        <f>'[1]JUNE 2022'!C176</f>
        <v>0</v>
      </c>
      <c r="D650" s="3">
        <f>'[1]JUNE 2022'!D176</f>
        <v>0</v>
      </c>
      <c r="E650" s="4">
        <f>'[1]JUNE 2022'!E176</f>
        <v>0</v>
      </c>
      <c r="F650" s="6">
        <f>'[1]JUNE 2022'!F176</f>
        <v>2380</v>
      </c>
      <c r="G650" s="4"/>
      <c r="H650" s="4"/>
    </row>
    <row r="651" spans="1:8" x14ac:dyDescent="0.2">
      <c r="A651" s="20">
        <f>'[1]JUNE 2022'!A177</f>
        <v>44738</v>
      </c>
      <c r="B651" s="12" t="str">
        <f>'[1]JUNE 2022'!B177</f>
        <v>Andere</v>
      </c>
      <c r="C651" s="3">
        <f>'[1]JUNE 2022'!C177</f>
        <v>0</v>
      </c>
      <c r="D651" s="3">
        <f>'[1]JUNE 2022'!D177</f>
        <v>380</v>
      </c>
      <c r="E651" s="4">
        <f>'[1]JUNE 2022'!E177</f>
        <v>0</v>
      </c>
      <c r="F651" s="6">
        <f>'[1]JUNE 2022'!F177</f>
        <v>0</v>
      </c>
      <c r="G651" s="4"/>
      <c r="H651" s="4"/>
    </row>
    <row r="652" spans="1:8" x14ac:dyDescent="0.2">
      <c r="A652" s="23">
        <f>'[1]JUNE 2022'!A178</f>
        <v>44738</v>
      </c>
      <c r="B652" s="12" t="str">
        <f>'[1]JUNE 2022'!B178</f>
        <v>Andere</v>
      </c>
      <c r="C652" s="3">
        <f>'[1]JUNE 2022'!C178</f>
        <v>0</v>
      </c>
      <c r="D652" s="3">
        <f>'[1]JUNE 2022'!D178</f>
        <v>450</v>
      </c>
      <c r="E652" s="4">
        <f>'[1]JUNE 2022'!E178</f>
        <v>0</v>
      </c>
      <c r="F652" s="6">
        <f>'[1]JUNE 2022'!F178</f>
        <v>0</v>
      </c>
      <c r="G652" s="4"/>
      <c r="H652" s="4"/>
    </row>
    <row r="653" spans="1:8" x14ac:dyDescent="0.2">
      <c r="A653" s="20">
        <f>'[1]JUNE 2022'!A179</f>
        <v>44738</v>
      </c>
      <c r="B653" s="12" t="str">
        <f>'[1]JUNE 2022'!B179</f>
        <v>LM</v>
      </c>
      <c r="C653" s="3">
        <f>'[1]JUNE 2022'!C179</f>
        <v>0</v>
      </c>
      <c r="D653" s="3">
        <f>'[1]JUNE 2022'!D179</f>
        <v>1264.51</v>
      </c>
      <c r="E653" s="4">
        <f>'[1]JUNE 2022'!E179</f>
        <v>0</v>
      </c>
      <c r="F653" s="6">
        <f>'[1]JUNE 2022'!F179</f>
        <v>0</v>
      </c>
      <c r="G653" s="4"/>
      <c r="H653" s="4"/>
    </row>
    <row r="654" spans="1:8" x14ac:dyDescent="0.2">
      <c r="A654" s="23">
        <f>'[1]JUNE 2022'!A180</f>
        <v>44738</v>
      </c>
      <c r="B654" s="12" t="str">
        <f>'[1]JUNE 2022'!B180</f>
        <v>VM</v>
      </c>
      <c r="C654" s="3">
        <f>'[1]JUNE 2022'!C180</f>
        <v>0</v>
      </c>
      <c r="D654" s="3">
        <f>'[1]JUNE 2022'!D180</f>
        <v>0</v>
      </c>
      <c r="E654" s="4">
        <f>'[1]JUNE 2022'!E180</f>
        <v>0</v>
      </c>
      <c r="F654" s="6">
        <f>'[1]JUNE 2022'!F180</f>
        <v>42</v>
      </c>
      <c r="G654" s="4"/>
      <c r="H654" s="4"/>
    </row>
    <row r="655" spans="1:8" x14ac:dyDescent="0.2">
      <c r="A655" s="23">
        <f>'[1]JUNE 2022'!A184</f>
        <v>44739</v>
      </c>
      <c r="B655" s="12" t="str">
        <f>'[1]JUNE 2022'!B184</f>
        <v>LM</v>
      </c>
      <c r="C655" s="3">
        <f>'[1]JUNE 2022'!C184</f>
        <v>0</v>
      </c>
      <c r="D655" s="3">
        <f>'[1]JUNE 2022'!D184</f>
        <v>1480</v>
      </c>
      <c r="E655" s="4">
        <f>'[1]JUNE 2022'!E184</f>
        <v>0</v>
      </c>
      <c r="F655" s="6">
        <f>'[1]JUNE 2022'!F184</f>
        <v>0</v>
      </c>
      <c r="G655" s="4"/>
      <c r="H655" s="4"/>
    </row>
    <row r="656" spans="1:8" x14ac:dyDescent="0.2">
      <c r="A656" s="20">
        <f>'[1]JUNE 2022'!A185</f>
        <v>44739</v>
      </c>
      <c r="B656" s="12" t="str">
        <f>'[1]JUNE 2022'!B185</f>
        <v>VM</v>
      </c>
      <c r="C656" s="3">
        <f>'[1]JUNE 2022'!C185</f>
        <v>0</v>
      </c>
      <c r="D656" s="3">
        <f>'[1]JUNE 2022'!D185</f>
        <v>0</v>
      </c>
      <c r="E656" s="4">
        <f>'[1]JUNE 2022'!E185</f>
        <v>0</v>
      </c>
      <c r="F656" s="6">
        <f>'[1]JUNE 2022'!F185</f>
        <v>61</v>
      </c>
      <c r="G656" s="4"/>
      <c r="H656" s="4"/>
    </row>
    <row r="657" spans="1:8" x14ac:dyDescent="0.2">
      <c r="A657" s="20">
        <f>'[1]JUNE 2022'!A191</f>
        <v>44740</v>
      </c>
      <c r="B657" s="12" t="str">
        <f>'[1]JUNE 2022'!B191</f>
        <v>LM</v>
      </c>
      <c r="C657" s="3">
        <f>'[1]JUNE 2022'!C191</f>
        <v>0</v>
      </c>
      <c r="D657" s="3">
        <f>'[1]JUNE 2022'!D191</f>
        <v>948.97</v>
      </c>
      <c r="E657" s="4">
        <f>'[1]JUNE 2022'!E191</f>
        <v>0</v>
      </c>
      <c r="F657" s="6">
        <f>'[1]JUNE 2022'!F191</f>
        <v>0</v>
      </c>
      <c r="G657" s="4"/>
      <c r="H657" s="4"/>
    </row>
    <row r="658" spans="1:8" x14ac:dyDescent="0.2">
      <c r="A658" s="23">
        <f>'[1]JUNE 2022'!A192</f>
        <v>44740</v>
      </c>
      <c r="B658" s="12" t="str">
        <f>'[1]JUNE 2022'!B192</f>
        <v>VM</v>
      </c>
      <c r="C658" s="3">
        <f>'[1]JUNE 2022'!C192</f>
        <v>0</v>
      </c>
      <c r="D658" s="3">
        <f>'[1]JUNE 2022'!D192</f>
        <v>0</v>
      </c>
      <c r="E658" s="4">
        <f>'[1]JUNE 2022'!E192</f>
        <v>0</v>
      </c>
      <c r="F658" s="6">
        <f>'[1]JUNE 2022'!F192</f>
        <v>32</v>
      </c>
      <c r="G658" s="4"/>
      <c r="H658" s="4"/>
    </row>
    <row r="659" spans="1:8" x14ac:dyDescent="0.2">
      <c r="A659" s="23">
        <f>'[1]JUNE 2022'!A198</f>
        <v>44741</v>
      </c>
      <c r="B659" s="12" t="str">
        <f>'[1]JUNE 2022'!B198</f>
        <v>LM</v>
      </c>
      <c r="C659" s="3">
        <f>'[1]JUNE 2022'!C198</f>
        <v>0</v>
      </c>
      <c r="D659" s="3">
        <f>'[1]JUNE 2022'!D198</f>
        <v>673.98</v>
      </c>
      <c r="E659" s="4">
        <f>'[1]JUNE 2022'!E198</f>
        <v>0</v>
      </c>
      <c r="F659" s="6">
        <f>'[1]JUNE 2022'!F198</f>
        <v>0</v>
      </c>
      <c r="G659" s="4"/>
      <c r="H659" s="4"/>
    </row>
    <row r="660" spans="1:8" x14ac:dyDescent="0.2">
      <c r="A660" s="20">
        <f>'[1]JUNE 2022'!A205</f>
        <v>44742</v>
      </c>
      <c r="B660" s="12" t="str">
        <f>'[1]JUNE 2022'!B205</f>
        <v>VM</v>
      </c>
      <c r="C660" s="3">
        <f>'[1]JUNE 2022'!C205</f>
        <v>0</v>
      </c>
      <c r="D660" s="3">
        <f>'[1]JUNE 2022'!D205</f>
        <v>0</v>
      </c>
      <c r="E660" s="4">
        <f>'[1]JUNE 2022'!E205</f>
        <v>0</v>
      </c>
      <c r="F660" s="6">
        <f>'[1]JUNE 2022'!F205</f>
        <v>400</v>
      </c>
      <c r="G660" s="4"/>
      <c r="H660" s="4"/>
    </row>
    <row r="661" spans="1:8" x14ac:dyDescent="0.2">
      <c r="A661" s="23">
        <f>'[1]JUNE 2022'!A206</f>
        <v>44742</v>
      </c>
      <c r="B661" s="12" t="str">
        <f>'[1]JUNE 2022'!B206</f>
        <v>LM</v>
      </c>
      <c r="C661" s="3">
        <f>'[1]JUNE 2022'!C206</f>
        <v>0</v>
      </c>
      <c r="D661" s="3">
        <f>'[1]JUNE 2022'!D206</f>
        <v>0</v>
      </c>
      <c r="E661" s="4">
        <f>'[1]JUNE 2022'!E206</f>
        <v>0</v>
      </c>
      <c r="F661" s="6">
        <f>'[1]JUNE 2022'!F206</f>
        <v>400</v>
      </c>
      <c r="G661" s="4"/>
      <c r="H661" s="4"/>
    </row>
    <row r="662" spans="1:8" x14ac:dyDescent="0.2">
      <c r="A662" s="20">
        <f>'[1]JUNE 2022'!A207</f>
        <v>44742</v>
      </c>
      <c r="B662" s="12" t="str">
        <f>'[1]JUNE 2022'!B207</f>
        <v>Refill</v>
      </c>
      <c r="C662" s="3">
        <f>'[1]JUNE 2022'!C207</f>
        <v>1273.97</v>
      </c>
      <c r="D662" s="3">
        <f>'[1]JUNE 2022'!D207</f>
        <v>0</v>
      </c>
      <c r="E662" s="4">
        <f>'[1]JUNE 2022'!E207</f>
        <v>0</v>
      </c>
      <c r="F662" s="6">
        <f>'[1]JUNE 2022'!F207</f>
        <v>0</v>
      </c>
      <c r="G662" s="4"/>
      <c r="H662" s="4"/>
    </row>
    <row r="663" spans="1:8" x14ac:dyDescent="0.2">
      <c r="A663" s="20">
        <f>'[1]JUNE 2022'!A209</f>
        <v>44742</v>
      </c>
      <c r="B663" s="12" t="str">
        <f>'[1]JUNE 2022'!B209</f>
        <v>LM</v>
      </c>
      <c r="C663" s="3">
        <f>'[1]JUNE 2022'!C209</f>
        <v>0</v>
      </c>
      <c r="D663" s="3">
        <f>'[1]JUNE 2022'!D209</f>
        <v>803.99</v>
      </c>
      <c r="E663" s="4">
        <f>'[1]JUNE 2022'!E209</f>
        <v>0</v>
      </c>
      <c r="F663" s="6">
        <f>'[1]JUNE 2022'!F209</f>
        <v>0</v>
      </c>
      <c r="G663" s="4"/>
      <c r="H663" s="4"/>
    </row>
    <row r="664" spans="1:8" x14ac:dyDescent="0.2">
      <c r="A664" s="23">
        <f>'[1]JUNE 2022'!A210</f>
        <v>44742</v>
      </c>
      <c r="B664" s="12" t="str">
        <f>'[1]JUNE 2022'!B210</f>
        <v>VM</v>
      </c>
      <c r="C664" s="3">
        <f>'[1]JUNE 2022'!C210</f>
        <v>0</v>
      </c>
      <c r="D664" s="3">
        <f>'[1]JUNE 2022'!D210</f>
        <v>0</v>
      </c>
      <c r="E664" s="4">
        <f>'[1]JUNE 2022'!E210</f>
        <v>0</v>
      </c>
      <c r="F664" s="6">
        <f>'[1]JUNE 2022'!F210</f>
        <v>102</v>
      </c>
      <c r="G664" s="4"/>
      <c r="H664" s="4"/>
    </row>
    <row r="665" spans="1:8" x14ac:dyDescent="0.2">
      <c r="A665" s="23">
        <f>'[1]JULY 2022'!A2</f>
        <v>44743</v>
      </c>
      <c r="B665" s="14" t="str">
        <f>'[1]JULY 2022'!B2</f>
        <v>VM</v>
      </c>
      <c r="C665" s="16">
        <f>'[1]JULY 2022'!C2</f>
        <v>0</v>
      </c>
      <c r="D665" s="16">
        <f>'[1]JULY 2022'!D2</f>
        <v>435</v>
      </c>
      <c r="E665" s="17">
        <f>'[1]JULY 2022'!E2</f>
        <v>0</v>
      </c>
      <c r="F665" s="18">
        <f>'[1]JULY 2022'!F2</f>
        <v>40</v>
      </c>
      <c r="G665" s="4"/>
      <c r="H665" s="4"/>
    </row>
    <row r="666" spans="1:8" x14ac:dyDescent="0.2">
      <c r="A666" s="20">
        <f>'[1]JULY 2022'!A3</f>
        <v>44743</v>
      </c>
      <c r="B666" s="14" t="str">
        <f>'[1]JULY 2022'!B3</f>
        <v>LM</v>
      </c>
      <c r="C666" s="16">
        <f>'[1]JULY 2022'!C3</f>
        <v>0</v>
      </c>
      <c r="D666" s="16">
        <f>'[1]JULY 2022'!D3</f>
        <v>974.7</v>
      </c>
      <c r="E666" s="17">
        <f>'[1]JULY 2022'!E3</f>
        <v>0</v>
      </c>
      <c r="F666" s="18">
        <f>'[1]JULY 2022'!F3</f>
        <v>0</v>
      </c>
      <c r="G666" s="4"/>
      <c r="H666" s="4"/>
    </row>
    <row r="667" spans="1:8" x14ac:dyDescent="0.2">
      <c r="A667" s="23">
        <f>'[1]JULY 2022'!A4</f>
        <v>44743</v>
      </c>
      <c r="B667" s="14" t="str">
        <f>'[1]JULY 2022'!B4</f>
        <v>Andere</v>
      </c>
      <c r="C667" s="16">
        <f>'[1]JULY 2022'!C4</f>
        <v>0</v>
      </c>
      <c r="D667" s="16">
        <f>'[1]JULY 2022'!D4</f>
        <v>530</v>
      </c>
      <c r="E667" s="17">
        <f>'[1]JULY 2022'!E4</f>
        <v>0</v>
      </c>
      <c r="F667" s="18">
        <f>'[1]JULY 2022'!F4</f>
        <v>0</v>
      </c>
      <c r="G667" s="4"/>
      <c r="H667" s="4"/>
    </row>
    <row r="668" spans="1:8" x14ac:dyDescent="0.2">
      <c r="A668" s="20">
        <f>'[1]JULY 2022'!A5</f>
        <v>44743</v>
      </c>
      <c r="B668" s="14" t="str">
        <f>'[1]JULY 2022'!B5</f>
        <v>Kleidung</v>
      </c>
      <c r="C668" s="16">
        <f>'[1]JULY 2022'!C5</f>
        <v>0</v>
      </c>
      <c r="D668" s="16">
        <f>'[1]JULY 2022'!D5</f>
        <v>6645</v>
      </c>
      <c r="E668" s="17">
        <f>'[1]JULY 2022'!E5</f>
        <v>0</v>
      </c>
      <c r="F668" s="18">
        <f>'[1]JULY 2022'!F5</f>
        <v>0</v>
      </c>
      <c r="G668" s="4"/>
      <c r="H668" s="4"/>
    </row>
    <row r="669" spans="1:8" x14ac:dyDescent="0.2">
      <c r="A669" s="20">
        <f>'[1]JULY 2022'!A9</f>
        <v>44744</v>
      </c>
      <c r="B669" s="14" t="str">
        <f>'[1]JULY 2022'!B9</f>
        <v>LM</v>
      </c>
      <c r="C669" s="16">
        <f>'[1]JULY 2022'!C9</f>
        <v>0</v>
      </c>
      <c r="D669" s="16">
        <f>'[1]JULY 2022'!D9</f>
        <v>748.84</v>
      </c>
      <c r="E669" s="17">
        <f>'[1]JULY 2022'!E9</f>
        <v>0</v>
      </c>
      <c r="F669" s="18">
        <f>'[1]JULY 2022'!F9</f>
        <v>270</v>
      </c>
      <c r="G669" s="4"/>
      <c r="H669" s="4"/>
    </row>
    <row r="670" spans="1:8" x14ac:dyDescent="0.2">
      <c r="A670" s="23">
        <f>'[1]JULY 2022'!A10</f>
        <v>44744</v>
      </c>
      <c r="B670" s="14" t="str">
        <f>'[1]JULY 2022'!B10</f>
        <v>Frauen</v>
      </c>
      <c r="C670" s="16">
        <f>'[1]JULY 2022'!C10</f>
        <v>0</v>
      </c>
      <c r="D670" s="16">
        <f>'[1]JULY 2022'!D10</f>
        <v>1960</v>
      </c>
      <c r="E670" s="17">
        <f>'[1]JULY 2022'!E10</f>
        <v>0</v>
      </c>
      <c r="F670" s="18">
        <f>'[1]JULY 2022'!F10</f>
        <v>0</v>
      </c>
      <c r="G670" s="4"/>
      <c r="H670" s="4"/>
    </row>
    <row r="671" spans="1:8" x14ac:dyDescent="0.2">
      <c r="A671" s="20">
        <f>'[1]JULY 2022'!A11</f>
        <v>44744</v>
      </c>
      <c r="B671" s="14" t="str">
        <f>'[1]JULY 2022'!B11</f>
        <v>VM</v>
      </c>
      <c r="C671" s="16">
        <f>'[1]JULY 2022'!C11</f>
        <v>0</v>
      </c>
      <c r="D671" s="16">
        <f>'[1]JULY 2022'!D11</f>
        <v>0</v>
      </c>
      <c r="E671" s="17">
        <f>'[1]JULY 2022'!E11</f>
        <v>0</v>
      </c>
      <c r="F671" s="18">
        <f>'[1]JULY 2022'!F11</f>
        <v>128</v>
      </c>
      <c r="G671" s="4"/>
      <c r="H671" s="4"/>
    </row>
    <row r="672" spans="1:8" x14ac:dyDescent="0.2">
      <c r="A672" s="23">
        <f>'[1]JULY 2022'!A12</f>
        <v>44744</v>
      </c>
      <c r="B672" s="14" t="str">
        <f>'[1]JULY 2022'!B12</f>
        <v>VM</v>
      </c>
      <c r="C672" s="16">
        <f>'[1]JULY 2022'!C12</f>
        <v>0</v>
      </c>
      <c r="D672" s="16">
        <f>'[1]JULY 2022'!D12</f>
        <v>0</v>
      </c>
      <c r="E672" s="17">
        <f>'[1]JULY 2022'!E12</f>
        <v>0</v>
      </c>
      <c r="F672" s="18">
        <f>'[1]JULY 2022'!F12</f>
        <v>499</v>
      </c>
      <c r="G672" s="4"/>
      <c r="H672" s="4"/>
    </row>
    <row r="673" spans="1:8" x14ac:dyDescent="0.2">
      <c r="A673" s="20">
        <f>'[1]JULY 2022'!A13</f>
        <v>44744</v>
      </c>
      <c r="B673" s="14" t="str">
        <f>'[1]JULY 2022'!B13</f>
        <v>for me</v>
      </c>
      <c r="C673" s="16">
        <f>'[1]JULY 2022'!C13</f>
        <v>0</v>
      </c>
      <c r="D673" s="16">
        <f>'[1]JULY 2022'!D13</f>
        <v>0</v>
      </c>
      <c r="E673" s="17">
        <f>'[1]JULY 2022'!E13</f>
        <v>0</v>
      </c>
      <c r="F673" s="18">
        <f>'[1]JULY 2022'!F13</f>
        <v>2800</v>
      </c>
      <c r="G673" s="4"/>
      <c r="H673" s="4"/>
    </row>
    <row r="674" spans="1:8" x14ac:dyDescent="0.2">
      <c r="A674" s="23">
        <f>'[1]JULY 2022'!A16</f>
        <v>44745</v>
      </c>
      <c r="B674" s="14" t="str">
        <f>'[1]JULY 2022'!B16</f>
        <v>LM</v>
      </c>
      <c r="C674" s="16">
        <f>'[1]JULY 2022'!C16</f>
        <v>0</v>
      </c>
      <c r="D674" s="16">
        <f>'[1]JULY 2022'!D16</f>
        <v>406.98</v>
      </c>
      <c r="E674" s="17">
        <f>'[1]JULY 2022'!E16</f>
        <v>0</v>
      </c>
      <c r="F674" s="18">
        <f>'[1]JULY 2022'!F16</f>
        <v>70</v>
      </c>
      <c r="G674" s="4"/>
      <c r="H674" s="4"/>
    </row>
    <row r="675" spans="1:8" x14ac:dyDescent="0.2">
      <c r="A675" s="20">
        <f>'[1]JULY 2022'!A17</f>
        <v>44745</v>
      </c>
      <c r="B675" s="14" t="str">
        <f>'[1]JULY 2022'!B17</f>
        <v>VM</v>
      </c>
      <c r="C675" s="16">
        <f>'[1]JULY 2022'!C17</f>
        <v>0</v>
      </c>
      <c r="D675" s="16">
        <f>'[1]JULY 2022'!D17</f>
        <v>0</v>
      </c>
      <c r="E675" s="17">
        <f>'[1]JULY 2022'!E17</f>
        <v>0</v>
      </c>
      <c r="F675" s="18">
        <f>'[1]JULY 2022'!F17</f>
        <v>63</v>
      </c>
      <c r="G675" s="4"/>
      <c r="H675" s="4"/>
    </row>
    <row r="676" spans="1:8" x14ac:dyDescent="0.2">
      <c r="A676" s="20">
        <f>'[1]JULY 2022'!A23</f>
        <v>44746</v>
      </c>
      <c r="B676" s="14" t="str">
        <f>'[1]JULY 2022'!B23</f>
        <v>Andere</v>
      </c>
      <c r="C676" s="16">
        <f>'[1]JULY 2022'!C23</f>
        <v>0</v>
      </c>
      <c r="D676" s="16">
        <f>'[1]JULY 2022'!D23</f>
        <v>300</v>
      </c>
      <c r="E676" s="17">
        <f>'[1]JULY 2022'!E23</f>
        <v>0</v>
      </c>
      <c r="F676" s="18">
        <f>'[1]JULY 2022'!F23</f>
        <v>0</v>
      </c>
      <c r="G676" s="4"/>
      <c r="H676" s="4"/>
    </row>
    <row r="677" spans="1:8" x14ac:dyDescent="0.2">
      <c r="A677" s="23">
        <f>'[1]JULY 2022'!A24</f>
        <v>44746</v>
      </c>
      <c r="B677" s="14" t="str">
        <f>'[1]JULY 2022'!B24</f>
        <v>LM</v>
      </c>
      <c r="C677" s="16">
        <f>'[1]JULY 2022'!C24</f>
        <v>0</v>
      </c>
      <c r="D677" s="16">
        <f>'[1]JULY 2022'!D24</f>
        <v>539</v>
      </c>
      <c r="E677" s="17">
        <f>'[1]JULY 2022'!E24</f>
        <v>0</v>
      </c>
      <c r="F677" s="18">
        <f>'[1]JULY 2022'!F24</f>
        <v>0</v>
      </c>
      <c r="G677" s="4"/>
      <c r="H677" s="4"/>
    </row>
    <row r="678" spans="1:8" x14ac:dyDescent="0.2">
      <c r="A678" s="20">
        <f>'[1]JULY 2022'!A25</f>
        <v>44746</v>
      </c>
      <c r="B678" s="14" t="str">
        <f>'[1]JULY 2022'!B25</f>
        <v>Rauchen</v>
      </c>
      <c r="C678" s="16">
        <f>'[1]JULY 2022'!C25</f>
        <v>0</v>
      </c>
      <c r="D678" s="16">
        <f>'[1]JULY 2022'!D25</f>
        <v>600</v>
      </c>
      <c r="E678" s="17">
        <f>'[1]JULY 2022'!E25</f>
        <v>0</v>
      </c>
      <c r="F678" s="18">
        <f>'[1]JULY 2022'!F25</f>
        <v>0</v>
      </c>
      <c r="G678" s="4"/>
      <c r="H678" s="4"/>
    </row>
    <row r="679" spans="1:8" x14ac:dyDescent="0.2">
      <c r="A679" s="23">
        <f>'[1]JULY 2022'!A26</f>
        <v>44746</v>
      </c>
      <c r="B679" s="14" t="str">
        <f>'[1]JULY 2022'!B26</f>
        <v>VM</v>
      </c>
      <c r="C679" s="16">
        <f>'[1]JULY 2022'!C26</f>
        <v>0</v>
      </c>
      <c r="D679" s="16">
        <f>'[1]JULY 2022'!D26</f>
        <v>0</v>
      </c>
      <c r="E679" s="17">
        <f>'[1]JULY 2022'!E26</f>
        <v>0</v>
      </c>
      <c r="F679" s="18">
        <f>'[1]JULY 2022'!F26</f>
        <v>72</v>
      </c>
      <c r="G679" s="4"/>
      <c r="H679" s="4"/>
    </row>
    <row r="680" spans="1:8" x14ac:dyDescent="0.2">
      <c r="A680" s="23">
        <f>'[1]JULY 2022'!A30</f>
        <v>44747</v>
      </c>
      <c r="B680" s="14" t="str">
        <f>'[1]JULY 2022'!B30</f>
        <v>Party</v>
      </c>
      <c r="C680" s="16">
        <f>'[1]JULY 2022'!C30</f>
        <v>0</v>
      </c>
      <c r="D680" s="16">
        <f>'[1]JULY 2022'!D30</f>
        <v>7000</v>
      </c>
      <c r="E680" s="17">
        <f>'[1]JULY 2022'!E30</f>
        <v>0</v>
      </c>
      <c r="F680" s="18">
        <f>'[1]JULY 2022'!F30</f>
        <v>0</v>
      </c>
      <c r="G680" s="4"/>
      <c r="H680" s="4"/>
    </row>
    <row r="681" spans="1:8" x14ac:dyDescent="0.2">
      <c r="A681" s="20">
        <f>'[1]JULY 2022'!A31</f>
        <v>44747</v>
      </c>
      <c r="B681" s="14" t="str">
        <f>'[1]JULY 2022'!B31</f>
        <v>for me</v>
      </c>
      <c r="C681" s="16">
        <f>'[1]JULY 2022'!C31</f>
        <v>0</v>
      </c>
      <c r="D681" s="16">
        <f>'[1]JULY 2022'!D31</f>
        <v>800</v>
      </c>
      <c r="E681" s="17">
        <f>'[1]JULY 2022'!E31</f>
        <v>0</v>
      </c>
      <c r="F681" s="18">
        <f>'[1]JULY 2022'!F31</f>
        <v>0</v>
      </c>
      <c r="G681" s="4"/>
      <c r="H681" s="4"/>
    </row>
    <row r="682" spans="1:8" x14ac:dyDescent="0.2">
      <c r="A682" s="23">
        <f>'[1]JULY 2022'!A32</f>
        <v>44747</v>
      </c>
      <c r="B682" s="14" t="str">
        <f>'[1]JULY 2022'!B32</f>
        <v>none</v>
      </c>
      <c r="C682" s="16">
        <f>'[1]JULY 2022'!C32</f>
        <v>0</v>
      </c>
      <c r="D682" s="16">
        <f>'[1]JULY 2022'!D32</f>
        <v>600</v>
      </c>
      <c r="E682" s="17">
        <f>'[1]JULY 2022'!E32</f>
        <v>0</v>
      </c>
      <c r="F682" s="18">
        <f>'[1]JULY 2022'!F32</f>
        <v>0</v>
      </c>
      <c r="G682" s="4"/>
      <c r="H682" s="4"/>
    </row>
    <row r="683" spans="1:8" x14ac:dyDescent="0.2">
      <c r="A683" s="20">
        <f>'[1]JULY 2022'!A33</f>
        <v>44747</v>
      </c>
      <c r="B683" s="14" t="str">
        <f>'[1]JULY 2022'!B33</f>
        <v>Andere</v>
      </c>
      <c r="C683" s="16">
        <f>'[1]JULY 2022'!C33</f>
        <v>0</v>
      </c>
      <c r="D683" s="16">
        <f>'[1]JULY 2022'!D33</f>
        <v>500</v>
      </c>
      <c r="E683" s="17">
        <f>'[1]JULY 2022'!E33</f>
        <v>0</v>
      </c>
      <c r="F683" s="18">
        <f>'[1]JULY 2022'!F33</f>
        <v>0</v>
      </c>
      <c r="G683" s="4"/>
      <c r="H683" s="4"/>
    </row>
    <row r="684" spans="1:8" x14ac:dyDescent="0.2">
      <c r="A684" s="23">
        <f>'[1]JULY 2022'!A34</f>
        <v>44747</v>
      </c>
      <c r="B684" s="14" t="str">
        <f>'[1]JULY 2022'!B34</f>
        <v>VM</v>
      </c>
      <c r="C684" s="16">
        <f>'[1]JULY 2022'!C34</f>
        <v>0</v>
      </c>
      <c r="D684" s="16">
        <f>'[1]JULY 2022'!D34</f>
        <v>102</v>
      </c>
      <c r="E684" s="17">
        <f>'[1]JULY 2022'!E34</f>
        <v>0</v>
      </c>
      <c r="F684" s="18">
        <f>'[1]JULY 2022'!F34</f>
        <v>14</v>
      </c>
      <c r="G684" s="4"/>
      <c r="H684" s="4"/>
    </row>
    <row r="685" spans="1:8" x14ac:dyDescent="0.2">
      <c r="A685" s="20">
        <f>'[1]JULY 2022'!A35</f>
        <v>44747</v>
      </c>
      <c r="B685" s="14" t="str">
        <f>'[1]JULY 2022'!B35</f>
        <v>LM</v>
      </c>
      <c r="C685" s="16">
        <f>'[1]JULY 2022'!C35</f>
        <v>0</v>
      </c>
      <c r="D685" s="16">
        <f>'[1]JULY 2022'!D35</f>
        <v>0</v>
      </c>
      <c r="E685" s="17">
        <f>'[1]JULY 2022'!E35</f>
        <v>0</v>
      </c>
      <c r="F685" s="18">
        <f>'[1]JULY 2022'!F35</f>
        <v>490</v>
      </c>
      <c r="G685" s="4"/>
      <c r="H685" s="4"/>
    </row>
    <row r="686" spans="1:8" x14ac:dyDescent="0.2">
      <c r="A686" s="20">
        <f>'[1]JULY 2022'!A37</f>
        <v>44748</v>
      </c>
      <c r="B686" s="14" t="str">
        <f>'[1]JULY 2022'!B37</f>
        <v>LM</v>
      </c>
      <c r="C686" s="16">
        <f>'[1]JULY 2022'!C37</f>
        <v>0</v>
      </c>
      <c r="D686" s="16">
        <f>'[1]JULY 2022'!D37</f>
        <v>1259.1300000000001</v>
      </c>
      <c r="E686" s="17">
        <f>'[1]JULY 2022'!E37</f>
        <v>0</v>
      </c>
      <c r="F686" s="18">
        <f>'[1]JULY 2022'!F37</f>
        <v>0</v>
      </c>
      <c r="G686" s="4"/>
      <c r="H686" s="4"/>
    </row>
    <row r="687" spans="1:8" x14ac:dyDescent="0.2">
      <c r="A687" s="23">
        <f>'[1]JULY 2022'!A38</f>
        <v>44748</v>
      </c>
      <c r="B687" s="14" t="str">
        <f>'[1]JULY 2022'!B38</f>
        <v>Party</v>
      </c>
      <c r="C687" s="16">
        <f>'[1]JULY 2022'!C38</f>
        <v>0</v>
      </c>
      <c r="D687" s="16">
        <f>'[1]JULY 2022'!D38</f>
        <v>480</v>
      </c>
      <c r="E687" s="17">
        <f>'[1]JULY 2022'!E38</f>
        <v>0</v>
      </c>
      <c r="F687" s="18">
        <f>'[1]JULY 2022'!F38</f>
        <v>0</v>
      </c>
      <c r="G687" s="4"/>
      <c r="H687" s="4"/>
    </row>
    <row r="688" spans="1:8" x14ac:dyDescent="0.2">
      <c r="A688" s="20">
        <f>'[1]JULY 2022'!A39</f>
        <v>44748</v>
      </c>
      <c r="B688" s="14" t="str">
        <f>'[1]JULY 2022'!B39</f>
        <v>none</v>
      </c>
      <c r="C688" s="16">
        <f>'[1]JULY 2022'!C39</f>
        <v>0</v>
      </c>
      <c r="D688" s="16">
        <f>'[1]JULY 2022'!D39</f>
        <v>2000</v>
      </c>
      <c r="E688" s="17">
        <f>'[1]JULY 2022'!E39</f>
        <v>2000</v>
      </c>
      <c r="F688" s="18">
        <f>'[1]JULY 2022'!F39</f>
        <v>0</v>
      </c>
      <c r="G688" s="4"/>
      <c r="H688" s="4"/>
    </row>
    <row r="689" spans="1:8" x14ac:dyDescent="0.2">
      <c r="A689" s="23">
        <f>'[1]JULY 2022'!A40</f>
        <v>44748</v>
      </c>
      <c r="B689" s="14" t="str">
        <f>'[1]JULY 2022'!B40</f>
        <v>VM</v>
      </c>
      <c r="C689" s="16">
        <f>'[1]JULY 2022'!C40</f>
        <v>0</v>
      </c>
      <c r="D689" s="16">
        <f>'[1]JULY 2022'!D40</f>
        <v>0</v>
      </c>
      <c r="E689" s="17">
        <f>'[1]JULY 2022'!E40</f>
        <v>0</v>
      </c>
      <c r="F689" s="18">
        <f>'[1]JULY 2022'!F40</f>
        <v>112</v>
      </c>
      <c r="G689" s="4"/>
      <c r="H689" s="4"/>
    </row>
    <row r="690" spans="1:8" x14ac:dyDescent="0.2">
      <c r="A690" s="23">
        <f>'[1]JULY 2022'!A44</f>
        <v>44749</v>
      </c>
      <c r="B690" s="14" t="str">
        <f>'[1]JULY 2022'!B44</f>
        <v>none</v>
      </c>
      <c r="C690" s="16">
        <f>'[1]JULY 2022'!C44</f>
        <v>0</v>
      </c>
      <c r="D690" s="16">
        <f>'[1]JULY 2022'!D44</f>
        <v>490</v>
      </c>
      <c r="E690" s="17">
        <f>'[1]JULY 2022'!E44</f>
        <v>490</v>
      </c>
      <c r="F690" s="18">
        <f>'[1]JULY 2022'!F44</f>
        <v>0</v>
      </c>
      <c r="G690" s="4"/>
      <c r="H690" s="4"/>
    </row>
    <row r="691" spans="1:8" x14ac:dyDescent="0.2">
      <c r="A691" s="20">
        <f>'[1]JULY 2022'!A45</f>
        <v>44749</v>
      </c>
      <c r="B691" s="14" t="str">
        <f>'[1]JULY 2022'!B45</f>
        <v>LM</v>
      </c>
      <c r="C691" s="16">
        <f>'[1]JULY 2022'!C45</f>
        <v>0</v>
      </c>
      <c r="D691" s="16">
        <f>'[1]JULY 2022'!D45</f>
        <v>490</v>
      </c>
      <c r="E691" s="17">
        <f>'[1]JULY 2022'!E45</f>
        <v>0</v>
      </c>
      <c r="F691" s="18">
        <f>'[1]JULY 2022'!F45</f>
        <v>0</v>
      </c>
      <c r="G691" s="4"/>
      <c r="H691" s="4"/>
    </row>
    <row r="692" spans="1:8" x14ac:dyDescent="0.2">
      <c r="A692" s="23">
        <f>'[1]JULY 2022'!A46</f>
        <v>44749</v>
      </c>
      <c r="B692" s="14" t="str">
        <f>'[1]JULY 2022'!B46</f>
        <v>VM</v>
      </c>
      <c r="C692" s="16">
        <f>'[1]JULY 2022'!C46</f>
        <v>0</v>
      </c>
      <c r="D692" s="16">
        <f>'[1]JULY 2022'!D46</f>
        <v>0</v>
      </c>
      <c r="E692" s="17">
        <f>'[1]JULY 2022'!E46</f>
        <v>0</v>
      </c>
      <c r="F692" s="18">
        <f>'[1]JULY 2022'!F46</f>
        <v>53</v>
      </c>
      <c r="G692" s="4"/>
      <c r="H692" s="4"/>
    </row>
    <row r="693" spans="1:8" x14ac:dyDescent="0.2">
      <c r="A693" s="20">
        <f>'[1]JULY 2022'!A51</f>
        <v>44750</v>
      </c>
      <c r="B693" s="14" t="str">
        <f>'[1]JULY 2022'!B51</f>
        <v>Andere</v>
      </c>
      <c r="C693" s="16">
        <f>'[1]JULY 2022'!C51</f>
        <v>0</v>
      </c>
      <c r="D693" s="16">
        <f>'[1]JULY 2022'!D51</f>
        <v>500</v>
      </c>
      <c r="E693" s="17">
        <f>'[1]JULY 2022'!E51</f>
        <v>0</v>
      </c>
      <c r="F693" s="18">
        <f>'[1]JULY 2022'!F51</f>
        <v>0</v>
      </c>
      <c r="G693" s="4"/>
      <c r="H693" s="4"/>
    </row>
    <row r="694" spans="1:8" x14ac:dyDescent="0.2">
      <c r="A694" s="23">
        <f>'[1]JULY 2022'!A52</f>
        <v>44750</v>
      </c>
      <c r="B694" s="14" t="str">
        <f>'[1]JULY 2022'!B52</f>
        <v>Refill</v>
      </c>
      <c r="C694" s="16">
        <f>'[1]JULY 2022'!C52</f>
        <v>120209.43</v>
      </c>
      <c r="D694" s="16">
        <f>'[1]JULY 2022'!D52</f>
        <v>0</v>
      </c>
      <c r="E694" s="17">
        <f>'[1]JULY 2022'!E52</f>
        <v>0</v>
      </c>
      <c r="F694" s="18">
        <f>'[1]JULY 2022'!F52</f>
        <v>0</v>
      </c>
      <c r="G694" s="4"/>
      <c r="H694" s="4"/>
    </row>
    <row r="695" spans="1:8" x14ac:dyDescent="0.2">
      <c r="A695" s="20">
        <f>'[1]JULY 2022'!A53</f>
        <v>44750</v>
      </c>
      <c r="B695" s="14" t="str">
        <f>'[1]JULY 2022'!B53</f>
        <v>LM</v>
      </c>
      <c r="C695" s="16">
        <f>'[1]JULY 2022'!C53</f>
        <v>0</v>
      </c>
      <c r="D695" s="16">
        <f>'[1]JULY 2022'!D53</f>
        <v>558</v>
      </c>
      <c r="E695" s="17">
        <f>'[1]JULY 2022'!E53</f>
        <v>0</v>
      </c>
      <c r="F695" s="18">
        <f>'[1]JULY 2022'!F53</f>
        <v>0</v>
      </c>
      <c r="G695" s="4"/>
      <c r="H695" s="4"/>
    </row>
    <row r="696" spans="1:8" x14ac:dyDescent="0.2">
      <c r="A696" s="23">
        <f>'[1]JULY 2022'!A54</f>
        <v>44750</v>
      </c>
      <c r="B696" s="14" t="str">
        <f>'[1]JULY 2022'!B54</f>
        <v>Party</v>
      </c>
      <c r="C696" s="16">
        <f>'[1]JULY 2022'!C54</f>
        <v>0</v>
      </c>
      <c r="D696" s="16">
        <f>'[1]JULY 2022'!D54</f>
        <v>2200</v>
      </c>
      <c r="E696" s="17">
        <f>'[1]JULY 2022'!E54</f>
        <v>0</v>
      </c>
      <c r="F696" s="18">
        <f>'[1]JULY 2022'!F54</f>
        <v>0</v>
      </c>
      <c r="G696" s="4"/>
      <c r="H696" s="4"/>
    </row>
    <row r="697" spans="1:8" x14ac:dyDescent="0.2">
      <c r="A697" s="20">
        <f>'[1]JULY 2022'!A55</f>
        <v>44750</v>
      </c>
      <c r="B697" s="14" t="str">
        <f>'[1]JULY 2022'!B55</f>
        <v>VM</v>
      </c>
      <c r="C697" s="16">
        <f>'[1]JULY 2022'!C55</f>
        <v>0</v>
      </c>
      <c r="D697" s="16">
        <f>'[1]JULY 2022'!D55</f>
        <v>0</v>
      </c>
      <c r="E697" s="17">
        <f>'[1]JULY 2022'!E55</f>
        <v>0</v>
      </c>
      <c r="F697" s="18">
        <f>'[1]JULY 2022'!F55</f>
        <v>229</v>
      </c>
      <c r="G697" s="4"/>
      <c r="H697" s="4"/>
    </row>
    <row r="698" spans="1:8" x14ac:dyDescent="0.2">
      <c r="A698" s="23">
        <f>'[1]JULY 2022'!A56</f>
        <v>44750</v>
      </c>
      <c r="B698" s="14" t="str">
        <f>'[1]JULY 2022'!B56</f>
        <v>none</v>
      </c>
      <c r="C698" s="16">
        <f>'[1]JULY 2022'!C56</f>
        <v>0</v>
      </c>
      <c r="D698" s="16">
        <f>'[1]JULY 2022'!D56</f>
        <v>1850</v>
      </c>
      <c r="E698" s="17">
        <f>'[1]JULY 2022'!E56</f>
        <v>1850</v>
      </c>
      <c r="F698" s="18">
        <f>'[1]JULY 2022'!F56</f>
        <v>0</v>
      </c>
      <c r="G698" s="4"/>
      <c r="H698" s="4"/>
    </row>
    <row r="699" spans="1:8" x14ac:dyDescent="0.2">
      <c r="A699" s="20">
        <f>'[1]JULY 2022'!A57</f>
        <v>44750</v>
      </c>
      <c r="B699" s="14" t="str">
        <f>'[1]JULY 2022'!B57</f>
        <v>none</v>
      </c>
      <c r="C699" s="16">
        <f>'[1]JULY 2022'!C57</f>
        <v>0</v>
      </c>
      <c r="D699" s="16">
        <f>'[1]JULY 2022'!D57</f>
        <v>3300</v>
      </c>
      <c r="E699" s="17">
        <f>'[1]JULY 2022'!E57</f>
        <v>2750</v>
      </c>
      <c r="F699" s="18">
        <f>'[1]JULY 2022'!F57</f>
        <v>0</v>
      </c>
      <c r="G699" s="4"/>
      <c r="H699" s="4"/>
    </row>
    <row r="700" spans="1:8" x14ac:dyDescent="0.2">
      <c r="A700" s="23">
        <f>'[1]JULY 2022'!A58</f>
        <v>44751</v>
      </c>
      <c r="B700" s="14" t="str">
        <f>'[1]JULY 2022'!B58</f>
        <v>LM</v>
      </c>
      <c r="C700" s="16">
        <f>'[1]JULY 2022'!C58</f>
        <v>0</v>
      </c>
      <c r="D700" s="16">
        <f>'[1]JULY 2022'!D58</f>
        <v>275.38</v>
      </c>
      <c r="E700" s="17">
        <f>'[1]JULY 2022'!E58</f>
        <v>0</v>
      </c>
      <c r="F700" s="18">
        <f>'[1]JULY 2022'!F58</f>
        <v>470</v>
      </c>
      <c r="G700" s="4"/>
      <c r="H700" s="4"/>
    </row>
    <row r="701" spans="1:8" x14ac:dyDescent="0.2">
      <c r="A701" s="20">
        <f>'[1]JULY 2022'!A59</f>
        <v>44751</v>
      </c>
      <c r="B701" s="14" t="str">
        <f>'[1]JULY 2022'!B59</f>
        <v>VM</v>
      </c>
      <c r="C701" s="16">
        <f>'[1]JULY 2022'!C59</f>
        <v>0</v>
      </c>
      <c r="D701" s="16">
        <f>'[1]JULY 2022'!D59</f>
        <v>0</v>
      </c>
      <c r="E701" s="17">
        <f>'[1]JULY 2022'!E59</f>
        <v>0</v>
      </c>
      <c r="F701" s="18">
        <f>'[1]JULY 2022'!F59</f>
        <v>32</v>
      </c>
      <c r="G701" s="4"/>
      <c r="H701" s="4"/>
    </row>
    <row r="702" spans="1:8" x14ac:dyDescent="0.2">
      <c r="A702" s="23">
        <f>'[1]JULY 2022'!A60</f>
        <v>44751</v>
      </c>
      <c r="B702" s="14" t="str">
        <f>'[1]JULY 2022'!B60</f>
        <v>for me</v>
      </c>
      <c r="C702" s="16">
        <f>'[1]JULY 2022'!C60</f>
        <v>0</v>
      </c>
      <c r="D702" s="16">
        <f>'[1]JULY 2022'!D60</f>
        <v>0</v>
      </c>
      <c r="E702" s="17">
        <f>'[1]JULY 2022'!E60</f>
        <v>0</v>
      </c>
      <c r="F702" s="18">
        <f>'[1]JULY 2022'!F60</f>
        <v>2300</v>
      </c>
      <c r="G702" s="4"/>
      <c r="H702" s="4"/>
    </row>
    <row r="703" spans="1:8" x14ac:dyDescent="0.2">
      <c r="A703" s="20">
        <f>'[1]JULY 2022'!A65</f>
        <v>44752</v>
      </c>
      <c r="B703" s="14" t="str">
        <f>'[1]JULY 2022'!B65</f>
        <v>LM</v>
      </c>
      <c r="C703" s="16">
        <f>'[1]JULY 2022'!C65</f>
        <v>0</v>
      </c>
      <c r="D703" s="16">
        <f>'[1]JULY 2022'!D65</f>
        <v>1340.52</v>
      </c>
      <c r="E703" s="17">
        <f>'[1]JULY 2022'!E65</f>
        <v>0</v>
      </c>
      <c r="F703" s="18">
        <f>'[1]JULY 2022'!F65</f>
        <v>0</v>
      </c>
      <c r="G703" s="4"/>
      <c r="H703" s="4"/>
    </row>
    <row r="704" spans="1:8" x14ac:dyDescent="0.2">
      <c r="A704" s="23">
        <f>'[1]JULY 2022'!A66</f>
        <v>44752</v>
      </c>
      <c r="B704" s="14" t="str">
        <f>'[1]JULY 2022'!B66</f>
        <v>Andere</v>
      </c>
      <c r="C704" s="16">
        <f>'[1]JULY 2022'!C66</f>
        <v>0</v>
      </c>
      <c r="D704" s="16">
        <f>'[1]JULY 2022'!D66</f>
        <v>450</v>
      </c>
      <c r="E704" s="17">
        <f>'[1]JULY 2022'!E66</f>
        <v>0</v>
      </c>
      <c r="F704" s="18">
        <f>'[1]JULY 2022'!F66</f>
        <v>0</v>
      </c>
      <c r="G704" s="4"/>
      <c r="H704" s="4"/>
    </row>
    <row r="705" spans="1:8" x14ac:dyDescent="0.2">
      <c r="A705" s="20">
        <f>'[1]JULY 2022'!A67</f>
        <v>44752</v>
      </c>
      <c r="B705" s="14" t="str">
        <f>'[1]JULY 2022'!B67</f>
        <v>Andere</v>
      </c>
      <c r="C705" s="16">
        <f>'[1]JULY 2022'!C67</f>
        <v>0</v>
      </c>
      <c r="D705" s="16">
        <f>'[1]JULY 2022'!D67</f>
        <v>435</v>
      </c>
      <c r="E705" s="17">
        <f>'[1]JULY 2022'!E67</f>
        <v>0</v>
      </c>
      <c r="F705" s="18">
        <f>'[1]JULY 2022'!F67</f>
        <v>0</v>
      </c>
      <c r="G705" s="4"/>
      <c r="H705" s="4"/>
    </row>
    <row r="706" spans="1:8" x14ac:dyDescent="0.2">
      <c r="A706" s="23">
        <f>'[1]JULY 2022'!A68</f>
        <v>44752</v>
      </c>
      <c r="B706" s="14" t="str">
        <f>'[1]JULY 2022'!B68</f>
        <v>Andere</v>
      </c>
      <c r="C706" s="16">
        <f>'[1]JULY 2022'!C68</f>
        <v>0</v>
      </c>
      <c r="D706" s="16">
        <f>'[1]JULY 2022'!D68</f>
        <v>0</v>
      </c>
      <c r="E706" s="17">
        <f>'[1]JULY 2022'!E68</f>
        <v>0</v>
      </c>
      <c r="F706" s="18">
        <f>'[1]JULY 2022'!F68</f>
        <v>60</v>
      </c>
      <c r="G706" s="4"/>
      <c r="H706" s="4"/>
    </row>
    <row r="707" spans="1:8" x14ac:dyDescent="0.2">
      <c r="A707" s="23">
        <f>'[1]JULY 2022'!A72</f>
        <v>44753</v>
      </c>
      <c r="B707" s="14" t="str">
        <f>'[1]JULY 2022'!B72</f>
        <v>LM</v>
      </c>
      <c r="C707" s="16">
        <f>'[1]JULY 2022'!C72</f>
        <v>0</v>
      </c>
      <c r="D707" s="16">
        <f>'[1]JULY 2022'!D72</f>
        <v>490</v>
      </c>
      <c r="E707" s="17">
        <f>'[1]JULY 2022'!E72</f>
        <v>0</v>
      </c>
      <c r="F707" s="18">
        <f>'[1]JULY 2022'!F72</f>
        <v>0</v>
      </c>
      <c r="G707" s="4"/>
      <c r="H707" s="4"/>
    </row>
    <row r="708" spans="1:8" x14ac:dyDescent="0.2">
      <c r="A708" s="20">
        <f>'[1]JULY 2022'!A73</f>
        <v>44753</v>
      </c>
      <c r="B708" s="14" t="str">
        <f>'[1]JULY 2022'!B73</f>
        <v>VM</v>
      </c>
      <c r="C708" s="16">
        <f>'[1]JULY 2022'!C73</f>
        <v>0</v>
      </c>
      <c r="D708" s="16">
        <f>'[1]JULY 2022'!D73</f>
        <v>0</v>
      </c>
      <c r="E708" s="17">
        <f>'[1]JULY 2022'!E73</f>
        <v>0</v>
      </c>
      <c r="F708" s="18">
        <f>'[1]JULY 2022'!F73</f>
        <v>48</v>
      </c>
      <c r="G708" s="4"/>
      <c r="H708" s="4"/>
    </row>
    <row r="709" spans="1:8" x14ac:dyDescent="0.2">
      <c r="A709" s="20">
        <f>'[1]JULY 2022'!A79</f>
        <v>44754</v>
      </c>
      <c r="B709" s="14" t="str">
        <f>'[1]JULY 2022'!B79</f>
        <v>LM</v>
      </c>
      <c r="C709" s="16">
        <f>'[1]JULY 2022'!C79</f>
        <v>0</v>
      </c>
      <c r="D709" s="16">
        <f>'[1]JULY 2022'!D79</f>
        <v>317</v>
      </c>
      <c r="E709" s="17">
        <f>'[1]JULY 2022'!E79</f>
        <v>0</v>
      </c>
      <c r="F709" s="18">
        <f>'[1]JULY 2022'!F79</f>
        <v>0</v>
      </c>
      <c r="G709" s="4"/>
      <c r="H709" s="4"/>
    </row>
    <row r="710" spans="1:8" x14ac:dyDescent="0.2">
      <c r="A710" s="23">
        <f>'[1]JULY 2022'!A80</f>
        <v>44754</v>
      </c>
      <c r="B710" s="14" t="str">
        <f>'[1]JULY 2022'!B80</f>
        <v>Rauchen</v>
      </c>
      <c r="C710" s="16">
        <f>'[1]JULY 2022'!C80</f>
        <v>0</v>
      </c>
      <c r="D710" s="16">
        <f>'[1]JULY 2022'!D80</f>
        <v>0</v>
      </c>
      <c r="E710" s="17">
        <f>'[1]JULY 2022'!E80</f>
        <v>0</v>
      </c>
      <c r="F710" s="18">
        <f>'[1]JULY 2022'!F80</f>
        <v>200</v>
      </c>
      <c r="G710" s="4"/>
      <c r="H710" s="4"/>
    </row>
    <row r="711" spans="1:8" x14ac:dyDescent="0.2">
      <c r="A711" s="20">
        <f>'[1]JULY 2022'!A81</f>
        <v>44754</v>
      </c>
      <c r="B711" s="14" t="str">
        <f>'[1]JULY 2022'!B81</f>
        <v>Andere</v>
      </c>
      <c r="C711" s="16">
        <f>'[1]JULY 2022'!C81</f>
        <v>0</v>
      </c>
      <c r="D711" s="16">
        <f>'[1]JULY 2022'!D81</f>
        <v>0</v>
      </c>
      <c r="E711" s="17">
        <f>'[1]JULY 2022'!E81</f>
        <v>0</v>
      </c>
      <c r="F711" s="18">
        <f>'[1]JULY 2022'!F81</f>
        <v>338.35</v>
      </c>
      <c r="G711" s="4"/>
      <c r="H711" s="4"/>
    </row>
    <row r="712" spans="1:8" x14ac:dyDescent="0.2">
      <c r="A712" s="23">
        <f>'[1]JULY 2022'!A86</f>
        <v>44755</v>
      </c>
      <c r="B712" s="14" t="str">
        <f>'[1]JULY 2022'!B86</f>
        <v>for me</v>
      </c>
      <c r="C712" s="16">
        <f>'[1]JULY 2022'!C86</f>
        <v>0</v>
      </c>
      <c r="D712" s="16">
        <f>'[1]JULY 2022'!D86</f>
        <v>116</v>
      </c>
      <c r="E712" s="17">
        <f>'[1]JULY 2022'!E86</f>
        <v>0</v>
      </c>
      <c r="F712" s="18">
        <f>'[1]JULY 2022'!F86</f>
        <v>0</v>
      </c>
      <c r="G712" s="4"/>
      <c r="H712" s="4"/>
    </row>
    <row r="713" spans="1:8" x14ac:dyDescent="0.2">
      <c r="A713" s="20">
        <f>'[1]JULY 2022'!A87</f>
        <v>44755</v>
      </c>
      <c r="B713" s="14" t="str">
        <f>'[1]JULY 2022'!B87</f>
        <v>LM</v>
      </c>
      <c r="C713" s="16">
        <f>'[1]JULY 2022'!C87</f>
        <v>0</v>
      </c>
      <c r="D713" s="16">
        <f>'[1]JULY 2022'!D87</f>
        <v>560</v>
      </c>
      <c r="E713" s="17">
        <f>'[1]JULY 2022'!E87</f>
        <v>0</v>
      </c>
      <c r="F713" s="18">
        <f>'[1]JULY 2022'!F87</f>
        <v>0</v>
      </c>
      <c r="G713" s="4"/>
      <c r="H713" s="4"/>
    </row>
    <row r="714" spans="1:8" x14ac:dyDescent="0.2">
      <c r="A714" s="23">
        <f>'[1]JULY 2022'!A88</f>
        <v>44755</v>
      </c>
      <c r="B714" s="14" t="str">
        <f>'[1]JULY 2022'!B88</f>
        <v>VM</v>
      </c>
      <c r="C714" s="16">
        <f>'[1]JULY 2022'!C88</f>
        <v>0</v>
      </c>
      <c r="D714" s="16">
        <f>'[1]JULY 2022'!D88</f>
        <v>0</v>
      </c>
      <c r="E714" s="17">
        <f>'[1]JULY 2022'!E88</f>
        <v>0</v>
      </c>
      <c r="F714" s="18">
        <f>'[1]JULY 2022'!F88</f>
        <v>56</v>
      </c>
      <c r="G714" s="4"/>
      <c r="H714" s="4"/>
    </row>
    <row r="715" spans="1:8" x14ac:dyDescent="0.2">
      <c r="A715" s="20">
        <f>'[1]JULY 2022'!A93</f>
        <v>44756</v>
      </c>
      <c r="B715" s="14" t="str">
        <f>'[1]JULY 2022'!B93</f>
        <v>Refill</v>
      </c>
      <c r="C715" s="16">
        <f>'[1]JULY 2022'!C93</f>
        <v>5000</v>
      </c>
      <c r="D715" s="16">
        <f>'[1]JULY 2022'!D93</f>
        <v>0</v>
      </c>
      <c r="E715" s="17">
        <f>'[1]JULY 2022'!E93</f>
        <v>0</v>
      </c>
      <c r="F715" s="18">
        <f>'[1]JULY 2022'!F93</f>
        <v>0</v>
      </c>
      <c r="G715" s="4"/>
      <c r="H715" s="4"/>
    </row>
    <row r="716" spans="1:8" x14ac:dyDescent="0.2">
      <c r="A716" s="23">
        <f>'[1]JULY 2022'!A94</f>
        <v>44756</v>
      </c>
      <c r="B716" s="14" t="str">
        <f>'[1]JULY 2022'!B94</f>
        <v>Andere</v>
      </c>
      <c r="C716" s="16">
        <f>'[1]JULY 2022'!C94</f>
        <v>0</v>
      </c>
      <c r="D716" s="16">
        <f>'[1]JULY 2022'!D94</f>
        <v>3229</v>
      </c>
      <c r="E716" s="17">
        <f>'[1]JULY 2022'!E94</f>
        <v>0</v>
      </c>
      <c r="F716" s="18">
        <f>'[1]JULY 2022'!F94</f>
        <v>0</v>
      </c>
      <c r="G716" s="4"/>
      <c r="H716" s="4"/>
    </row>
    <row r="717" spans="1:8" x14ac:dyDescent="0.2">
      <c r="A717" s="20">
        <f>'[1]JULY 2022'!A95</f>
        <v>44756</v>
      </c>
      <c r="B717" s="14" t="str">
        <f>'[1]JULY 2022'!B95</f>
        <v>Party</v>
      </c>
      <c r="C717" s="16">
        <f>'[1]JULY 2022'!C95</f>
        <v>0</v>
      </c>
      <c r="D717" s="16">
        <f>'[1]JULY 2022'!D95</f>
        <v>4130</v>
      </c>
      <c r="E717" s="17">
        <f>'[1]JULY 2022'!E95</f>
        <v>0</v>
      </c>
      <c r="F717" s="18">
        <f>'[1]JULY 2022'!F95</f>
        <v>0</v>
      </c>
      <c r="G717" s="4"/>
      <c r="H717" s="4"/>
    </row>
    <row r="718" spans="1:8" x14ac:dyDescent="0.2">
      <c r="A718" s="23">
        <f>'[1]JULY 2022'!A96</f>
        <v>44756</v>
      </c>
      <c r="B718" s="14" t="str">
        <f>'[1]JULY 2022'!B96</f>
        <v>none</v>
      </c>
      <c r="C718" s="16">
        <f>'[1]JULY 2022'!C96</f>
        <v>0</v>
      </c>
      <c r="D718" s="16">
        <f>'[1]JULY 2022'!D96</f>
        <v>2130</v>
      </c>
      <c r="E718" s="17">
        <f>'[1]JULY 2022'!E96</f>
        <v>2130</v>
      </c>
      <c r="F718" s="18">
        <f>'[1]JULY 2022'!F96</f>
        <v>0</v>
      </c>
      <c r="G718" s="4"/>
      <c r="H718" s="4"/>
    </row>
    <row r="719" spans="1:8" x14ac:dyDescent="0.2">
      <c r="A719" s="23">
        <f>'[1]JULY 2022'!A100</f>
        <v>44757</v>
      </c>
      <c r="B719" s="14" t="str">
        <f>'[1]JULY 2022'!B100</f>
        <v>Party</v>
      </c>
      <c r="C719" s="16">
        <f>'[1]JULY 2022'!C100</f>
        <v>0</v>
      </c>
      <c r="D719" s="16">
        <f>'[1]JULY 2022'!D100</f>
        <v>462</v>
      </c>
      <c r="E719" s="17">
        <f>'[1]JULY 2022'!E100</f>
        <v>0</v>
      </c>
      <c r="F719" s="18">
        <f>'[1]JULY 2022'!F100</f>
        <v>0</v>
      </c>
      <c r="G719" s="4"/>
      <c r="H719" s="4"/>
    </row>
    <row r="720" spans="1:8" x14ac:dyDescent="0.2">
      <c r="A720" s="20">
        <f>'[1]JULY 2022'!A101</f>
        <v>44757</v>
      </c>
      <c r="B720" s="14" t="str">
        <f>'[1]JULY 2022'!B101</f>
        <v>LM</v>
      </c>
      <c r="C720" s="16">
        <f>'[1]JULY 2022'!C101</f>
        <v>0</v>
      </c>
      <c r="D720" s="16">
        <f>'[1]JULY 2022'!D101</f>
        <v>260</v>
      </c>
      <c r="E720" s="17">
        <f>'[1]JULY 2022'!E101</f>
        <v>0</v>
      </c>
      <c r="F720" s="18">
        <f>'[1]JULY 2022'!F101</f>
        <v>0</v>
      </c>
      <c r="G720" s="4"/>
      <c r="H720" s="4"/>
    </row>
    <row r="721" spans="1:8" x14ac:dyDescent="0.2">
      <c r="A721" s="23">
        <f>'[1]JULY 2022'!A102</f>
        <v>44757</v>
      </c>
      <c r="B721" s="14" t="str">
        <f>'[1]JULY 2022'!B102</f>
        <v>LM</v>
      </c>
      <c r="C721" s="16">
        <f>'[1]JULY 2022'!C102</f>
        <v>0</v>
      </c>
      <c r="D721" s="16">
        <f>'[1]JULY 2022'!D102</f>
        <v>300</v>
      </c>
      <c r="E721" s="17">
        <f>'[1]JULY 2022'!E102</f>
        <v>0</v>
      </c>
      <c r="F721" s="18">
        <f>'[1]JULY 2022'!F102</f>
        <v>0</v>
      </c>
      <c r="G721" s="4"/>
      <c r="H721" s="4"/>
    </row>
    <row r="722" spans="1:8" x14ac:dyDescent="0.2">
      <c r="A722" s="20">
        <f>'[1]JULY 2022'!A103</f>
        <v>44757</v>
      </c>
      <c r="B722" s="14" t="str">
        <f>'[1]JULY 2022'!B103</f>
        <v>Kleidung</v>
      </c>
      <c r="C722" s="16">
        <f>'[1]JULY 2022'!C103</f>
        <v>0</v>
      </c>
      <c r="D722" s="16">
        <f>'[1]JULY 2022'!D103</f>
        <v>2086</v>
      </c>
      <c r="E722" s="17">
        <f>'[1]JULY 2022'!E103</f>
        <v>0</v>
      </c>
      <c r="F722" s="18">
        <f>'[1]JULY 2022'!F103</f>
        <v>0</v>
      </c>
      <c r="G722" s="4"/>
      <c r="H722" s="4"/>
    </row>
    <row r="723" spans="1:8" x14ac:dyDescent="0.2">
      <c r="A723" s="23">
        <f>'[1]JULY 2022'!A104</f>
        <v>44757</v>
      </c>
      <c r="B723" s="14" t="str">
        <f>'[1]JULY 2022'!B104</f>
        <v>Refill</v>
      </c>
      <c r="C723" s="16">
        <f>'[1]JULY 2022'!C104</f>
        <v>6800</v>
      </c>
      <c r="D723" s="16">
        <f>'[1]JULY 2022'!D104</f>
        <v>0</v>
      </c>
      <c r="E723" s="17">
        <f>'[1]JULY 2022'!E104</f>
        <v>0</v>
      </c>
      <c r="F723" s="18">
        <f>'[1]JULY 2022'!F104</f>
        <v>0</v>
      </c>
      <c r="G723" s="4"/>
      <c r="H723" s="4"/>
    </row>
    <row r="724" spans="1:8" x14ac:dyDescent="0.2">
      <c r="A724" s="20">
        <f>'[1]JULY 2022'!A105</f>
        <v>44757</v>
      </c>
      <c r="B724" s="14" t="str">
        <f>'[1]JULY 2022'!B105</f>
        <v>VM</v>
      </c>
      <c r="C724" s="16">
        <f>'[1]JULY 2022'!C105</f>
        <v>0</v>
      </c>
      <c r="D724" s="16">
        <f>'[1]JULY 2022'!D105</f>
        <v>0</v>
      </c>
      <c r="E724" s="17">
        <f>'[1]JULY 2022'!E105</f>
        <v>0</v>
      </c>
      <c r="F724" s="18">
        <f>'[1]JULY 2022'!F105</f>
        <v>67</v>
      </c>
      <c r="G724" s="4"/>
      <c r="H724" s="4"/>
    </row>
    <row r="725" spans="1:8" x14ac:dyDescent="0.2">
      <c r="A725" s="20">
        <f>'[1]JULY 2022'!A107</f>
        <v>44758</v>
      </c>
      <c r="B725" s="14" t="str">
        <f>'[1]JULY 2022'!B107</f>
        <v>for me</v>
      </c>
      <c r="C725" s="16">
        <f>'[1]JULY 2022'!C107</f>
        <v>0</v>
      </c>
      <c r="D725" s="16">
        <f>'[1]JULY 2022'!D107</f>
        <v>297</v>
      </c>
      <c r="E725" s="17">
        <f>'[1]JULY 2022'!E107</f>
        <v>0</v>
      </c>
      <c r="F725" s="18">
        <f>'[1]JULY 2022'!F107</f>
        <v>0</v>
      </c>
      <c r="G725" s="4"/>
      <c r="H725" s="4"/>
    </row>
    <row r="726" spans="1:8" x14ac:dyDescent="0.2">
      <c r="A726" s="23">
        <f>'[1]JULY 2022'!A108</f>
        <v>44758</v>
      </c>
      <c r="B726" s="14" t="str">
        <f>'[1]JULY 2022'!B108</f>
        <v>LM</v>
      </c>
      <c r="C726" s="16">
        <f>'[1]JULY 2022'!C108</f>
        <v>0</v>
      </c>
      <c r="D726" s="16">
        <f>'[1]JULY 2022'!D108</f>
        <v>209.97</v>
      </c>
      <c r="E726" s="17">
        <f>'[1]JULY 2022'!E108</f>
        <v>0</v>
      </c>
      <c r="F726" s="18">
        <f>'[1]JULY 2022'!F108</f>
        <v>0</v>
      </c>
      <c r="G726" s="4"/>
      <c r="H726" s="4"/>
    </row>
    <row r="727" spans="1:8" x14ac:dyDescent="0.2">
      <c r="A727" s="23">
        <f>'[1]JULY 2022'!A114</f>
        <v>44759</v>
      </c>
      <c r="B727" s="14" t="str">
        <f>'[1]JULY 2022'!B114</f>
        <v>Andere</v>
      </c>
      <c r="C727" s="16">
        <f>'[1]JULY 2022'!C114</f>
        <v>0</v>
      </c>
      <c r="D727" s="16">
        <f>'[1]JULY 2022'!D114</f>
        <v>1750</v>
      </c>
      <c r="E727" s="17">
        <f>'[1]JULY 2022'!E114</f>
        <v>0</v>
      </c>
      <c r="F727" s="18">
        <f>'[1]JULY 2022'!F114</f>
        <v>0</v>
      </c>
      <c r="G727" s="4"/>
      <c r="H727" s="4"/>
    </row>
    <row r="728" spans="1:8" x14ac:dyDescent="0.2">
      <c r="A728" s="20">
        <f>'[1]JULY 2022'!A115</f>
        <v>44759</v>
      </c>
      <c r="B728" s="14" t="str">
        <f>'[1]JULY 2022'!B115</f>
        <v>VM</v>
      </c>
      <c r="C728" s="16">
        <f>'[1]JULY 2022'!C115</f>
        <v>0</v>
      </c>
      <c r="D728" s="16">
        <f>'[1]JULY 2022'!D115</f>
        <v>0</v>
      </c>
      <c r="E728" s="17">
        <f>'[1]JULY 2022'!E115</f>
        <v>0</v>
      </c>
      <c r="F728" s="18">
        <f>'[1]JULY 2022'!F115</f>
        <v>121</v>
      </c>
      <c r="G728" s="4"/>
      <c r="H728" s="4"/>
    </row>
    <row r="729" spans="1:8" x14ac:dyDescent="0.2">
      <c r="A729" s="23">
        <f>'[1]JULY 2022'!A116</f>
        <v>44759</v>
      </c>
      <c r="B729" s="14" t="str">
        <f>'[1]JULY 2022'!B116</f>
        <v>Andere</v>
      </c>
      <c r="C729" s="16">
        <f>'[1]JULY 2022'!C116</f>
        <v>0</v>
      </c>
      <c r="D729" s="16">
        <f>'[1]JULY 2022'!D116</f>
        <v>0</v>
      </c>
      <c r="E729" s="17">
        <f>'[1]JULY 2022'!E116</f>
        <v>0</v>
      </c>
      <c r="F729" s="18">
        <f>'[1]JULY 2022'!F116</f>
        <v>3600</v>
      </c>
      <c r="G729" s="4"/>
      <c r="H729" s="4"/>
    </row>
    <row r="730" spans="1:8" x14ac:dyDescent="0.2">
      <c r="A730" s="20">
        <f>'[1]JULY 2022'!A121</f>
        <v>44760</v>
      </c>
      <c r="B730" s="14" t="str">
        <f>'[1]JULY 2022'!B121</f>
        <v>Andere</v>
      </c>
      <c r="C730" s="16">
        <f>'[1]JULY 2022'!C121</f>
        <v>0</v>
      </c>
      <c r="D730" s="16">
        <f>'[1]JULY 2022'!D121</f>
        <v>100</v>
      </c>
      <c r="E730" s="17">
        <f>'[1]JULY 2022'!E121</f>
        <v>0</v>
      </c>
      <c r="F730" s="18">
        <f>'[1]JULY 2022'!F121</f>
        <v>0</v>
      </c>
      <c r="G730" s="4"/>
      <c r="H730" s="4"/>
    </row>
    <row r="731" spans="1:8" x14ac:dyDescent="0.2">
      <c r="A731" s="23">
        <f>'[1]JULY 2022'!A122</f>
        <v>44760</v>
      </c>
      <c r="B731" s="14" t="str">
        <f>'[1]JULY 2022'!B122</f>
        <v>LM</v>
      </c>
      <c r="C731" s="16">
        <f>'[1]JULY 2022'!C122</f>
        <v>0</v>
      </c>
      <c r="D731" s="16">
        <f>'[1]JULY 2022'!D122</f>
        <v>529</v>
      </c>
      <c r="E731" s="17">
        <f>'[1]JULY 2022'!E122</f>
        <v>0</v>
      </c>
      <c r="F731" s="18">
        <f>'[1]JULY 2022'!F122</f>
        <v>0</v>
      </c>
      <c r="G731" s="4"/>
      <c r="H731" s="4"/>
    </row>
    <row r="732" spans="1:8" x14ac:dyDescent="0.2">
      <c r="A732" s="20">
        <f>'[1]JULY 2022'!A123</f>
        <v>44760</v>
      </c>
      <c r="B732" s="14" t="str">
        <f>'[1]JULY 2022'!B123</f>
        <v>VM</v>
      </c>
      <c r="C732" s="16">
        <f>'[1]JULY 2022'!C123</f>
        <v>0</v>
      </c>
      <c r="D732" s="16">
        <f>'[1]JULY 2022'!D123</f>
        <v>0</v>
      </c>
      <c r="E732" s="17">
        <f>'[1]JULY 2022'!E123</f>
        <v>0</v>
      </c>
      <c r="F732" s="18">
        <f>'[1]JULY 2022'!F123</f>
        <v>24</v>
      </c>
      <c r="G732" s="4"/>
      <c r="H732" s="4"/>
    </row>
    <row r="733" spans="1:8" x14ac:dyDescent="0.2">
      <c r="A733" s="23">
        <f>'[1]JULY 2022'!A128</f>
        <v>44761</v>
      </c>
      <c r="B733" s="14" t="str">
        <f>'[1]JULY 2022'!B128</f>
        <v>VM</v>
      </c>
      <c r="C733" s="16">
        <f>'[1]JULY 2022'!C128</f>
        <v>0</v>
      </c>
      <c r="D733" s="16">
        <f>'[1]JULY 2022'!D128</f>
        <v>0</v>
      </c>
      <c r="E733" s="17">
        <f>'[1]JULY 2022'!E128</f>
        <v>0</v>
      </c>
      <c r="F733" s="18">
        <f>'[1]JULY 2022'!F128</f>
        <v>21</v>
      </c>
      <c r="G733" s="4"/>
      <c r="H733" s="4"/>
    </row>
    <row r="734" spans="1:8" x14ac:dyDescent="0.2">
      <c r="A734" s="20">
        <f>'[1]JULY 2022'!A129</f>
        <v>44761</v>
      </c>
      <c r="B734" s="14" t="str">
        <f>'[1]JULY 2022'!B129</f>
        <v>LM</v>
      </c>
      <c r="C734" s="16">
        <f>'[1]JULY 2022'!C129</f>
        <v>0</v>
      </c>
      <c r="D734" s="16">
        <f>'[1]JULY 2022'!D129</f>
        <v>220</v>
      </c>
      <c r="E734" s="17">
        <f>'[1]JULY 2022'!E129</f>
        <v>0</v>
      </c>
      <c r="F734" s="18">
        <f>'[1]JULY 2022'!F129</f>
        <v>0</v>
      </c>
      <c r="G734" s="4"/>
      <c r="H734" s="4"/>
    </row>
    <row r="735" spans="1:8" x14ac:dyDescent="0.2">
      <c r="A735" s="23">
        <f>'[1]JULY 2022'!A130</f>
        <v>44761</v>
      </c>
      <c r="B735" s="14" t="str">
        <f>'[1]JULY 2022'!B130</f>
        <v>Frauen</v>
      </c>
      <c r="C735" s="16">
        <f>'[1]JULY 2022'!C130</f>
        <v>0</v>
      </c>
      <c r="D735" s="16">
        <f>'[1]JULY 2022'!D130</f>
        <v>920</v>
      </c>
      <c r="E735" s="17">
        <f>'[1]JULY 2022'!E130</f>
        <v>0</v>
      </c>
      <c r="F735" s="18">
        <f>'[1]JULY 2022'!F130</f>
        <v>0</v>
      </c>
      <c r="G735" s="4"/>
      <c r="H735" s="4"/>
    </row>
    <row r="736" spans="1:8" x14ac:dyDescent="0.2">
      <c r="A736" s="20">
        <f>'[1]JULY 2022'!A135</f>
        <v>44762</v>
      </c>
      <c r="B736" s="14" t="str">
        <f>'[1]JULY 2022'!B135</f>
        <v>LM</v>
      </c>
      <c r="C736" s="16">
        <f>'[1]JULY 2022'!C135</f>
        <v>0</v>
      </c>
      <c r="D736" s="16">
        <f>'[1]JULY 2022'!D135</f>
        <v>2529.4899999999998</v>
      </c>
      <c r="E736" s="17">
        <f>'[1]JULY 2022'!E135</f>
        <v>0</v>
      </c>
      <c r="F736" s="18">
        <f>'[1]JULY 2022'!F135</f>
        <v>0</v>
      </c>
      <c r="G736" s="4"/>
      <c r="H736" s="4"/>
    </row>
    <row r="737" spans="1:8" x14ac:dyDescent="0.2">
      <c r="A737" s="23">
        <f>'[1]JULY 2022'!A136</f>
        <v>44762</v>
      </c>
      <c r="B737" s="14" t="str">
        <f>'[1]JULY 2022'!B136</f>
        <v>VM</v>
      </c>
      <c r="C737" s="16">
        <f>'[1]JULY 2022'!C136</f>
        <v>0</v>
      </c>
      <c r="D737" s="16">
        <f>'[1]JULY 2022'!D136</f>
        <v>0</v>
      </c>
      <c r="E737" s="17">
        <f>'[1]JULY 2022'!E136</f>
        <v>0</v>
      </c>
      <c r="F737" s="18">
        <f>'[1]JULY 2022'!F136</f>
        <v>98</v>
      </c>
      <c r="G737" s="4"/>
      <c r="H737" s="4"/>
    </row>
    <row r="738" spans="1:8" x14ac:dyDescent="0.2">
      <c r="A738" s="20">
        <f>'[1]JULY 2022'!A137</f>
        <v>44762</v>
      </c>
      <c r="B738" s="14" t="str">
        <f>'[1]JULY 2022'!B137</f>
        <v>LM</v>
      </c>
      <c r="C738" s="16">
        <f>'[1]JULY 2022'!C137</f>
        <v>0</v>
      </c>
      <c r="D738" s="16">
        <f>'[1]JULY 2022'!D137</f>
        <v>0</v>
      </c>
      <c r="E738" s="17">
        <f>'[1]JULY 2022'!E137</f>
        <v>0</v>
      </c>
      <c r="F738" s="18">
        <f>'[1]JULY 2022'!F137</f>
        <v>200</v>
      </c>
      <c r="G738" s="4"/>
      <c r="H738" s="4"/>
    </row>
    <row r="739" spans="1:8" x14ac:dyDescent="0.2">
      <c r="A739" s="23">
        <f>'[1]JULY 2022'!A142</f>
        <v>44763</v>
      </c>
      <c r="B739" s="14" t="str">
        <f>'[1]JULY 2022'!B142</f>
        <v>Andere</v>
      </c>
      <c r="C739" s="16">
        <f>'[1]JULY 2022'!C142</f>
        <v>0</v>
      </c>
      <c r="D739" s="16">
        <f>'[1]JULY 2022'!D142</f>
        <v>50</v>
      </c>
      <c r="E739" s="17">
        <f>'[1]JULY 2022'!E142</f>
        <v>0</v>
      </c>
      <c r="F739" s="18">
        <f>'[1]JULY 2022'!F142</f>
        <v>0</v>
      </c>
      <c r="G739" s="4"/>
      <c r="H739" s="4"/>
    </row>
    <row r="740" spans="1:8" x14ac:dyDescent="0.2">
      <c r="A740" s="20">
        <f>'[1]JULY 2022'!A143</f>
        <v>44763</v>
      </c>
      <c r="B740" s="14" t="str">
        <f>'[1]JULY 2022'!B143</f>
        <v>VM</v>
      </c>
      <c r="C740" s="16">
        <f>'[1]JULY 2022'!C143</f>
        <v>0</v>
      </c>
      <c r="D740" s="16">
        <f>'[1]JULY 2022'!D143</f>
        <v>0</v>
      </c>
      <c r="E740" s="17">
        <f>'[1]JULY 2022'!E143</f>
        <v>0</v>
      </c>
      <c r="F740" s="18">
        <f>'[1]JULY 2022'!F143</f>
        <v>21</v>
      </c>
      <c r="G740" s="4"/>
      <c r="H740" s="4"/>
    </row>
    <row r="741" spans="1:8" x14ac:dyDescent="0.2">
      <c r="A741" s="20">
        <f>'[1]JULY 2022'!A149</f>
        <v>44764</v>
      </c>
      <c r="B741" s="14" t="str">
        <f>'[1]JULY 2022'!B149</f>
        <v>Rauchen</v>
      </c>
      <c r="C741" s="16">
        <f>'[1]JULY 2022'!C149</f>
        <v>0</v>
      </c>
      <c r="D741" s="16">
        <f>'[1]JULY 2022'!D149</f>
        <v>155</v>
      </c>
      <c r="E741" s="17">
        <f>'[1]JULY 2022'!E149</f>
        <v>0</v>
      </c>
      <c r="F741" s="18">
        <f>'[1]JULY 2022'!F149</f>
        <v>0</v>
      </c>
      <c r="G741" s="4"/>
      <c r="H741" s="4"/>
    </row>
    <row r="742" spans="1:8" x14ac:dyDescent="0.2">
      <c r="A742" s="23">
        <f>'[1]JULY 2022'!A150</f>
        <v>44764</v>
      </c>
      <c r="B742" s="14" t="str">
        <f>'[1]JULY 2022'!B150</f>
        <v>Refill</v>
      </c>
      <c r="C742" s="16">
        <f>'[1]JULY 2022'!C150</f>
        <v>37732.43</v>
      </c>
      <c r="D742" s="16">
        <f>'[1]JULY 2022'!D150</f>
        <v>0</v>
      </c>
      <c r="E742" s="17">
        <f>'[1]JULY 2022'!E150</f>
        <v>0</v>
      </c>
      <c r="F742" s="18">
        <f>'[1]JULY 2022'!F150</f>
        <v>0</v>
      </c>
      <c r="G742" s="4"/>
      <c r="H742" s="4"/>
    </row>
    <row r="743" spans="1:8" x14ac:dyDescent="0.2">
      <c r="A743" s="20">
        <f>'[1]JULY 2022'!A151</f>
        <v>44764</v>
      </c>
      <c r="B743" s="14" t="str">
        <f>'[1]JULY 2022'!B151</f>
        <v>LM</v>
      </c>
      <c r="C743" s="16">
        <f>'[1]JULY 2022'!C151</f>
        <v>0</v>
      </c>
      <c r="D743" s="16">
        <f>'[1]JULY 2022'!D151</f>
        <v>710</v>
      </c>
      <c r="E743" s="17">
        <f>'[1]JULY 2022'!E151</f>
        <v>0</v>
      </c>
      <c r="F743" s="18">
        <f>'[1]JULY 2022'!F151</f>
        <v>0</v>
      </c>
      <c r="G743" s="4"/>
      <c r="H743" s="4"/>
    </row>
    <row r="744" spans="1:8" x14ac:dyDescent="0.2">
      <c r="A744" s="23">
        <f>'[1]JULY 2022'!A152</f>
        <v>44764</v>
      </c>
      <c r="B744" s="14" t="str">
        <f>'[1]JULY 2022'!B152</f>
        <v>Kleidung</v>
      </c>
      <c r="C744" s="16">
        <f>'[1]JULY 2022'!C152</f>
        <v>0</v>
      </c>
      <c r="D744" s="16">
        <f>'[1]JULY 2022'!D152</f>
        <v>19064.650000000001</v>
      </c>
      <c r="E744" s="17">
        <f>'[1]JULY 2022'!E152</f>
        <v>0</v>
      </c>
      <c r="F744" s="18">
        <f>'[1]JULY 2022'!F152</f>
        <v>0</v>
      </c>
      <c r="G744" s="4"/>
      <c r="H744" s="4"/>
    </row>
    <row r="745" spans="1:8" x14ac:dyDescent="0.2">
      <c r="A745" s="20">
        <f>'[1]JULY 2022'!A153</f>
        <v>44764</v>
      </c>
      <c r="B745" s="14" t="str">
        <f>'[1]JULY 2022'!B153</f>
        <v>VM</v>
      </c>
      <c r="C745" s="16">
        <f>'[1]JULY 2022'!C153</f>
        <v>0</v>
      </c>
      <c r="D745" s="16">
        <f>'[1]JULY 2022'!D153</f>
        <v>0</v>
      </c>
      <c r="E745" s="17">
        <f>'[1]JULY 2022'!E153</f>
        <v>0</v>
      </c>
      <c r="F745" s="18">
        <f>'[1]JULY 2022'!F153</f>
        <v>21</v>
      </c>
      <c r="G745" s="4"/>
      <c r="H745" s="4"/>
    </row>
    <row r="746" spans="1:8" x14ac:dyDescent="0.2">
      <c r="A746" s="23">
        <f>'[1]JULY 2022'!A156</f>
        <v>44765</v>
      </c>
      <c r="B746" s="14" t="str">
        <f>'[1]JULY 2022'!B156</f>
        <v>for me</v>
      </c>
      <c r="C746" s="16">
        <f>'[1]JULY 2022'!C156</f>
        <v>0</v>
      </c>
      <c r="D746" s="16">
        <f>'[1]JULY 2022'!D156</f>
        <v>5097.5</v>
      </c>
      <c r="E746" s="17">
        <f>'[1]JULY 2022'!E156</f>
        <v>0</v>
      </c>
      <c r="F746" s="18">
        <f>'[1]JULY 2022'!F156</f>
        <v>0</v>
      </c>
      <c r="G746" s="4"/>
      <c r="H746" s="4"/>
    </row>
    <row r="747" spans="1:8" x14ac:dyDescent="0.2">
      <c r="A747" s="20">
        <f>'[1]JULY 2022'!A157</f>
        <v>44765</v>
      </c>
      <c r="B747" s="14" t="str">
        <f>'[1]JULY 2022'!B157</f>
        <v>for me</v>
      </c>
      <c r="C747" s="16">
        <f>'[1]JULY 2022'!C157</f>
        <v>0</v>
      </c>
      <c r="D747" s="16">
        <f>'[1]JULY 2022'!D157</f>
        <v>2800</v>
      </c>
      <c r="E747" s="17">
        <f>'[1]JULY 2022'!E157</f>
        <v>0</v>
      </c>
      <c r="F747" s="18">
        <f>'[1]JULY 2022'!F157</f>
        <v>0</v>
      </c>
      <c r="G747" s="4"/>
      <c r="H747" s="4"/>
    </row>
    <row r="748" spans="1:8" x14ac:dyDescent="0.2">
      <c r="A748" s="23">
        <f>'[1]JULY 2022'!A158</f>
        <v>44765</v>
      </c>
      <c r="B748" s="14" t="str">
        <f>'[1]JULY 2022'!B158</f>
        <v>Party</v>
      </c>
      <c r="C748" s="16">
        <f>'[1]JULY 2022'!C158</f>
        <v>0</v>
      </c>
      <c r="D748" s="16">
        <f>'[1]JULY 2022'!D158</f>
        <v>2500</v>
      </c>
      <c r="E748" s="17">
        <f>'[1]JULY 2022'!E158</f>
        <v>0</v>
      </c>
      <c r="F748" s="18">
        <f>'[1]JULY 2022'!F158</f>
        <v>0</v>
      </c>
      <c r="G748" s="4"/>
      <c r="H748" s="4"/>
    </row>
    <row r="749" spans="1:8" x14ac:dyDescent="0.2">
      <c r="A749" s="20">
        <f>'[1]JULY 2022'!A159</f>
        <v>44765</v>
      </c>
      <c r="B749" s="14" t="str">
        <f>'[1]JULY 2022'!B159</f>
        <v>LM</v>
      </c>
      <c r="C749" s="16">
        <f>'[1]JULY 2022'!C159</f>
        <v>0</v>
      </c>
      <c r="D749" s="16">
        <f>'[1]JULY 2022'!D159</f>
        <v>2597</v>
      </c>
      <c r="E749" s="17">
        <f>'[1]JULY 2022'!E159</f>
        <v>0</v>
      </c>
      <c r="F749" s="18">
        <f>'[1]JULY 2022'!F159</f>
        <v>140</v>
      </c>
      <c r="G749" s="4"/>
      <c r="H749" s="4"/>
    </row>
    <row r="750" spans="1:8" x14ac:dyDescent="0.2">
      <c r="A750" s="23">
        <f>'[1]JULY 2022'!A160</f>
        <v>44765</v>
      </c>
      <c r="B750" s="14" t="str">
        <f>'[1]JULY 2022'!B160</f>
        <v>Andere</v>
      </c>
      <c r="C750" s="16">
        <f>'[1]JULY 2022'!C160</f>
        <v>0</v>
      </c>
      <c r="D750" s="16">
        <f>'[1]JULY 2022'!D160</f>
        <v>700</v>
      </c>
      <c r="E750" s="17">
        <f>'[1]JULY 2022'!E160</f>
        <v>0</v>
      </c>
      <c r="F750" s="18">
        <f>'[1]JULY 2022'!F160</f>
        <v>0</v>
      </c>
      <c r="G750" s="4"/>
      <c r="H750" s="4"/>
    </row>
    <row r="751" spans="1:8" x14ac:dyDescent="0.2">
      <c r="A751" s="20">
        <f>'[1]JULY 2022'!A161</f>
        <v>44765</v>
      </c>
      <c r="B751" s="14" t="str">
        <f>'[1]JULY 2022'!B161</f>
        <v>VM</v>
      </c>
      <c r="C751" s="16">
        <f>'[1]JULY 2022'!C161</f>
        <v>0</v>
      </c>
      <c r="D751" s="16">
        <f>'[1]JULY 2022'!D161</f>
        <v>0</v>
      </c>
      <c r="E751" s="17">
        <f>'[1]JULY 2022'!E161</f>
        <v>0</v>
      </c>
      <c r="F751" s="18">
        <f>'[1]JULY 2022'!F161</f>
        <v>975</v>
      </c>
      <c r="G751" s="4"/>
      <c r="H751" s="4"/>
    </row>
    <row r="752" spans="1:8" x14ac:dyDescent="0.2">
      <c r="A752" s="20">
        <f>'[1]JULY 2022'!A163</f>
        <v>44766</v>
      </c>
      <c r="B752" s="14" t="str">
        <f>'[1]JULY 2022'!B163</f>
        <v>Rauchen</v>
      </c>
      <c r="C752" s="16">
        <f>'[1]JULY 2022'!C163</f>
        <v>0</v>
      </c>
      <c r="D752" s="16">
        <f>'[1]JULY 2022'!D163</f>
        <v>150</v>
      </c>
      <c r="E752" s="17">
        <f>'[1]JULY 2022'!E163</f>
        <v>0</v>
      </c>
      <c r="F752" s="18">
        <f>'[1]JULY 2022'!F163</f>
        <v>0</v>
      </c>
      <c r="G752" s="4"/>
      <c r="H752" s="4"/>
    </row>
    <row r="753" spans="1:8" x14ac:dyDescent="0.2">
      <c r="A753" s="23">
        <f>'[1]JULY 2022'!A164</f>
        <v>44766</v>
      </c>
      <c r="B753" s="14" t="str">
        <f>'[1]JULY 2022'!B164</f>
        <v>LM</v>
      </c>
      <c r="C753" s="16">
        <f>'[1]JULY 2022'!C164</f>
        <v>0</v>
      </c>
      <c r="D753" s="16">
        <f>'[1]JULY 2022'!D164</f>
        <v>86.490000000000009</v>
      </c>
      <c r="E753" s="17">
        <f>'[1]JULY 2022'!E164</f>
        <v>0</v>
      </c>
      <c r="F753" s="18">
        <f>'[1]JULY 2022'!F164</f>
        <v>0</v>
      </c>
      <c r="G753" s="4"/>
      <c r="H753" s="4"/>
    </row>
    <row r="754" spans="1:8" x14ac:dyDescent="0.2">
      <c r="A754" s="20">
        <f>'[1]JULY 2022'!A165</f>
        <v>44766</v>
      </c>
      <c r="B754" s="14" t="str">
        <f>'[1]JULY 2022'!B165</f>
        <v>VM</v>
      </c>
      <c r="C754" s="16">
        <f>'[1]JULY 2022'!C165</f>
        <v>0</v>
      </c>
      <c r="D754" s="16">
        <f>'[1]JULY 2022'!D165</f>
        <v>0</v>
      </c>
      <c r="E754" s="17">
        <f>'[1]JULY 2022'!E165</f>
        <v>0</v>
      </c>
      <c r="F754" s="18">
        <f>'[1]JULY 2022'!F165</f>
        <v>38</v>
      </c>
      <c r="G754" s="4"/>
      <c r="H754" s="4"/>
    </row>
    <row r="755" spans="1:8" x14ac:dyDescent="0.2">
      <c r="A755" s="23">
        <f>'[1]JULY 2022'!A166</f>
        <v>44766</v>
      </c>
      <c r="B755" s="14" t="str">
        <f>'[1]JULY 2022'!B166</f>
        <v>Party</v>
      </c>
      <c r="C755" s="16">
        <f>'[1]JULY 2022'!C166</f>
        <v>0</v>
      </c>
      <c r="D755" s="16">
        <f>'[1]JULY 2022'!D166</f>
        <v>3300</v>
      </c>
      <c r="E755" s="17">
        <f>'[1]JULY 2022'!E166</f>
        <v>0</v>
      </c>
      <c r="F755" s="18">
        <f>'[1]JULY 2022'!F166</f>
        <v>0</v>
      </c>
      <c r="G755" s="4"/>
      <c r="H755" s="4"/>
    </row>
    <row r="756" spans="1:8" x14ac:dyDescent="0.2">
      <c r="A756" s="20">
        <f>'[1]JULY 2022'!A167</f>
        <v>44766</v>
      </c>
      <c r="B756" s="14" t="str">
        <f>'[1]JULY 2022'!B167</f>
        <v>VM</v>
      </c>
      <c r="C756" s="16">
        <f>'[1]JULY 2022'!C167</f>
        <v>0</v>
      </c>
      <c r="D756" s="16">
        <f>'[1]JULY 2022'!D167</f>
        <v>51</v>
      </c>
      <c r="E756" s="17">
        <f>'[1]JULY 2022'!E167</f>
        <v>0</v>
      </c>
      <c r="F756" s="18">
        <f>'[1]JULY 2022'!F167</f>
        <v>0</v>
      </c>
      <c r="G756" s="4"/>
      <c r="H756" s="4"/>
    </row>
    <row r="757" spans="1:8" x14ac:dyDescent="0.2">
      <c r="A757" s="23">
        <f>'[1]JULY 2022'!A170</f>
        <v>44767</v>
      </c>
      <c r="B757" s="14" t="str">
        <f>'[1]JULY 2022'!B170</f>
        <v>Andere</v>
      </c>
      <c r="C757" s="16">
        <f>'[1]JULY 2022'!C170</f>
        <v>0</v>
      </c>
      <c r="D757" s="16">
        <f>'[1]JULY 2022'!D170</f>
        <v>900</v>
      </c>
      <c r="E757" s="17">
        <f>'[1]JULY 2022'!E170</f>
        <v>0</v>
      </c>
      <c r="F757" s="18">
        <f>'[1]JULY 2022'!F170</f>
        <v>0</v>
      </c>
      <c r="G757" s="4"/>
      <c r="H757" s="4"/>
    </row>
    <row r="758" spans="1:8" x14ac:dyDescent="0.2">
      <c r="A758" s="20">
        <f>'[1]JULY 2022'!A171</f>
        <v>44767</v>
      </c>
      <c r="B758" s="14" t="str">
        <f>'[1]JULY 2022'!B171</f>
        <v>Kleidung</v>
      </c>
      <c r="C758" s="16">
        <f>'[1]JULY 2022'!C171</f>
        <v>0</v>
      </c>
      <c r="D758" s="16">
        <f>'[1]JULY 2022'!D171</f>
        <v>4499</v>
      </c>
      <c r="E758" s="17">
        <f>'[1]JULY 2022'!E171</f>
        <v>0</v>
      </c>
      <c r="F758" s="18">
        <f>'[1]JULY 2022'!F171</f>
        <v>0</v>
      </c>
      <c r="G758" s="4"/>
      <c r="H758" s="4"/>
    </row>
    <row r="759" spans="1:8" x14ac:dyDescent="0.2">
      <c r="A759" s="23">
        <f>'[1]JULY 2022'!A172</f>
        <v>44767</v>
      </c>
      <c r="B759" s="14" t="str">
        <f>'[1]JULY 2022'!B172</f>
        <v>VM</v>
      </c>
      <c r="C759" s="16">
        <f>'[1]JULY 2022'!C172</f>
        <v>0</v>
      </c>
      <c r="D759" s="16">
        <f>'[1]JULY 2022'!D172</f>
        <v>0</v>
      </c>
      <c r="E759" s="17">
        <f>'[1]JULY 2022'!E172</f>
        <v>0</v>
      </c>
      <c r="F759" s="18">
        <f>'[1]JULY 2022'!F172</f>
        <v>446</v>
      </c>
      <c r="G759" s="4"/>
      <c r="H759" s="4"/>
    </row>
    <row r="760" spans="1:8" x14ac:dyDescent="0.2">
      <c r="A760" s="20">
        <f>'[1]JULY 2022'!A177</f>
        <v>44768</v>
      </c>
      <c r="B760" s="14" t="str">
        <f>'[1]JULY 2022'!B177</f>
        <v>LM</v>
      </c>
      <c r="C760" s="16">
        <f>'[1]JULY 2022'!C177</f>
        <v>0</v>
      </c>
      <c r="D760" s="16">
        <f>'[1]JULY 2022'!D177</f>
        <v>490</v>
      </c>
      <c r="E760" s="17">
        <f>'[1]JULY 2022'!E177</f>
        <v>0</v>
      </c>
      <c r="F760" s="18">
        <f>'[1]JULY 2022'!F177</f>
        <v>0</v>
      </c>
      <c r="G760" s="4"/>
      <c r="H760" s="4"/>
    </row>
    <row r="761" spans="1:8" x14ac:dyDescent="0.2">
      <c r="A761" s="23">
        <f>'[1]JULY 2022'!A178</f>
        <v>44768</v>
      </c>
      <c r="B761" s="14" t="str">
        <f>'[1]JULY 2022'!B178</f>
        <v>Rauchen</v>
      </c>
      <c r="C761" s="16">
        <f>'[1]JULY 2022'!C178</f>
        <v>0</v>
      </c>
      <c r="D761" s="16">
        <f>'[1]JULY 2022'!D178</f>
        <v>170</v>
      </c>
      <c r="E761" s="17">
        <f>'[1]JULY 2022'!E178</f>
        <v>0</v>
      </c>
      <c r="F761" s="18">
        <f>'[1]JULY 2022'!F178</f>
        <v>0</v>
      </c>
      <c r="G761" s="4"/>
      <c r="H761" s="4"/>
    </row>
    <row r="762" spans="1:8" x14ac:dyDescent="0.2">
      <c r="A762" s="20">
        <f>'[1]JULY 2022'!A179</f>
        <v>44768</v>
      </c>
      <c r="B762" s="14" t="str">
        <f>'[1]JULY 2022'!B179</f>
        <v>VM</v>
      </c>
      <c r="C762" s="16">
        <f>'[1]JULY 2022'!C179</f>
        <v>0</v>
      </c>
      <c r="D762" s="16">
        <f>'[1]JULY 2022'!D179</f>
        <v>0</v>
      </c>
      <c r="E762" s="17">
        <f>'[1]JULY 2022'!E179</f>
        <v>0</v>
      </c>
      <c r="F762" s="18">
        <f>'[1]JULY 2022'!F179</f>
        <v>87</v>
      </c>
      <c r="G762" s="4"/>
      <c r="H762" s="4"/>
    </row>
    <row r="763" spans="1:8" x14ac:dyDescent="0.2">
      <c r="A763" s="23">
        <f>'[1]JULY 2022'!A184</f>
        <v>44769</v>
      </c>
      <c r="B763" s="14" t="str">
        <f>'[1]JULY 2022'!B184</f>
        <v>LM</v>
      </c>
      <c r="C763" s="16">
        <f>'[1]JULY 2022'!C184</f>
        <v>0</v>
      </c>
      <c r="D763" s="16">
        <f>'[1]JULY 2022'!D184</f>
        <v>0</v>
      </c>
      <c r="E763" s="17">
        <f>'[1]JULY 2022'!E184</f>
        <v>0</v>
      </c>
      <c r="F763" s="18">
        <f>'[1]JULY 2022'!F184</f>
        <v>500</v>
      </c>
      <c r="G763" s="4"/>
      <c r="H763" s="4"/>
    </row>
    <row r="764" spans="1:8" x14ac:dyDescent="0.2">
      <c r="A764" s="20">
        <f>'[1]JULY 2022'!A185</f>
        <v>44769</v>
      </c>
      <c r="B764" s="14" t="str">
        <f>'[1]JULY 2022'!B185</f>
        <v>Refill</v>
      </c>
      <c r="C764" s="16">
        <f>'[1]JULY 2022'!C185</f>
        <v>500</v>
      </c>
      <c r="D764" s="16">
        <f>'[1]JULY 2022'!D185</f>
        <v>0</v>
      </c>
      <c r="E764" s="17">
        <f>'[1]JULY 2022'!E185</f>
        <v>0</v>
      </c>
      <c r="F764" s="18">
        <f>'[1]JULY 2022'!F185</f>
        <v>500</v>
      </c>
      <c r="G764" s="4"/>
      <c r="H764" s="4"/>
    </row>
    <row r="765" spans="1:8" x14ac:dyDescent="0.2">
      <c r="A765" s="23">
        <f>'[1]JULY 2022'!A186</f>
        <v>44769</v>
      </c>
      <c r="B765" s="14" t="str">
        <f>'[1]JULY 2022'!B186</f>
        <v>VM</v>
      </c>
      <c r="C765" s="16">
        <f>'[1]JULY 2022'!C186</f>
        <v>0</v>
      </c>
      <c r="D765" s="16">
        <f>'[1]JULY 2022'!D186</f>
        <v>0</v>
      </c>
      <c r="E765" s="17">
        <f>'[1]JULY 2022'!E186</f>
        <v>0</v>
      </c>
      <c r="F765" s="18">
        <f>'[1]JULY 2022'!F186</f>
        <v>21</v>
      </c>
      <c r="G765" s="4"/>
      <c r="H765" s="4"/>
    </row>
    <row r="766" spans="1:8" x14ac:dyDescent="0.2">
      <c r="A766" s="20">
        <f>'[1]JULY 2022'!A187</f>
        <v>44769</v>
      </c>
      <c r="B766" s="14" t="str">
        <f>'[1]JULY 2022'!B187</f>
        <v>VM</v>
      </c>
      <c r="C766" s="16">
        <f>'[1]JULY 2022'!C187</f>
        <v>0</v>
      </c>
      <c r="D766" s="16">
        <f>'[1]JULY 2022'!D187</f>
        <v>1400</v>
      </c>
      <c r="E766" s="17">
        <f>'[1]JULY 2022'!E187</f>
        <v>0</v>
      </c>
      <c r="F766" s="18">
        <f>'[1]JULY 2022'!F187</f>
        <v>0</v>
      </c>
      <c r="G766" s="4"/>
      <c r="H766" s="4"/>
    </row>
    <row r="767" spans="1:8" x14ac:dyDescent="0.2">
      <c r="A767" s="23">
        <f>'[1]JULY 2022'!A188</f>
        <v>44769</v>
      </c>
      <c r="B767" s="14" t="str">
        <f>'[1]JULY 2022'!B188</f>
        <v>for me</v>
      </c>
      <c r="C767" s="16">
        <f>'[1]JULY 2022'!C188</f>
        <v>0</v>
      </c>
      <c r="D767" s="16">
        <f>'[1]JULY 2022'!D188</f>
        <v>1250</v>
      </c>
      <c r="E767" s="17">
        <f>'[1]JULY 2022'!E188</f>
        <v>0</v>
      </c>
      <c r="F767" s="18">
        <f>'[1]JULY 2022'!F188</f>
        <v>0</v>
      </c>
      <c r="G767" s="4"/>
      <c r="H767" s="4"/>
    </row>
    <row r="768" spans="1:8" x14ac:dyDescent="0.2">
      <c r="A768" s="20">
        <f>'[1]JULY 2022'!A191</f>
        <v>44770</v>
      </c>
      <c r="B768" s="14" t="str">
        <f>'[1]JULY 2022'!B191</f>
        <v>Kleidung</v>
      </c>
      <c r="C768" s="16">
        <f>'[1]JULY 2022'!C191</f>
        <v>0</v>
      </c>
      <c r="D768" s="16">
        <f>'[1]JULY 2022'!D191</f>
        <v>830</v>
      </c>
      <c r="E768" s="17">
        <f>'[1]JULY 2022'!E191</f>
        <v>0</v>
      </c>
      <c r="F768" s="18">
        <f>'[1]JULY 2022'!F191</f>
        <v>0</v>
      </c>
      <c r="G768" s="4"/>
      <c r="H768" s="4"/>
    </row>
    <row r="769" spans="1:8" x14ac:dyDescent="0.2">
      <c r="A769" s="23">
        <f>'[1]JULY 2022'!A192</f>
        <v>44770</v>
      </c>
      <c r="B769" s="14" t="str">
        <f>'[1]JULY 2022'!B192</f>
        <v>Andere</v>
      </c>
      <c r="C769" s="16">
        <f>'[1]JULY 2022'!C192</f>
        <v>0</v>
      </c>
      <c r="D769" s="16">
        <f>'[1]JULY 2022'!D192</f>
        <v>82000</v>
      </c>
      <c r="E769" s="17">
        <f>'[1]JULY 2022'!E192</f>
        <v>0</v>
      </c>
      <c r="F769" s="18">
        <f>'[1]JULY 2022'!F192</f>
        <v>0</v>
      </c>
      <c r="G769" s="4"/>
      <c r="H769" s="4"/>
    </row>
    <row r="770" spans="1:8" x14ac:dyDescent="0.2">
      <c r="A770" s="20">
        <f>'[1]JULY 2022'!A193</f>
        <v>44770</v>
      </c>
      <c r="B770" s="14" t="str">
        <f>'[1]JULY 2022'!B193</f>
        <v>Andere</v>
      </c>
      <c r="C770" s="16">
        <f>'[1]JULY 2022'!C193</f>
        <v>0</v>
      </c>
      <c r="D770" s="16">
        <f>'[1]JULY 2022'!D193</f>
        <v>15225</v>
      </c>
      <c r="E770" s="17">
        <f>'[1]JULY 2022'!E193</f>
        <v>0</v>
      </c>
      <c r="F770" s="18">
        <f>'[1]JULY 2022'!F193</f>
        <v>0</v>
      </c>
      <c r="G770" s="4"/>
      <c r="H770" s="4"/>
    </row>
    <row r="771" spans="1:8" x14ac:dyDescent="0.2">
      <c r="A771" s="23">
        <f>'[1]JULY 2022'!A194</f>
        <v>44770</v>
      </c>
      <c r="B771" s="14" t="str">
        <f>'[1]JULY 2022'!B194</f>
        <v>LM</v>
      </c>
      <c r="C771" s="16">
        <f>'[1]JULY 2022'!C194</f>
        <v>0</v>
      </c>
      <c r="D771" s="16">
        <f>'[1]JULY 2022'!D194</f>
        <v>706.35</v>
      </c>
      <c r="E771" s="17">
        <f>'[1]JULY 2022'!E194</f>
        <v>0</v>
      </c>
      <c r="F771" s="18">
        <f>'[1]JULY 2022'!F194</f>
        <v>0</v>
      </c>
      <c r="G771" s="4"/>
      <c r="H771" s="4"/>
    </row>
    <row r="772" spans="1:8" x14ac:dyDescent="0.2">
      <c r="A772" s="20">
        <f>'[1]JULY 2022'!A195</f>
        <v>44770</v>
      </c>
      <c r="B772" s="14" t="str">
        <f>'[1]JULY 2022'!B195</f>
        <v>Rauchen</v>
      </c>
      <c r="C772" s="16">
        <f>'[1]JULY 2022'!C195</f>
        <v>0</v>
      </c>
      <c r="D772" s="16">
        <f>'[1]JULY 2022'!D195</f>
        <v>150</v>
      </c>
      <c r="E772" s="17">
        <f>'[1]JULY 2022'!E195</f>
        <v>0</v>
      </c>
      <c r="F772" s="18">
        <f>'[1]JULY 2022'!F195</f>
        <v>0</v>
      </c>
      <c r="G772" s="4"/>
      <c r="H772" s="4"/>
    </row>
    <row r="773" spans="1:8" x14ac:dyDescent="0.2">
      <c r="A773" s="23">
        <f>'[1]JULY 2022'!A196</f>
        <v>44770</v>
      </c>
      <c r="B773" s="14" t="str">
        <f>'[1]JULY 2022'!B196</f>
        <v>VM</v>
      </c>
      <c r="C773" s="16">
        <f>'[1]JULY 2022'!C196</f>
        <v>0</v>
      </c>
      <c r="D773" s="16">
        <f>'[1]JULY 2022'!D196</f>
        <v>0</v>
      </c>
      <c r="E773" s="17">
        <f>'[1]JULY 2022'!E196</f>
        <v>0</v>
      </c>
      <c r="F773" s="18">
        <f>'[1]JULY 2022'!F196</f>
        <v>84</v>
      </c>
      <c r="G773" s="4"/>
      <c r="H773" s="4"/>
    </row>
    <row r="774" spans="1:8" x14ac:dyDescent="0.2">
      <c r="A774" s="23">
        <f>'[1]JULY 2022'!A198</f>
        <v>44771</v>
      </c>
      <c r="B774" s="14" t="str">
        <f>'[1]JULY 2022'!B198</f>
        <v>VM</v>
      </c>
      <c r="C774" s="16">
        <f>'[1]JULY 2022'!C198</f>
        <v>0</v>
      </c>
      <c r="D774" s="16">
        <f>'[1]JULY 2022'!D198</f>
        <v>102</v>
      </c>
      <c r="E774" s="17">
        <f>'[1]JULY 2022'!E198</f>
        <v>0</v>
      </c>
      <c r="F774" s="18">
        <f>'[1]JULY 2022'!F198</f>
        <v>28</v>
      </c>
      <c r="G774" s="4"/>
      <c r="H774" s="4"/>
    </row>
    <row r="775" spans="1:8" x14ac:dyDescent="0.2">
      <c r="A775" s="20">
        <f>'[1]JULY 2022'!A199</f>
        <v>44771</v>
      </c>
      <c r="B775" s="14" t="str">
        <f>'[1]JULY 2022'!B199</f>
        <v>Kleidung</v>
      </c>
      <c r="C775" s="16">
        <f>'[1]JULY 2022'!C199</f>
        <v>0</v>
      </c>
      <c r="D775" s="16">
        <f>'[1]JULY 2022'!D199</f>
        <v>948</v>
      </c>
      <c r="E775" s="17">
        <f>'[1]JULY 2022'!E199</f>
        <v>0</v>
      </c>
      <c r="F775" s="18">
        <f>'[1]JULY 2022'!F199</f>
        <v>0</v>
      </c>
      <c r="G775" s="4"/>
      <c r="H775" s="4"/>
    </row>
    <row r="776" spans="1:8" x14ac:dyDescent="0.2">
      <c r="A776" s="23">
        <f>'[1]JULY 2022'!A200</f>
        <v>44771</v>
      </c>
      <c r="B776" s="14" t="str">
        <f>'[1]JULY 2022'!B200</f>
        <v>for me</v>
      </c>
      <c r="C776" s="16">
        <f>'[1]JULY 2022'!C200</f>
        <v>0</v>
      </c>
      <c r="D776" s="16">
        <f>'[1]JULY 2022'!D200</f>
        <v>12812</v>
      </c>
      <c r="E776" s="17">
        <f>'[1]JULY 2022'!E200</f>
        <v>0</v>
      </c>
      <c r="F776" s="18">
        <f>'[1]JULY 2022'!F200</f>
        <v>0</v>
      </c>
      <c r="G776" s="4"/>
      <c r="H776" s="4"/>
    </row>
    <row r="777" spans="1:8" x14ac:dyDescent="0.2">
      <c r="A777" s="20">
        <f>'[1]JULY 2022'!A205</f>
        <v>44772</v>
      </c>
      <c r="B777" s="14" t="str">
        <f>'[1]JULY 2022'!B205</f>
        <v>LM</v>
      </c>
      <c r="C777" s="16">
        <f>'[1]JULY 2022'!C205</f>
        <v>0</v>
      </c>
      <c r="D777" s="16">
        <f>'[1]JULY 2022'!D205</f>
        <v>862</v>
      </c>
      <c r="E777" s="17">
        <f>'[1]JULY 2022'!E205</f>
        <v>0</v>
      </c>
      <c r="F777" s="18">
        <f>'[1]JULY 2022'!F205</f>
        <v>270</v>
      </c>
      <c r="G777" s="4"/>
      <c r="H777" s="4"/>
    </row>
    <row r="778" spans="1:8" x14ac:dyDescent="0.2">
      <c r="A778" s="23">
        <f>'[1]JULY 2022'!A206</f>
        <v>44772</v>
      </c>
      <c r="B778" s="14" t="str">
        <f>'[1]JULY 2022'!B206</f>
        <v>Kleidung</v>
      </c>
      <c r="C778" s="16">
        <f>'[1]JULY 2022'!C206</f>
        <v>0</v>
      </c>
      <c r="D778" s="16">
        <f>'[1]JULY 2022'!D206</f>
        <v>141.47999999999999</v>
      </c>
      <c r="E778" s="17">
        <f>'[1]JULY 2022'!E206</f>
        <v>0</v>
      </c>
      <c r="F778" s="18">
        <f>'[1]JULY 2022'!F206</f>
        <v>0</v>
      </c>
      <c r="G778" s="4"/>
      <c r="H778" s="4"/>
    </row>
    <row r="779" spans="1:8" x14ac:dyDescent="0.2">
      <c r="A779" s="20">
        <f>'[1]JULY 2022'!A207</f>
        <v>44772</v>
      </c>
      <c r="B779" s="14" t="str">
        <f>'[1]JULY 2022'!B207</f>
        <v>Andere</v>
      </c>
      <c r="C779" s="16">
        <f>'[1]JULY 2022'!C207</f>
        <v>0</v>
      </c>
      <c r="D779" s="16">
        <f>'[1]JULY 2022'!D207</f>
        <v>50</v>
      </c>
      <c r="E779" s="17">
        <f>'[1]JULY 2022'!E207</f>
        <v>0</v>
      </c>
      <c r="F779" s="18">
        <f>'[1]JULY 2022'!F207</f>
        <v>0</v>
      </c>
      <c r="G779" s="4"/>
      <c r="H779" s="4"/>
    </row>
    <row r="780" spans="1:8" x14ac:dyDescent="0.2">
      <c r="A780" s="23">
        <f>'[1]JULY 2022'!A208</f>
        <v>44772</v>
      </c>
      <c r="B780" s="14" t="str">
        <f>'[1]JULY 2022'!B208</f>
        <v>VM</v>
      </c>
      <c r="C780" s="16">
        <f>'[1]JULY 2022'!C208</f>
        <v>0</v>
      </c>
      <c r="D780" s="16">
        <f>'[1]JULY 2022'!D208</f>
        <v>0</v>
      </c>
      <c r="E780" s="17">
        <f>'[1]JULY 2022'!E208</f>
        <v>0</v>
      </c>
      <c r="F780" s="18">
        <f>'[1]JULY 2022'!F208</f>
        <v>56</v>
      </c>
      <c r="G780" s="4"/>
      <c r="H780" s="4"/>
    </row>
    <row r="781" spans="1:8" x14ac:dyDescent="0.2">
      <c r="A781" s="20">
        <f>'[1]JULY 2022'!A209</f>
        <v>44772</v>
      </c>
      <c r="B781" s="14" t="str">
        <f>'[1]JULY 2022'!B209</f>
        <v>VM</v>
      </c>
      <c r="C781" s="16">
        <f>'[1]JULY 2022'!C209</f>
        <v>0</v>
      </c>
      <c r="D781" s="16">
        <f>'[1]JULY 2022'!D209</f>
        <v>0</v>
      </c>
      <c r="E781" s="17">
        <f>'[1]JULY 2022'!E209</f>
        <v>0</v>
      </c>
      <c r="F781" s="18">
        <f>'[1]JULY 2022'!F209</f>
        <v>886</v>
      </c>
      <c r="G781" s="4"/>
      <c r="H781" s="4"/>
    </row>
    <row r="782" spans="1:8" x14ac:dyDescent="0.2">
      <c r="A782" s="23">
        <f>'[1]JULY 2022'!A212</f>
        <v>44773</v>
      </c>
      <c r="B782" s="14" t="str">
        <f>'[1]JULY 2022'!B212</f>
        <v>VM</v>
      </c>
      <c r="C782" s="16">
        <f>'[1]JULY 2022'!C212</f>
        <v>0</v>
      </c>
      <c r="D782" s="16">
        <f>'[1]JULY 2022'!D212</f>
        <v>917.55</v>
      </c>
      <c r="E782" s="17">
        <f>'[1]JULY 2022'!E212</f>
        <v>0</v>
      </c>
      <c r="F782" s="18">
        <f>'[1]JULY 2022'!F212</f>
        <v>0</v>
      </c>
      <c r="G782" s="4"/>
      <c r="H782" s="4"/>
    </row>
    <row r="783" spans="1:8" x14ac:dyDescent="0.2">
      <c r="A783" s="20">
        <f>'[1]JULY 2022'!A213</f>
        <v>44773</v>
      </c>
      <c r="B783" s="14" t="str">
        <f>'[1]JULY 2022'!B213</f>
        <v>LM</v>
      </c>
      <c r="C783" s="16">
        <f>'[1]JULY 2022'!C213</f>
        <v>0</v>
      </c>
      <c r="D783" s="16">
        <f>'[1]JULY 2022'!D213</f>
        <v>1204.4100000000001</v>
      </c>
      <c r="E783" s="17">
        <f>'[1]JULY 2022'!E213</f>
        <v>0</v>
      </c>
      <c r="F783" s="18">
        <f>'[1]JULY 2022'!F213</f>
        <v>0</v>
      </c>
      <c r="G783" s="4"/>
      <c r="H783" s="4"/>
    </row>
    <row r="784" spans="1:8" x14ac:dyDescent="0.2">
      <c r="A784" s="23">
        <f>'[1]JULY 2022'!A214</f>
        <v>44773</v>
      </c>
      <c r="B784" s="14" t="str">
        <f>'[1]JULY 2022'!B214</f>
        <v>Andere</v>
      </c>
      <c r="C784" s="16">
        <f>'[1]JULY 2022'!C214</f>
        <v>0</v>
      </c>
      <c r="D784" s="16">
        <f>'[1]JULY 2022'!D214</f>
        <v>500</v>
      </c>
      <c r="E784" s="17">
        <f>'[1]JULY 2022'!E214</f>
        <v>0</v>
      </c>
      <c r="F784" s="18">
        <f>'[1]JULY 2022'!F214</f>
        <v>0</v>
      </c>
      <c r="G784" s="4"/>
      <c r="H784" s="4"/>
    </row>
    <row r="785" spans="1:8" x14ac:dyDescent="0.2">
      <c r="A785" s="20">
        <f>'[1]JULY 2022'!A215</f>
        <v>44773</v>
      </c>
      <c r="B785" s="14" t="str">
        <f>'[1]JULY 2022'!B215</f>
        <v>for me</v>
      </c>
      <c r="C785" s="16">
        <f>'[1]JULY 2022'!C215</f>
        <v>0</v>
      </c>
      <c r="D785" s="16">
        <f>'[1]JULY 2022'!D215</f>
        <v>2800</v>
      </c>
      <c r="E785" s="17">
        <f>'[1]JULY 2022'!E215</f>
        <v>0</v>
      </c>
      <c r="F785" s="18">
        <f>'[1]JULY 2022'!F215</f>
        <v>0</v>
      </c>
      <c r="G785" s="4"/>
      <c r="H785" s="4"/>
    </row>
    <row r="786" spans="1:8" x14ac:dyDescent="0.2">
      <c r="A786" s="23">
        <f>'[1]JULY 2022'!A216</f>
        <v>44773</v>
      </c>
      <c r="B786" s="14" t="str">
        <f>'[1]JULY 2022'!B216</f>
        <v>Party</v>
      </c>
      <c r="C786" s="16">
        <f>'[1]JULY 2022'!C216</f>
        <v>0</v>
      </c>
      <c r="D786" s="16">
        <f>'[1]JULY 2022'!D216</f>
        <v>2200</v>
      </c>
      <c r="E786" s="17">
        <f>'[1]JULY 2022'!E216</f>
        <v>0</v>
      </c>
      <c r="F786" s="18">
        <f>'[1]JULY 2022'!F216</f>
        <v>0</v>
      </c>
      <c r="G786" s="4"/>
      <c r="H786" s="4"/>
    </row>
    <row r="787" spans="1:8" x14ac:dyDescent="0.2">
      <c r="A787" s="20">
        <f>'[1]JULY 2022'!A217</f>
        <v>44773</v>
      </c>
      <c r="B787" s="14" t="str">
        <f>'[1]JULY 2022'!B217</f>
        <v>Refill</v>
      </c>
      <c r="C787" s="16">
        <f>'[1]JULY 2022'!C217</f>
        <v>1698.64</v>
      </c>
      <c r="D787" s="16">
        <f>'[1]JULY 2022'!D217</f>
        <v>0</v>
      </c>
      <c r="E787" s="17">
        <f>'[1]JULY 2022'!E217</f>
        <v>0</v>
      </c>
      <c r="F787" s="18">
        <f>'[1]JULY 2022'!F217</f>
        <v>0</v>
      </c>
      <c r="G787" s="4"/>
      <c r="H787" s="4"/>
    </row>
    <row r="788" spans="1:8" x14ac:dyDescent="0.2">
      <c r="A788" s="20">
        <f>'[1]AUGUST 2022'!A2</f>
        <v>44774</v>
      </c>
      <c r="B788" s="14" t="str">
        <f>'[1]AUGUST 2022'!B2</f>
        <v>LM</v>
      </c>
      <c r="C788" s="16">
        <f>'[1]AUGUST 2022'!C2</f>
        <v>0</v>
      </c>
      <c r="D788" s="16">
        <f>'[1]AUGUST 2022'!D2</f>
        <v>490</v>
      </c>
      <c r="E788" s="17">
        <f>'[1]AUGUST 2022'!E2</f>
        <v>0</v>
      </c>
      <c r="F788" s="18">
        <f>'[1]AUGUST 2022'!F2</f>
        <v>0</v>
      </c>
      <c r="G788" s="4"/>
      <c r="H788" s="4"/>
    </row>
    <row r="789" spans="1:8" x14ac:dyDescent="0.2">
      <c r="A789" s="23">
        <f>'[1]AUGUST 2022'!A3</f>
        <v>44774</v>
      </c>
      <c r="B789" s="14" t="str">
        <f>'[1]AUGUST 2022'!B3</f>
        <v>VM</v>
      </c>
      <c r="C789" s="16">
        <f>'[1]AUGUST 2022'!C3</f>
        <v>0</v>
      </c>
      <c r="D789" s="16">
        <f>'[1]AUGUST 2022'!D3</f>
        <v>9638</v>
      </c>
      <c r="E789" s="17">
        <f>'[1]AUGUST 2022'!E3</f>
        <v>0</v>
      </c>
      <c r="F789" s="18">
        <f>'[1]AUGUST 2022'!F3</f>
        <v>0</v>
      </c>
      <c r="G789" s="4"/>
      <c r="H789" s="4"/>
    </row>
    <row r="790" spans="1:8" x14ac:dyDescent="0.2">
      <c r="A790" s="20">
        <f>'[1]AUGUST 2022'!A4</f>
        <v>44774</v>
      </c>
      <c r="B790" s="14" t="str">
        <f>'[1]AUGUST 2022'!B4</f>
        <v>VM</v>
      </c>
      <c r="C790" s="16">
        <f>'[1]AUGUST 2022'!C4</f>
        <v>0</v>
      </c>
      <c r="D790" s="16">
        <f>'[1]AUGUST 2022'!D4</f>
        <v>435</v>
      </c>
      <c r="E790" s="17">
        <f>'[1]AUGUST 2022'!E4</f>
        <v>0</v>
      </c>
      <c r="F790" s="18">
        <f>'[1]AUGUST 2022'!F4</f>
        <v>54</v>
      </c>
      <c r="G790" s="4"/>
      <c r="H790" s="4"/>
    </row>
    <row r="791" spans="1:8" x14ac:dyDescent="0.2">
      <c r="A791" s="23">
        <f>'[1]AUGUST 2022'!A9</f>
        <v>44775</v>
      </c>
      <c r="B791" s="14" t="str">
        <f>'[1]AUGUST 2022'!B9</f>
        <v>Rauchen</v>
      </c>
      <c r="C791" s="16">
        <f>'[1]AUGUST 2022'!C9</f>
        <v>0</v>
      </c>
      <c r="D791" s="16">
        <f>'[1]AUGUST 2022'!D9</f>
        <v>155</v>
      </c>
      <c r="E791" s="17">
        <f>'[1]AUGUST 2022'!E9</f>
        <v>0</v>
      </c>
      <c r="F791" s="18">
        <f>'[1]AUGUST 2022'!F9</f>
        <v>0</v>
      </c>
      <c r="G791" s="4"/>
      <c r="H791" s="4"/>
    </row>
    <row r="792" spans="1:8" x14ac:dyDescent="0.2">
      <c r="A792" s="20">
        <f>'[1]AUGUST 2022'!A10</f>
        <v>44775</v>
      </c>
      <c r="B792" s="14" t="str">
        <f>'[1]AUGUST 2022'!B10</f>
        <v>LM</v>
      </c>
      <c r="C792" s="16">
        <f>'[1]AUGUST 2022'!C10</f>
        <v>0</v>
      </c>
      <c r="D792" s="16">
        <f>'[1]AUGUST 2022'!D10</f>
        <v>1066</v>
      </c>
      <c r="E792" s="17">
        <f>'[1]AUGUST 2022'!E10</f>
        <v>0</v>
      </c>
      <c r="F792" s="18">
        <f>'[1]AUGUST 2022'!F10</f>
        <v>0</v>
      </c>
      <c r="G792" s="4"/>
      <c r="H792" s="4"/>
    </row>
    <row r="793" spans="1:8" x14ac:dyDescent="0.2">
      <c r="A793" s="23">
        <f>'[1]AUGUST 2022'!A11</f>
        <v>44775</v>
      </c>
      <c r="B793" s="14" t="str">
        <f>'[1]AUGUST 2022'!B11</f>
        <v>VM</v>
      </c>
      <c r="C793" s="16">
        <f>'[1]AUGUST 2022'!C11</f>
        <v>0</v>
      </c>
      <c r="D793" s="16">
        <f>'[1]AUGUST 2022'!D11</f>
        <v>0</v>
      </c>
      <c r="E793" s="17">
        <f>'[1]AUGUST 2022'!E11</f>
        <v>0</v>
      </c>
      <c r="F793" s="18">
        <f>'[1]AUGUST 2022'!F11</f>
        <v>234</v>
      </c>
      <c r="G793" s="4"/>
      <c r="H793" s="4"/>
    </row>
    <row r="794" spans="1:8" x14ac:dyDescent="0.2">
      <c r="A794" s="20">
        <f>'[1]AUGUST 2022'!A16</f>
        <v>44776</v>
      </c>
      <c r="B794" s="14" t="str">
        <f>'[1]AUGUST 2022'!B16</f>
        <v>LM</v>
      </c>
      <c r="C794" s="16">
        <f>'[1]AUGUST 2022'!C16</f>
        <v>0</v>
      </c>
      <c r="D794" s="16">
        <f>'[1]AUGUST 2022'!D16</f>
        <v>195.48</v>
      </c>
      <c r="E794" s="17">
        <f>'[1]AUGUST 2022'!E16</f>
        <v>0</v>
      </c>
      <c r="F794" s="18">
        <f>'[1]AUGUST 2022'!F16</f>
        <v>0</v>
      </c>
      <c r="G794" s="4"/>
      <c r="H794" s="4"/>
    </row>
    <row r="795" spans="1:8" x14ac:dyDescent="0.2">
      <c r="A795" s="23">
        <f>'[1]AUGUST 2022'!A17</f>
        <v>44776</v>
      </c>
      <c r="B795" s="14" t="str">
        <f>'[1]AUGUST 2022'!B17</f>
        <v>none</v>
      </c>
      <c r="C795" s="16">
        <f>'[1]AUGUST 2022'!C17</f>
        <v>0</v>
      </c>
      <c r="D795" s="16">
        <f>'[1]AUGUST 2022'!D17</f>
        <v>2000</v>
      </c>
      <c r="E795" s="17">
        <f>'[1]AUGUST 2022'!E17</f>
        <v>2000</v>
      </c>
      <c r="F795" s="18">
        <f>'[1]AUGUST 2022'!F17</f>
        <v>0</v>
      </c>
      <c r="G795" s="4"/>
      <c r="H795" s="4"/>
    </row>
    <row r="796" spans="1:8" x14ac:dyDescent="0.2">
      <c r="A796" s="20">
        <f>'[1]AUGUST 2022'!A18</f>
        <v>44776</v>
      </c>
      <c r="B796" s="14" t="str">
        <f>'[1]AUGUST 2022'!B18</f>
        <v>Andere</v>
      </c>
      <c r="C796" s="16">
        <f>'[1]AUGUST 2022'!C18</f>
        <v>0</v>
      </c>
      <c r="D796" s="16">
        <f>'[1]AUGUST 2022'!D18</f>
        <v>100</v>
      </c>
      <c r="E796" s="17">
        <f>'[1]AUGUST 2022'!E18</f>
        <v>0</v>
      </c>
      <c r="F796" s="18">
        <f>'[1]AUGUST 2022'!F18</f>
        <v>0</v>
      </c>
      <c r="G796" s="4"/>
      <c r="H796" s="4"/>
    </row>
    <row r="797" spans="1:8" x14ac:dyDescent="0.2">
      <c r="A797" s="23">
        <f>'[1]AUGUST 2022'!A19</f>
        <v>44776</v>
      </c>
      <c r="B797" s="14" t="str">
        <f>'[1]AUGUST 2022'!B19</f>
        <v>LM</v>
      </c>
      <c r="C797" s="16">
        <f>'[1]AUGUST 2022'!C19</f>
        <v>0</v>
      </c>
      <c r="D797" s="16">
        <f>'[1]AUGUST 2022'!D19</f>
        <v>0</v>
      </c>
      <c r="E797" s="17">
        <f>'[1]AUGUST 2022'!E19</f>
        <v>0</v>
      </c>
      <c r="F797" s="18">
        <f>'[1]AUGUST 2022'!F19</f>
        <v>160</v>
      </c>
      <c r="G797" s="4"/>
      <c r="H797" s="4"/>
    </row>
    <row r="798" spans="1:8" x14ac:dyDescent="0.2">
      <c r="A798" s="23">
        <f>'[1]AUGUST 2022'!A23</f>
        <v>44777</v>
      </c>
      <c r="B798" s="14" t="str">
        <f>'[1]AUGUST 2022'!B23</f>
        <v>Andere</v>
      </c>
      <c r="C798" s="16">
        <f>'[1]AUGUST 2022'!C23</f>
        <v>0</v>
      </c>
      <c r="D798" s="16">
        <f>'[1]AUGUST 2022'!D23</f>
        <v>500</v>
      </c>
      <c r="E798" s="17">
        <f>'[1]AUGUST 2022'!E23</f>
        <v>0</v>
      </c>
      <c r="F798" s="18">
        <f>'[1]AUGUST 2022'!F23</f>
        <v>0</v>
      </c>
      <c r="G798" s="4"/>
      <c r="H798" s="4"/>
    </row>
    <row r="799" spans="1:8" x14ac:dyDescent="0.2">
      <c r="A799" s="20">
        <f>'[1]AUGUST 2022'!A24</f>
        <v>44777</v>
      </c>
      <c r="B799" s="14" t="str">
        <f>'[1]AUGUST 2022'!B24</f>
        <v>Party</v>
      </c>
      <c r="C799" s="16">
        <f>'[1]AUGUST 2022'!C24</f>
        <v>0</v>
      </c>
      <c r="D799" s="16">
        <f>'[1]AUGUST 2022'!D24</f>
        <v>390</v>
      </c>
      <c r="E799" s="17">
        <f>'[1]AUGUST 2022'!E24</f>
        <v>0</v>
      </c>
      <c r="F799" s="18">
        <f>'[1]AUGUST 2022'!F24</f>
        <v>0</v>
      </c>
      <c r="G799" s="4"/>
      <c r="H799" s="4"/>
    </row>
    <row r="800" spans="1:8" x14ac:dyDescent="0.2">
      <c r="A800" s="23">
        <f>'[1]AUGUST 2022'!A25</f>
        <v>44777</v>
      </c>
      <c r="B800" s="14" t="str">
        <f>'[1]AUGUST 2022'!B25</f>
        <v>Rauchen</v>
      </c>
      <c r="C800" s="16">
        <f>'[1]AUGUST 2022'!C25</f>
        <v>0</v>
      </c>
      <c r="D800" s="16">
        <f>'[1]AUGUST 2022'!D25</f>
        <v>170</v>
      </c>
      <c r="E800" s="17">
        <f>'[1]AUGUST 2022'!E25</f>
        <v>0</v>
      </c>
      <c r="F800" s="18">
        <f>'[1]AUGUST 2022'!F25</f>
        <v>0</v>
      </c>
      <c r="G800" s="4"/>
      <c r="H800" s="4"/>
    </row>
    <row r="801" spans="1:8" x14ac:dyDescent="0.2">
      <c r="A801" s="20">
        <f>'[1]AUGUST 2022'!A26</f>
        <v>44777</v>
      </c>
      <c r="B801" s="14" t="str">
        <f>'[1]AUGUST 2022'!B26</f>
        <v>LM</v>
      </c>
      <c r="C801" s="16">
        <f>'[1]AUGUST 2022'!C26</f>
        <v>0</v>
      </c>
      <c r="D801" s="16">
        <f>'[1]AUGUST 2022'!D26</f>
        <v>674</v>
      </c>
      <c r="E801" s="17">
        <f>'[1]AUGUST 2022'!E26</f>
        <v>0</v>
      </c>
      <c r="F801" s="18">
        <f>'[1]AUGUST 2022'!F26</f>
        <v>0</v>
      </c>
      <c r="G801" s="4"/>
      <c r="H801" s="4"/>
    </row>
    <row r="802" spans="1:8" x14ac:dyDescent="0.2">
      <c r="A802" s="23">
        <f>'[1]AUGUST 2022'!A27</f>
        <v>44777</v>
      </c>
      <c r="B802" s="14" t="str">
        <f>'[1]AUGUST 2022'!B27</f>
        <v>VM</v>
      </c>
      <c r="C802" s="16">
        <f>'[1]AUGUST 2022'!C27</f>
        <v>0</v>
      </c>
      <c r="D802" s="16">
        <f>'[1]AUGUST 2022'!D27</f>
        <v>0</v>
      </c>
      <c r="E802" s="17">
        <f>'[1]AUGUST 2022'!E27</f>
        <v>0</v>
      </c>
      <c r="F802" s="18">
        <f>'[1]AUGUST 2022'!F27</f>
        <v>75</v>
      </c>
      <c r="G802" s="4"/>
      <c r="H802" s="4"/>
    </row>
    <row r="803" spans="1:8" x14ac:dyDescent="0.2">
      <c r="A803" s="20">
        <f>'[1]AUGUST 2022'!A30</f>
        <v>44778</v>
      </c>
      <c r="B803" s="14" t="str">
        <f>'[1]AUGUST 2022'!B30</f>
        <v>LM</v>
      </c>
      <c r="C803" s="16">
        <f>'[1]AUGUST 2022'!C30</f>
        <v>0</v>
      </c>
      <c r="D803" s="16">
        <f>'[1]AUGUST 2022'!D30</f>
        <v>840</v>
      </c>
      <c r="E803" s="17">
        <f>'[1]AUGUST 2022'!E30</f>
        <v>0</v>
      </c>
      <c r="F803" s="18">
        <f>'[1]AUGUST 2022'!F30</f>
        <v>0</v>
      </c>
      <c r="G803" s="4"/>
      <c r="H803" s="4"/>
    </row>
    <row r="804" spans="1:8" x14ac:dyDescent="0.2">
      <c r="A804" s="23">
        <f>'[1]AUGUST 2022'!A31</f>
        <v>44778</v>
      </c>
      <c r="B804" s="14" t="str">
        <f>'[1]AUGUST 2022'!B31</f>
        <v>VM</v>
      </c>
      <c r="C804" s="16">
        <f>'[1]AUGUST 2022'!C31</f>
        <v>0</v>
      </c>
      <c r="D804" s="16">
        <f>'[1]AUGUST 2022'!D31</f>
        <v>0</v>
      </c>
      <c r="E804" s="17">
        <f>'[1]AUGUST 2022'!E31</f>
        <v>0</v>
      </c>
      <c r="F804" s="18">
        <f>'[1]AUGUST 2022'!F31</f>
        <v>105</v>
      </c>
      <c r="G804" s="4"/>
      <c r="H804" s="4"/>
    </row>
    <row r="805" spans="1:8" x14ac:dyDescent="0.2">
      <c r="A805" s="23">
        <f>'[1]AUGUST 2022'!A37</f>
        <v>44779</v>
      </c>
      <c r="B805" s="14" t="str">
        <f>'[1]AUGUST 2022'!B37</f>
        <v>none</v>
      </c>
      <c r="C805" s="16">
        <f>'[1]AUGUST 2022'!C37</f>
        <v>0</v>
      </c>
      <c r="D805" s="16">
        <f>'[1]AUGUST 2022'!D37</f>
        <v>1000</v>
      </c>
      <c r="E805" s="17">
        <f>'[1]AUGUST 2022'!E37</f>
        <v>1000</v>
      </c>
      <c r="F805" s="18">
        <f>'[1]AUGUST 2022'!F37</f>
        <v>0</v>
      </c>
      <c r="G805" s="4"/>
      <c r="H805" s="4"/>
    </row>
    <row r="806" spans="1:8" x14ac:dyDescent="0.2">
      <c r="A806" s="20">
        <f>'[1]AUGUST 2022'!A38</f>
        <v>44779</v>
      </c>
      <c r="B806" s="14" t="str">
        <f>'[1]AUGUST 2022'!B38</f>
        <v>LM</v>
      </c>
      <c r="C806" s="16">
        <f>'[1]AUGUST 2022'!C38</f>
        <v>0</v>
      </c>
      <c r="D806" s="16">
        <f>'[1]AUGUST 2022'!D38</f>
        <v>1202.73</v>
      </c>
      <c r="E806" s="17">
        <f>'[1]AUGUST 2022'!E38</f>
        <v>0</v>
      </c>
      <c r="F806" s="18">
        <f>'[1]AUGUST 2022'!F38</f>
        <v>0</v>
      </c>
      <c r="G806" s="4"/>
      <c r="H806" s="4"/>
    </row>
    <row r="807" spans="1:8" x14ac:dyDescent="0.2">
      <c r="A807" s="23">
        <f>'[1]AUGUST 2022'!A39</f>
        <v>44779</v>
      </c>
      <c r="B807" s="14" t="str">
        <f>'[1]AUGUST 2022'!B39</f>
        <v>for me</v>
      </c>
      <c r="C807" s="16">
        <f>'[1]AUGUST 2022'!C39</f>
        <v>0</v>
      </c>
      <c r="D807" s="16">
        <f>'[1]AUGUST 2022'!D39</f>
        <v>2300</v>
      </c>
      <c r="E807" s="17">
        <f>'[1]AUGUST 2022'!E39</f>
        <v>0</v>
      </c>
      <c r="F807" s="18">
        <f>'[1]AUGUST 2022'!F39</f>
        <v>0</v>
      </c>
      <c r="G807" s="4"/>
      <c r="H807" s="4"/>
    </row>
    <row r="808" spans="1:8" x14ac:dyDescent="0.2">
      <c r="A808" s="20">
        <f>'[1]AUGUST 2022'!A40</f>
        <v>44779</v>
      </c>
      <c r="B808" s="14" t="str">
        <f>'[1]AUGUST 2022'!B40</f>
        <v>Kleidung</v>
      </c>
      <c r="C808" s="16">
        <f>'[1]AUGUST 2022'!C40</f>
        <v>0</v>
      </c>
      <c r="D808" s="16">
        <f>'[1]AUGUST 2022'!D40</f>
        <v>2156</v>
      </c>
      <c r="E808" s="17">
        <f>'[1]AUGUST 2022'!E40</f>
        <v>0</v>
      </c>
      <c r="F808" s="18">
        <f>'[1]AUGUST 2022'!F40</f>
        <v>0</v>
      </c>
      <c r="G808" s="4"/>
      <c r="H808" s="4"/>
    </row>
    <row r="809" spans="1:8" x14ac:dyDescent="0.2">
      <c r="A809" s="23">
        <f>'[1]AUGUST 2022'!A41</f>
        <v>44779</v>
      </c>
      <c r="B809" s="14" t="str">
        <f>'[1]AUGUST 2022'!B41</f>
        <v>Party</v>
      </c>
      <c r="C809" s="16">
        <f>'[1]AUGUST 2022'!C41</f>
        <v>0</v>
      </c>
      <c r="D809" s="16">
        <f>'[1]AUGUST 2022'!D41</f>
        <v>2500</v>
      </c>
      <c r="E809" s="17">
        <f>'[1]AUGUST 2022'!E41</f>
        <v>0</v>
      </c>
      <c r="F809" s="18">
        <f>'[1]AUGUST 2022'!F41</f>
        <v>0</v>
      </c>
      <c r="G809" s="4"/>
      <c r="H809" s="4"/>
    </row>
    <row r="810" spans="1:8" x14ac:dyDescent="0.2">
      <c r="A810" s="20">
        <f>'[1]AUGUST 2022'!A42</f>
        <v>44779</v>
      </c>
      <c r="B810" s="14" t="str">
        <f>'[1]AUGUST 2022'!B42</f>
        <v>VM</v>
      </c>
      <c r="C810" s="16">
        <f>'[1]AUGUST 2022'!C42</f>
        <v>0</v>
      </c>
      <c r="D810" s="16">
        <f>'[1]AUGUST 2022'!D42</f>
        <v>0</v>
      </c>
      <c r="E810" s="17">
        <f>'[1]AUGUST 2022'!E42</f>
        <v>0</v>
      </c>
      <c r="F810" s="18">
        <f>'[1]AUGUST 2022'!F42</f>
        <v>1090</v>
      </c>
      <c r="G810" s="4"/>
      <c r="H810" s="4"/>
    </row>
    <row r="811" spans="1:8" x14ac:dyDescent="0.2">
      <c r="A811" s="20">
        <f>'[1]AUGUST 2022'!A44</f>
        <v>44780</v>
      </c>
      <c r="B811" s="14" t="str">
        <f>'[1]AUGUST 2022'!B44</f>
        <v>Andere</v>
      </c>
      <c r="C811" s="16">
        <f>'[1]AUGUST 2022'!C44</f>
        <v>0</v>
      </c>
      <c r="D811" s="16">
        <f>'[1]AUGUST 2022'!D44</f>
        <v>500</v>
      </c>
      <c r="E811" s="17">
        <f>'[1]AUGUST 2022'!E44</f>
        <v>0</v>
      </c>
      <c r="F811" s="18">
        <f>'[1]AUGUST 2022'!F44</f>
        <v>0</v>
      </c>
      <c r="G811" s="4"/>
      <c r="H811" s="4"/>
    </row>
    <row r="812" spans="1:8" x14ac:dyDescent="0.2">
      <c r="A812" s="23">
        <f>'[1]AUGUST 2022'!A45</f>
        <v>44780</v>
      </c>
      <c r="B812" s="14" t="str">
        <f>'[1]AUGUST 2022'!B45</f>
        <v>LM</v>
      </c>
      <c r="C812" s="16">
        <f>'[1]AUGUST 2022'!C45</f>
        <v>0</v>
      </c>
      <c r="D812" s="16">
        <f>'[1]AUGUST 2022'!D45</f>
        <v>618.69000000000005</v>
      </c>
      <c r="E812" s="17">
        <f>'[1]AUGUST 2022'!E45</f>
        <v>0</v>
      </c>
      <c r="F812" s="18">
        <f>'[1]AUGUST 2022'!F45</f>
        <v>0</v>
      </c>
      <c r="G812" s="4"/>
      <c r="H812" s="4"/>
    </row>
    <row r="813" spans="1:8" x14ac:dyDescent="0.2">
      <c r="A813" s="23">
        <f>'[1]AUGUST 2022'!A51</f>
        <v>44781</v>
      </c>
      <c r="B813" s="14" t="str">
        <f>'[1]AUGUST 2022'!B51</f>
        <v>Party</v>
      </c>
      <c r="C813" s="16">
        <f>'[1]AUGUST 2022'!C51</f>
        <v>0</v>
      </c>
      <c r="D813" s="16">
        <f>'[1]AUGUST 2022'!D51</f>
        <v>238</v>
      </c>
      <c r="E813" s="17">
        <f>'[1]AUGUST 2022'!E51</f>
        <v>0</v>
      </c>
      <c r="F813" s="18">
        <f>'[1]AUGUST 2022'!F51</f>
        <v>0</v>
      </c>
      <c r="G813" s="4"/>
      <c r="H813" s="4"/>
    </row>
    <row r="814" spans="1:8" x14ac:dyDescent="0.2">
      <c r="A814" s="20">
        <f>'[1]AUGUST 2022'!A52</f>
        <v>44781</v>
      </c>
      <c r="B814" s="14" t="str">
        <f>'[1]AUGUST 2022'!B52</f>
        <v>Andere</v>
      </c>
      <c r="C814" s="16">
        <f>'[1]AUGUST 2022'!C52</f>
        <v>0</v>
      </c>
      <c r="D814" s="16">
        <f>'[1]AUGUST 2022'!D52</f>
        <v>130</v>
      </c>
      <c r="E814" s="17">
        <f>'[1]AUGUST 2022'!E52</f>
        <v>0</v>
      </c>
      <c r="F814" s="18">
        <f>'[1]AUGUST 2022'!F52</f>
        <v>0</v>
      </c>
      <c r="G814" s="4"/>
      <c r="H814" s="4"/>
    </row>
    <row r="815" spans="1:8" x14ac:dyDescent="0.2">
      <c r="A815" s="23">
        <f>'[1]AUGUST 2022'!A53</f>
        <v>44781</v>
      </c>
      <c r="B815" s="14" t="str">
        <f>'[1]AUGUST 2022'!B53</f>
        <v>VM</v>
      </c>
      <c r="C815" s="16">
        <f>'[1]AUGUST 2022'!C53</f>
        <v>0</v>
      </c>
      <c r="D815" s="16">
        <f>'[1]AUGUST 2022'!D53</f>
        <v>0</v>
      </c>
      <c r="E815" s="17">
        <f>'[1]AUGUST 2022'!E53</f>
        <v>0</v>
      </c>
      <c r="F815" s="18">
        <f>'[1]AUGUST 2022'!F53</f>
        <v>14</v>
      </c>
      <c r="G815" s="4"/>
      <c r="H815" s="4"/>
    </row>
    <row r="816" spans="1:8" x14ac:dyDescent="0.2">
      <c r="A816" s="20">
        <f>'[1]AUGUST 2022'!A58</f>
        <v>44782</v>
      </c>
      <c r="B816" s="14" t="str">
        <f>'[1]AUGUST 2022'!B58</f>
        <v>LM</v>
      </c>
      <c r="C816" s="16">
        <f>'[1]AUGUST 2022'!C58</f>
        <v>0</v>
      </c>
      <c r="D816" s="16">
        <f>'[1]AUGUST 2022'!D58</f>
        <v>1738.8300000000002</v>
      </c>
      <c r="E816" s="17">
        <f>'[1]AUGUST 2022'!E58</f>
        <v>0</v>
      </c>
      <c r="F816" s="18">
        <f>'[1]AUGUST 2022'!F58</f>
        <v>0</v>
      </c>
      <c r="G816" s="4"/>
      <c r="H816" s="4"/>
    </row>
    <row r="817" spans="1:8" x14ac:dyDescent="0.2">
      <c r="A817" s="23">
        <f>'[1]AUGUST 2022'!A59</f>
        <v>44782</v>
      </c>
      <c r="B817" s="14" t="str">
        <f>'[1]AUGUST 2022'!B59</f>
        <v>Party</v>
      </c>
      <c r="C817" s="16">
        <f>'[1]AUGUST 2022'!C59</f>
        <v>0</v>
      </c>
      <c r="D817" s="16">
        <f>'[1]AUGUST 2022'!D59</f>
        <v>665</v>
      </c>
      <c r="E817" s="17">
        <f>'[1]AUGUST 2022'!E59</f>
        <v>0</v>
      </c>
      <c r="F817" s="18">
        <f>'[1]AUGUST 2022'!F59</f>
        <v>0</v>
      </c>
      <c r="G817" s="4"/>
      <c r="H817" s="4"/>
    </row>
    <row r="818" spans="1:8" x14ac:dyDescent="0.2">
      <c r="A818" s="20">
        <f>'[1]AUGUST 2022'!A60</f>
        <v>44782</v>
      </c>
      <c r="B818" s="14" t="str">
        <f>'[1]AUGUST 2022'!B60</f>
        <v>Rauchen</v>
      </c>
      <c r="C818" s="16">
        <f>'[1]AUGUST 2022'!C60</f>
        <v>0</v>
      </c>
      <c r="D818" s="16">
        <f>'[1]AUGUST 2022'!D60</f>
        <v>140</v>
      </c>
      <c r="E818" s="17">
        <f>'[1]AUGUST 2022'!E60</f>
        <v>0</v>
      </c>
      <c r="F818" s="18">
        <f>'[1]AUGUST 2022'!F60</f>
        <v>0</v>
      </c>
      <c r="G818" s="4"/>
      <c r="H818" s="4"/>
    </row>
    <row r="819" spans="1:8" x14ac:dyDescent="0.2">
      <c r="A819" s="23">
        <f>'[1]AUGUST 2022'!A61</f>
        <v>44782</v>
      </c>
      <c r="B819" s="14" t="str">
        <f>'[1]AUGUST 2022'!B61</f>
        <v>Refill</v>
      </c>
      <c r="C819" s="16">
        <f>'[1]AUGUST 2022'!C61</f>
        <v>57114.57</v>
      </c>
      <c r="D819" s="16">
        <f>'[1]AUGUST 2022'!D61</f>
        <v>0</v>
      </c>
      <c r="E819" s="17">
        <f>'[1]AUGUST 2022'!E61</f>
        <v>0</v>
      </c>
      <c r="F819" s="18">
        <f>'[1]AUGUST 2022'!F61</f>
        <v>0</v>
      </c>
      <c r="G819" s="4"/>
      <c r="H819" s="4"/>
    </row>
    <row r="820" spans="1:8" x14ac:dyDescent="0.2">
      <c r="A820" s="20">
        <f>'[1]AUGUST 2022'!A62</f>
        <v>44782</v>
      </c>
      <c r="B820" s="14" t="str">
        <f>'[1]AUGUST 2022'!B62</f>
        <v>VM</v>
      </c>
      <c r="C820" s="16">
        <f>'[1]AUGUST 2022'!C62</f>
        <v>0</v>
      </c>
      <c r="D820" s="16">
        <f>'[1]AUGUST 2022'!D62</f>
        <v>0</v>
      </c>
      <c r="E820" s="17">
        <f>'[1]AUGUST 2022'!E62</f>
        <v>0</v>
      </c>
      <c r="F820" s="18">
        <f>'[1]AUGUST 2022'!F62</f>
        <v>199</v>
      </c>
      <c r="G820" s="4"/>
      <c r="H820" s="4"/>
    </row>
    <row r="821" spans="1:8" x14ac:dyDescent="0.2">
      <c r="A821" s="23">
        <f>'[1]AUGUST 2022'!A65</f>
        <v>44783</v>
      </c>
      <c r="B821" s="14" t="str">
        <f>'[1]AUGUST 2022'!B65</f>
        <v>LM</v>
      </c>
      <c r="C821" s="16">
        <f>'[1]AUGUST 2022'!C65</f>
        <v>0</v>
      </c>
      <c r="D821" s="16">
        <f>'[1]AUGUST 2022'!D65</f>
        <v>567</v>
      </c>
      <c r="E821" s="17">
        <f>'[1]AUGUST 2022'!E65</f>
        <v>0</v>
      </c>
      <c r="F821" s="18">
        <f>'[1]AUGUST 2022'!F65</f>
        <v>0</v>
      </c>
      <c r="G821" s="4"/>
      <c r="H821" s="4"/>
    </row>
    <row r="822" spans="1:8" x14ac:dyDescent="0.2">
      <c r="A822" s="20">
        <f>'[1]AUGUST 2022'!A66</f>
        <v>44783</v>
      </c>
      <c r="B822" s="14" t="str">
        <f>'[1]AUGUST 2022'!B66</f>
        <v>Frauen</v>
      </c>
      <c r="C822" s="16">
        <f>'[1]AUGUST 2022'!C66</f>
        <v>0</v>
      </c>
      <c r="D822" s="16">
        <f>'[1]AUGUST 2022'!D66</f>
        <v>1540</v>
      </c>
      <c r="E822" s="17">
        <f>'[1]AUGUST 2022'!E66</f>
        <v>0</v>
      </c>
      <c r="F822" s="18">
        <f>'[1]AUGUST 2022'!F66</f>
        <v>0</v>
      </c>
      <c r="G822" s="4"/>
      <c r="H822" s="4"/>
    </row>
    <row r="823" spans="1:8" x14ac:dyDescent="0.2">
      <c r="A823" s="23">
        <f>'[1]AUGUST 2022'!A67</f>
        <v>44783</v>
      </c>
      <c r="B823" s="14" t="str">
        <f>'[1]AUGUST 2022'!B67</f>
        <v>VM</v>
      </c>
      <c r="C823" s="16">
        <f>'[1]AUGUST 2022'!C67</f>
        <v>0</v>
      </c>
      <c r="D823" s="16">
        <f>'[1]AUGUST 2022'!D67</f>
        <v>0</v>
      </c>
      <c r="E823" s="17">
        <f>'[1]AUGUST 2022'!E67</f>
        <v>0</v>
      </c>
      <c r="F823" s="18">
        <f>'[1]AUGUST 2022'!F67</f>
        <v>119</v>
      </c>
      <c r="G823" s="4"/>
      <c r="H823" s="4"/>
    </row>
    <row r="824" spans="1:8" x14ac:dyDescent="0.2">
      <c r="A824" s="20">
        <f>'[1]AUGUST 2022'!A72</f>
        <v>44784</v>
      </c>
      <c r="B824" s="14" t="str">
        <f>'[1]AUGUST 2022'!B72</f>
        <v>Rauchen</v>
      </c>
      <c r="C824" s="16">
        <f>'[1]AUGUST 2022'!C72</f>
        <v>0</v>
      </c>
      <c r="D824" s="16">
        <f>'[1]AUGUST 2022'!D72</f>
        <v>155</v>
      </c>
      <c r="E824" s="17">
        <f>'[1]AUGUST 2022'!E72</f>
        <v>0</v>
      </c>
      <c r="F824" s="18">
        <f>'[1]AUGUST 2022'!F72</f>
        <v>0</v>
      </c>
      <c r="G824" s="4"/>
      <c r="H824" s="4"/>
    </row>
    <row r="825" spans="1:8" x14ac:dyDescent="0.2">
      <c r="A825" s="23">
        <f>'[1]AUGUST 2022'!A73</f>
        <v>44784</v>
      </c>
      <c r="B825" s="14" t="str">
        <f>'[1]AUGUST 2022'!B73</f>
        <v>LM</v>
      </c>
      <c r="C825" s="16">
        <f>'[1]AUGUST 2022'!C73</f>
        <v>0</v>
      </c>
      <c r="D825" s="16">
        <f>'[1]AUGUST 2022'!D73</f>
        <v>582</v>
      </c>
      <c r="E825" s="17">
        <f>'[1]AUGUST 2022'!E73</f>
        <v>0</v>
      </c>
      <c r="F825" s="18">
        <f>'[1]AUGUST 2022'!F73</f>
        <v>0</v>
      </c>
      <c r="G825" s="4"/>
      <c r="H825" s="4"/>
    </row>
    <row r="826" spans="1:8" x14ac:dyDescent="0.2">
      <c r="A826" s="20">
        <f>'[1]AUGUST 2022'!A74</f>
        <v>44784</v>
      </c>
      <c r="B826" s="14" t="str">
        <f>'[1]AUGUST 2022'!B74</f>
        <v>Andere</v>
      </c>
      <c r="C826" s="16">
        <f>'[1]AUGUST 2022'!C74</f>
        <v>0</v>
      </c>
      <c r="D826" s="16">
        <f>'[1]AUGUST 2022'!D74</f>
        <v>599</v>
      </c>
      <c r="E826" s="17">
        <f>'[1]AUGUST 2022'!E74</f>
        <v>0</v>
      </c>
      <c r="F826" s="18">
        <f>'[1]AUGUST 2022'!F74</f>
        <v>0</v>
      </c>
      <c r="G826" s="4"/>
      <c r="H826" s="4"/>
    </row>
    <row r="827" spans="1:8" x14ac:dyDescent="0.2">
      <c r="A827" s="23">
        <f>'[1]AUGUST 2022'!A75</f>
        <v>44784</v>
      </c>
      <c r="B827" s="14" t="str">
        <f>'[1]AUGUST 2022'!B75</f>
        <v>Refill</v>
      </c>
      <c r="C827" s="16">
        <f>'[1]AUGUST 2022'!C75</f>
        <v>30828.080000000002</v>
      </c>
      <c r="D827" s="16">
        <f>'[1]AUGUST 2022'!D75</f>
        <v>726.08</v>
      </c>
      <c r="E827" s="17">
        <f>'[1]AUGUST 2022'!E75</f>
        <v>726.08</v>
      </c>
      <c r="F827" s="18">
        <f>'[1]AUGUST 2022'!F75</f>
        <v>0</v>
      </c>
      <c r="G827" s="4"/>
      <c r="H827" s="4"/>
    </row>
    <row r="828" spans="1:8" x14ac:dyDescent="0.2">
      <c r="A828" s="20">
        <f>'[1]AUGUST 2022'!A76</f>
        <v>44784</v>
      </c>
      <c r="B828" s="14" t="str">
        <f>'[1]AUGUST 2022'!B76</f>
        <v>for me</v>
      </c>
      <c r="C828" s="16">
        <f>'[1]AUGUST 2022'!C76</f>
        <v>0</v>
      </c>
      <c r="D828" s="16">
        <f>'[1]AUGUST 2022'!D76</f>
        <v>2300</v>
      </c>
      <c r="E828" s="17">
        <f>'[1]AUGUST 2022'!E76</f>
        <v>0</v>
      </c>
      <c r="F828" s="18">
        <f>'[1]AUGUST 2022'!F76</f>
        <v>0</v>
      </c>
      <c r="G828" s="4"/>
      <c r="H828" s="4"/>
    </row>
    <row r="829" spans="1:8" x14ac:dyDescent="0.2">
      <c r="A829" s="23">
        <f>'[1]AUGUST 2022'!A77</f>
        <v>44784</v>
      </c>
      <c r="B829" s="14" t="str">
        <f>'[1]AUGUST 2022'!B77</f>
        <v>VM</v>
      </c>
      <c r="C829" s="16">
        <f>'[1]AUGUST 2022'!C77</f>
        <v>0</v>
      </c>
      <c r="D829" s="16">
        <f>'[1]AUGUST 2022'!D77</f>
        <v>0</v>
      </c>
      <c r="E829" s="17">
        <f>'[1]AUGUST 2022'!E77</f>
        <v>0</v>
      </c>
      <c r="F829" s="18">
        <f>'[1]AUGUST 2022'!F77</f>
        <v>468</v>
      </c>
      <c r="G829" s="4"/>
      <c r="H829" s="4"/>
    </row>
    <row r="830" spans="1:8" x14ac:dyDescent="0.2">
      <c r="A830" s="23">
        <f>'[1]AUGUST 2022'!A79</f>
        <v>44785</v>
      </c>
      <c r="B830" s="14" t="str">
        <f>'[1]AUGUST 2022'!B79</f>
        <v>VM</v>
      </c>
      <c r="C830" s="16">
        <f>'[1]AUGUST 2022'!C79</f>
        <v>0</v>
      </c>
      <c r="D830" s="16">
        <f>'[1]AUGUST 2022'!D79</f>
        <v>450</v>
      </c>
      <c r="E830" s="17">
        <f>'[1]AUGUST 2022'!E79</f>
        <v>0</v>
      </c>
      <c r="F830" s="18">
        <f>'[1]AUGUST 2022'!F79</f>
        <v>538</v>
      </c>
      <c r="G830" s="4"/>
      <c r="H830" s="4"/>
    </row>
    <row r="831" spans="1:8" x14ac:dyDescent="0.2">
      <c r="A831" s="20">
        <f>'[1]AUGUST 2022'!A80</f>
        <v>44785</v>
      </c>
      <c r="B831" s="14" t="str">
        <f>'[1]AUGUST 2022'!B80</f>
        <v>LM</v>
      </c>
      <c r="C831" s="16">
        <f>'[1]AUGUST 2022'!C80</f>
        <v>0</v>
      </c>
      <c r="D831" s="16">
        <f>'[1]AUGUST 2022'!D80</f>
        <v>560</v>
      </c>
      <c r="E831" s="17">
        <f>'[1]AUGUST 2022'!E80</f>
        <v>0</v>
      </c>
      <c r="F831" s="18">
        <f>'[1]AUGUST 2022'!F80</f>
        <v>0</v>
      </c>
      <c r="G831" s="4"/>
      <c r="H831" s="4"/>
    </row>
    <row r="832" spans="1:8" x14ac:dyDescent="0.2">
      <c r="A832" s="20">
        <f>'[1]AUGUST 2022'!A86</f>
        <v>44786</v>
      </c>
      <c r="B832" s="14" t="str">
        <f>'[1]AUGUST 2022'!B86</f>
        <v>LM</v>
      </c>
      <c r="C832" s="16">
        <f>'[1]AUGUST 2022'!C86</f>
        <v>0</v>
      </c>
      <c r="D832" s="16">
        <f>'[1]AUGUST 2022'!D86</f>
        <v>1411.39</v>
      </c>
      <c r="E832" s="17">
        <f>'[1]AUGUST 2022'!E86</f>
        <v>0</v>
      </c>
      <c r="F832" s="18">
        <f>'[1]AUGUST 2022'!F86</f>
        <v>0</v>
      </c>
      <c r="G832" s="4"/>
      <c r="H832" s="4"/>
    </row>
    <row r="833" spans="1:8" x14ac:dyDescent="0.2">
      <c r="A833" s="23">
        <f>'[1]AUGUST 2022'!A87</f>
        <v>44786</v>
      </c>
      <c r="B833" s="14" t="str">
        <f>'[1]AUGUST 2022'!B87</f>
        <v>Rauchen</v>
      </c>
      <c r="C833" s="16">
        <f>'[1]AUGUST 2022'!C87</f>
        <v>0</v>
      </c>
      <c r="D833" s="16">
        <f>'[1]AUGUST 2022'!D87</f>
        <v>150</v>
      </c>
      <c r="E833" s="17">
        <f>'[1]AUGUST 2022'!E87</f>
        <v>0</v>
      </c>
      <c r="F833" s="18">
        <f>'[1]AUGUST 2022'!F87</f>
        <v>0</v>
      </c>
      <c r="G833" s="4"/>
      <c r="H833" s="4"/>
    </row>
    <row r="834" spans="1:8" x14ac:dyDescent="0.2">
      <c r="A834" s="20">
        <f>'[1]AUGUST 2022'!A100</f>
        <v>44788</v>
      </c>
      <c r="B834" s="14" t="str">
        <f>'[1]AUGUST 2022'!B100</f>
        <v>Andere</v>
      </c>
      <c r="C834" s="16">
        <f>'[1]AUGUST 2022'!C100</f>
        <v>0</v>
      </c>
      <c r="D834" s="16">
        <f>'[1]AUGUST 2022'!D100</f>
        <v>149</v>
      </c>
      <c r="E834" s="17">
        <f>'[1]AUGUST 2022'!E100</f>
        <v>0</v>
      </c>
      <c r="F834" s="18">
        <f>'[1]AUGUST 2022'!F100</f>
        <v>0</v>
      </c>
      <c r="G834" s="4"/>
      <c r="H834" s="4"/>
    </row>
    <row r="835" spans="1:8" x14ac:dyDescent="0.2">
      <c r="A835" s="23">
        <f>'[1]AUGUST 2022'!A101</f>
        <v>44788</v>
      </c>
      <c r="B835" s="14" t="str">
        <f>'[1]AUGUST 2022'!B101</f>
        <v>Kleidung</v>
      </c>
      <c r="C835" s="16">
        <f>'[1]AUGUST 2022'!C101</f>
        <v>0</v>
      </c>
      <c r="D835" s="16">
        <f>'[1]AUGUST 2022'!D101</f>
        <v>1877</v>
      </c>
      <c r="E835" s="17">
        <f>'[1]AUGUST 2022'!E101</f>
        <v>0</v>
      </c>
      <c r="F835" s="18">
        <f>'[1]AUGUST 2022'!F101</f>
        <v>0</v>
      </c>
      <c r="G835" s="4"/>
      <c r="H835" s="4"/>
    </row>
    <row r="836" spans="1:8" x14ac:dyDescent="0.2">
      <c r="A836" s="20">
        <f>'[1]AUGUST 2022'!A102</f>
        <v>44788</v>
      </c>
      <c r="B836" s="14" t="str">
        <f>'[1]AUGUST 2022'!B102</f>
        <v>Andere</v>
      </c>
      <c r="C836" s="16">
        <f>'[1]AUGUST 2022'!C102</f>
        <v>0</v>
      </c>
      <c r="D836" s="16">
        <f>'[1]AUGUST 2022'!D102</f>
        <v>1520</v>
      </c>
      <c r="E836" s="17">
        <f>'[1]AUGUST 2022'!E102</f>
        <v>0</v>
      </c>
      <c r="F836" s="18">
        <f>'[1]AUGUST 2022'!F102</f>
        <v>0</v>
      </c>
      <c r="G836" s="4"/>
      <c r="H836" s="4"/>
    </row>
    <row r="837" spans="1:8" x14ac:dyDescent="0.2">
      <c r="A837" s="23">
        <f>'[1]AUGUST 2022'!A103</f>
        <v>44788</v>
      </c>
      <c r="B837" s="14" t="str">
        <f>'[1]AUGUST 2022'!B103</f>
        <v>VM</v>
      </c>
      <c r="C837" s="16">
        <f>'[1]AUGUST 2022'!C103</f>
        <v>0</v>
      </c>
      <c r="D837" s="16">
        <f>'[1]AUGUST 2022'!D103</f>
        <v>0</v>
      </c>
      <c r="E837" s="17">
        <f>'[1]AUGUST 2022'!E103</f>
        <v>0</v>
      </c>
      <c r="F837" s="18">
        <f>'[1]AUGUST 2022'!F103</f>
        <v>119</v>
      </c>
      <c r="G837" s="4"/>
      <c r="H837" s="4"/>
    </row>
    <row r="838" spans="1:8" x14ac:dyDescent="0.2">
      <c r="A838" s="23">
        <f>'[1]AUGUST 2022'!A107</f>
        <v>44789</v>
      </c>
      <c r="B838" s="14" t="str">
        <f>'[1]AUGUST 2022'!B107</f>
        <v>Andere</v>
      </c>
      <c r="C838" s="16">
        <f>'[1]AUGUST 2022'!C107</f>
        <v>0</v>
      </c>
      <c r="D838" s="16">
        <f>'[1]AUGUST 2022'!D107</f>
        <v>150</v>
      </c>
      <c r="E838" s="17">
        <f>'[1]AUGUST 2022'!E107</f>
        <v>0</v>
      </c>
      <c r="F838" s="18">
        <f>'[1]AUGUST 2022'!F107</f>
        <v>0</v>
      </c>
      <c r="G838" s="4"/>
      <c r="H838" s="4"/>
    </row>
    <row r="839" spans="1:8" x14ac:dyDescent="0.2">
      <c r="A839" s="20">
        <f>'[1]AUGUST 2022'!A108</f>
        <v>44789</v>
      </c>
      <c r="B839" s="14" t="str">
        <f>'[1]AUGUST 2022'!B108</f>
        <v>none</v>
      </c>
      <c r="C839" s="16">
        <f>'[1]AUGUST 2022'!C108</f>
        <v>0</v>
      </c>
      <c r="D839" s="16">
        <f>'[1]AUGUST 2022'!D108</f>
        <v>500</v>
      </c>
      <c r="E839" s="17">
        <f>'[1]AUGUST 2022'!E108</f>
        <v>500</v>
      </c>
      <c r="F839" s="18">
        <f>'[1]AUGUST 2022'!F108</f>
        <v>0</v>
      </c>
      <c r="G839" s="4"/>
      <c r="H839" s="4"/>
    </row>
    <row r="840" spans="1:8" x14ac:dyDescent="0.2">
      <c r="A840" s="23">
        <f>'[1]AUGUST 2022'!A109</f>
        <v>44789</v>
      </c>
      <c r="B840" s="14" t="str">
        <f>'[1]AUGUST 2022'!B109</f>
        <v>Andere</v>
      </c>
      <c r="C840" s="16">
        <f>'[1]AUGUST 2022'!C109</f>
        <v>0</v>
      </c>
      <c r="D840" s="16">
        <f>'[1]AUGUST 2022'!D109</f>
        <v>849</v>
      </c>
      <c r="E840" s="17">
        <f>'[1]AUGUST 2022'!E109</f>
        <v>0</v>
      </c>
      <c r="F840" s="18">
        <f>'[1]AUGUST 2022'!F109</f>
        <v>0</v>
      </c>
      <c r="G840" s="4"/>
      <c r="H840" s="4"/>
    </row>
    <row r="841" spans="1:8" x14ac:dyDescent="0.2">
      <c r="A841" s="20">
        <f>'[1]AUGUST 2022'!A110</f>
        <v>44789</v>
      </c>
      <c r="B841" s="14" t="str">
        <f>'[1]AUGUST 2022'!B110</f>
        <v>LM</v>
      </c>
      <c r="C841" s="16">
        <f>'[1]AUGUST 2022'!C110</f>
        <v>0</v>
      </c>
      <c r="D841" s="16">
        <f>'[1]AUGUST 2022'!D110</f>
        <v>330</v>
      </c>
      <c r="E841" s="17">
        <f>'[1]AUGUST 2022'!E110</f>
        <v>0</v>
      </c>
      <c r="F841" s="18">
        <f>'[1]AUGUST 2022'!F110</f>
        <v>0</v>
      </c>
      <c r="G841" s="4"/>
      <c r="H841" s="4"/>
    </row>
    <row r="842" spans="1:8" x14ac:dyDescent="0.2">
      <c r="A842" s="23">
        <f>'[1]AUGUST 2022'!A111</f>
        <v>44789</v>
      </c>
      <c r="B842" s="14" t="str">
        <f>'[1]AUGUST 2022'!B111</f>
        <v>Andere</v>
      </c>
      <c r="C842" s="16">
        <f>'[1]AUGUST 2022'!C111</f>
        <v>0</v>
      </c>
      <c r="D842" s="16">
        <f>'[1]AUGUST 2022'!D111</f>
        <v>200</v>
      </c>
      <c r="E842" s="17">
        <f>'[1]AUGUST 2022'!E111</f>
        <v>0</v>
      </c>
      <c r="F842" s="18">
        <f>'[1]AUGUST 2022'!F111</f>
        <v>0</v>
      </c>
      <c r="G842" s="4"/>
      <c r="H842" s="4"/>
    </row>
    <row r="843" spans="1:8" x14ac:dyDescent="0.2">
      <c r="A843" s="20">
        <f>'[1]AUGUST 2022'!A112</f>
        <v>44789</v>
      </c>
      <c r="B843" s="14" t="str">
        <f>'[1]AUGUST 2022'!B112</f>
        <v>VM</v>
      </c>
      <c r="C843" s="16">
        <f>'[1]AUGUST 2022'!C112</f>
        <v>0</v>
      </c>
      <c r="D843" s="16">
        <f>'[1]AUGUST 2022'!D112</f>
        <v>0</v>
      </c>
      <c r="E843" s="17">
        <f>'[1]AUGUST 2022'!E112</f>
        <v>0</v>
      </c>
      <c r="F843" s="18">
        <f>'[1]AUGUST 2022'!F112</f>
        <v>343</v>
      </c>
      <c r="G843" s="4"/>
      <c r="H843" s="4"/>
    </row>
    <row r="844" spans="1:8" x14ac:dyDescent="0.2">
      <c r="A844" s="20">
        <f>'[1]AUGUST 2022'!A114</f>
        <v>44790</v>
      </c>
      <c r="B844" s="14" t="str">
        <f>'[1]AUGUST 2022'!B114</f>
        <v>Rauchen</v>
      </c>
      <c r="C844" s="16">
        <f>'[1]AUGUST 2022'!C114</f>
        <v>0</v>
      </c>
      <c r="D844" s="16">
        <f>'[1]AUGUST 2022'!D114</f>
        <v>150</v>
      </c>
      <c r="E844" s="17">
        <f>'[1]AUGUST 2022'!E114</f>
        <v>0</v>
      </c>
      <c r="F844" s="18">
        <f>'[1]AUGUST 2022'!F114</f>
        <v>0</v>
      </c>
      <c r="G844" s="4"/>
      <c r="H844" s="4"/>
    </row>
    <row r="845" spans="1:8" x14ac:dyDescent="0.2">
      <c r="A845" s="23">
        <f>'[1]AUGUST 2022'!A115</f>
        <v>44790</v>
      </c>
      <c r="B845" s="14" t="str">
        <f>'[1]AUGUST 2022'!B115</f>
        <v>Andere</v>
      </c>
      <c r="C845" s="16">
        <f>'[1]AUGUST 2022'!C115</f>
        <v>0</v>
      </c>
      <c r="D845" s="16">
        <f>'[1]AUGUST 2022'!D115</f>
        <v>100</v>
      </c>
      <c r="E845" s="17">
        <f>'[1]AUGUST 2022'!E115</f>
        <v>0</v>
      </c>
      <c r="F845" s="18">
        <f>'[1]AUGUST 2022'!F115</f>
        <v>0</v>
      </c>
      <c r="G845" s="4"/>
      <c r="H845" s="4"/>
    </row>
    <row r="846" spans="1:8" x14ac:dyDescent="0.2">
      <c r="A846" s="23">
        <f>'[1]AUGUST 2022'!A121</f>
        <v>44791</v>
      </c>
      <c r="B846" s="14" t="str">
        <f>'[1]AUGUST 2022'!B121</f>
        <v>for me</v>
      </c>
      <c r="C846" s="16">
        <f>'[1]AUGUST 2022'!C121</f>
        <v>0</v>
      </c>
      <c r="D846" s="16">
        <f>'[1]AUGUST 2022'!D121</f>
        <v>1600</v>
      </c>
      <c r="E846" s="17">
        <f>'[1]AUGUST 2022'!E121</f>
        <v>0</v>
      </c>
      <c r="F846" s="18">
        <f>'[1]AUGUST 2022'!F121</f>
        <v>0</v>
      </c>
      <c r="G846" s="4"/>
      <c r="H846" s="4"/>
    </row>
    <row r="847" spans="1:8" x14ac:dyDescent="0.2">
      <c r="A847" s="20">
        <f>'[1]AUGUST 2022'!A122</f>
        <v>44791</v>
      </c>
      <c r="B847" s="14" t="str">
        <f>'[1]AUGUST 2022'!B122</f>
        <v>Andere</v>
      </c>
      <c r="C847" s="16">
        <f>'[1]AUGUST 2022'!C122</f>
        <v>0</v>
      </c>
      <c r="D847" s="16">
        <f>'[1]AUGUST 2022'!D122</f>
        <v>377</v>
      </c>
      <c r="E847" s="17">
        <f>'[1]AUGUST 2022'!E122</f>
        <v>0</v>
      </c>
      <c r="F847" s="18">
        <f>'[1]AUGUST 2022'!F122</f>
        <v>0</v>
      </c>
      <c r="G847" s="4"/>
      <c r="H847" s="4"/>
    </row>
    <row r="848" spans="1:8" x14ac:dyDescent="0.2">
      <c r="A848" s="20">
        <f>'[1]AUGUST 2022'!A128</f>
        <v>44792</v>
      </c>
      <c r="B848" s="14" t="str">
        <f>'[1]AUGUST 2022'!B128</f>
        <v>Kleidung</v>
      </c>
      <c r="C848" s="16">
        <f>'[1]AUGUST 2022'!C128</f>
        <v>0</v>
      </c>
      <c r="D848" s="16">
        <f>'[1]AUGUST 2022'!D128</f>
        <v>999</v>
      </c>
      <c r="E848" s="17">
        <f>'[1]AUGUST 2022'!E128</f>
        <v>0</v>
      </c>
      <c r="F848" s="18">
        <f>'[1]AUGUST 2022'!F128</f>
        <v>0</v>
      </c>
      <c r="G848" s="4"/>
      <c r="H848" s="4"/>
    </row>
    <row r="849" spans="1:8" x14ac:dyDescent="0.2">
      <c r="A849" s="23">
        <f>'[1]AUGUST 2022'!A129</f>
        <v>44792</v>
      </c>
      <c r="B849" s="14" t="str">
        <f>'[1]AUGUST 2022'!B129</f>
        <v>Andere</v>
      </c>
      <c r="C849" s="16">
        <f>'[1]AUGUST 2022'!C129</f>
        <v>0</v>
      </c>
      <c r="D849" s="16">
        <f>'[1]AUGUST 2022'!D129</f>
        <v>2100</v>
      </c>
      <c r="E849" s="17">
        <f>'[1]AUGUST 2022'!E129</f>
        <v>0</v>
      </c>
      <c r="F849" s="18">
        <f>'[1]AUGUST 2022'!F129</f>
        <v>0</v>
      </c>
      <c r="G849" s="4"/>
      <c r="H849" s="4"/>
    </row>
    <row r="850" spans="1:8" x14ac:dyDescent="0.2">
      <c r="A850" s="23">
        <f>'[1]AUGUST 2022'!A135</f>
        <v>44793</v>
      </c>
      <c r="B850" s="14" t="str">
        <f>'[1]AUGUST 2022'!B135</f>
        <v>none</v>
      </c>
      <c r="C850" s="16">
        <f>'[1]AUGUST 2022'!C135</f>
        <v>0</v>
      </c>
      <c r="D850" s="16">
        <f>'[1]AUGUST 2022'!D135</f>
        <v>1000</v>
      </c>
      <c r="E850" s="17">
        <f>'[1]AUGUST 2022'!E135</f>
        <v>1000</v>
      </c>
      <c r="F850" s="18">
        <f>'[1]AUGUST 2022'!F135</f>
        <v>0</v>
      </c>
      <c r="G850" s="4"/>
      <c r="H850" s="4"/>
    </row>
    <row r="851" spans="1:8" x14ac:dyDescent="0.2">
      <c r="A851" s="20">
        <f>'[1]AUGUST 2022'!A136</f>
        <v>44793</v>
      </c>
      <c r="B851" s="14" t="str">
        <f>'[1]AUGUST 2022'!B136</f>
        <v>for me</v>
      </c>
      <c r="C851" s="16">
        <f>'[1]AUGUST 2022'!C136</f>
        <v>0</v>
      </c>
      <c r="D851" s="16">
        <f>'[1]AUGUST 2022'!D136</f>
        <v>1800</v>
      </c>
      <c r="E851" s="17">
        <f>'[1]AUGUST 2022'!E136</f>
        <v>0</v>
      </c>
      <c r="F851" s="18">
        <f>'[1]AUGUST 2022'!F136</f>
        <v>0</v>
      </c>
      <c r="G851" s="4"/>
      <c r="H851" s="4"/>
    </row>
    <row r="852" spans="1:8" x14ac:dyDescent="0.2">
      <c r="A852" s="23">
        <f>'[1]AUGUST 2022'!A137</f>
        <v>44793</v>
      </c>
      <c r="B852" s="14" t="str">
        <f>'[1]AUGUST 2022'!B137</f>
        <v>Party</v>
      </c>
      <c r="C852" s="16">
        <f>'[1]AUGUST 2022'!C137</f>
        <v>0</v>
      </c>
      <c r="D852" s="16">
        <f>'[1]AUGUST 2022'!D137</f>
        <v>8410</v>
      </c>
      <c r="E852" s="17">
        <f>'[1]AUGUST 2022'!E137</f>
        <v>0</v>
      </c>
      <c r="F852" s="18">
        <f>'[1]AUGUST 2022'!F137</f>
        <v>0</v>
      </c>
      <c r="G852" s="4"/>
      <c r="H852" s="4"/>
    </row>
    <row r="853" spans="1:8" x14ac:dyDescent="0.2">
      <c r="A853" s="20">
        <f>'[1]AUGUST 2022'!A138</f>
        <v>44793</v>
      </c>
      <c r="B853" s="14" t="str">
        <f>'[1]AUGUST 2022'!B138</f>
        <v>LM</v>
      </c>
      <c r="C853" s="16">
        <f>'[1]AUGUST 2022'!C138</f>
        <v>0</v>
      </c>
      <c r="D853" s="16">
        <f>'[1]AUGUST 2022'!D138</f>
        <v>219.99</v>
      </c>
      <c r="E853" s="17">
        <f>'[1]AUGUST 2022'!E138</f>
        <v>0</v>
      </c>
      <c r="F853" s="18">
        <f>'[1]AUGUST 2022'!F138</f>
        <v>0</v>
      </c>
      <c r="G853" s="4"/>
      <c r="H853" s="4"/>
    </row>
    <row r="854" spans="1:8" x14ac:dyDescent="0.2">
      <c r="A854" s="23">
        <f>'[1]AUGUST 2022'!A139</f>
        <v>44793</v>
      </c>
      <c r="B854" s="14" t="str">
        <f>'[1]AUGUST 2022'!B139</f>
        <v>VM</v>
      </c>
      <c r="C854" s="16">
        <f>'[1]AUGUST 2022'!C139</f>
        <v>0</v>
      </c>
      <c r="D854" s="16">
        <f>'[1]AUGUST 2022'!D139</f>
        <v>0</v>
      </c>
      <c r="E854" s="17">
        <f>'[1]AUGUST 2022'!E139</f>
        <v>0</v>
      </c>
      <c r="F854" s="18">
        <f>'[1]AUGUST 2022'!F139</f>
        <v>400</v>
      </c>
      <c r="G854" s="4"/>
      <c r="H854" s="4"/>
    </row>
    <row r="855" spans="1:8" x14ac:dyDescent="0.2">
      <c r="A855" s="20">
        <f>'[1]AUGUST 2022'!A142</f>
        <v>44794</v>
      </c>
      <c r="B855" s="14" t="str">
        <f>'[1]AUGUST 2022'!B142</f>
        <v>LM</v>
      </c>
      <c r="C855" s="16">
        <f>'[1]AUGUST 2022'!C142</f>
        <v>0</v>
      </c>
      <c r="D855" s="16">
        <f>'[1]AUGUST 2022'!D142</f>
        <v>355</v>
      </c>
      <c r="E855" s="17">
        <f>'[1]AUGUST 2022'!E142</f>
        <v>0</v>
      </c>
      <c r="F855" s="18">
        <f>'[1]AUGUST 2022'!F142</f>
        <v>0</v>
      </c>
      <c r="G855" s="4"/>
      <c r="H855" s="4"/>
    </row>
    <row r="856" spans="1:8" x14ac:dyDescent="0.2">
      <c r="A856" s="23">
        <f>'[1]AUGUST 2022'!A149</f>
        <v>44795</v>
      </c>
      <c r="B856" s="14" t="str">
        <f>'[1]AUGUST 2022'!B149</f>
        <v>Andere</v>
      </c>
      <c r="C856" s="16">
        <f>'[1]AUGUST 2022'!C149</f>
        <v>0</v>
      </c>
      <c r="D856" s="16">
        <f>'[1]AUGUST 2022'!D149</f>
        <v>203.9</v>
      </c>
      <c r="E856" s="17">
        <f>'[1]AUGUST 2022'!E149</f>
        <v>0</v>
      </c>
      <c r="F856" s="18">
        <f>'[1]AUGUST 2022'!F149</f>
        <v>0</v>
      </c>
      <c r="G856" s="4"/>
      <c r="H856" s="4"/>
    </row>
    <row r="857" spans="1:8" x14ac:dyDescent="0.2">
      <c r="A857" s="20">
        <f>'[1]AUGUST 2022'!A156</f>
        <v>44796</v>
      </c>
      <c r="B857" s="14" t="str">
        <f>'[1]AUGUST 2022'!B156</f>
        <v>for me</v>
      </c>
      <c r="C857" s="16">
        <f>'[1]AUGUST 2022'!C156</f>
        <v>0</v>
      </c>
      <c r="D857" s="16">
        <f>'[1]AUGUST 2022'!D156</f>
        <v>100</v>
      </c>
      <c r="E857" s="17">
        <f>'[1]AUGUST 2022'!E156</f>
        <v>0</v>
      </c>
      <c r="F857" s="18">
        <f>'[1]AUGUST 2022'!F156</f>
        <v>0</v>
      </c>
      <c r="G857" s="4"/>
      <c r="H857" s="4"/>
    </row>
    <row r="858" spans="1:8" x14ac:dyDescent="0.2">
      <c r="A858" s="23">
        <f>'[1]AUGUST 2022'!A157</f>
        <v>44796</v>
      </c>
      <c r="B858" s="14" t="str">
        <f>'[1]AUGUST 2022'!B157</f>
        <v>Andere</v>
      </c>
      <c r="C858" s="16">
        <f>'[1]AUGUST 2022'!C157</f>
        <v>0</v>
      </c>
      <c r="D858" s="16">
        <f>'[1]AUGUST 2022'!D157</f>
        <v>4190</v>
      </c>
      <c r="E858" s="17">
        <f>'[1]AUGUST 2022'!E157</f>
        <v>0</v>
      </c>
      <c r="F858" s="18">
        <f>'[1]AUGUST 2022'!F157</f>
        <v>0</v>
      </c>
      <c r="G858" s="4"/>
      <c r="H858" s="4"/>
    </row>
    <row r="859" spans="1:8" x14ac:dyDescent="0.2">
      <c r="A859" s="20">
        <f>'[1]AUGUST 2022'!A158</f>
        <v>44796</v>
      </c>
      <c r="B859" s="14" t="str">
        <f>'[1]AUGUST 2022'!B158</f>
        <v>LM</v>
      </c>
      <c r="C859" s="16">
        <f>'[1]AUGUST 2022'!C158</f>
        <v>0</v>
      </c>
      <c r="D859" s="16">
        <f>'[1]AUGUST 2022'!D158</f>
        <v>275.98</v>
      </c>
      <c r="E859" s="17">
        <f>'[1]AUGUST 2022'!E158</f>
        <v>0</v>
      </c>
      <c r="F859" s="18">
        <f>'[1]AUGUST 2022'!F158</f>
        <v>0</v>
      </c>
      <c r="G859" s="4"/>
      <c r="H859" s="4"/>
    </row>
    <row r="860" spans="1:8" x14ac:dyDescent="0.2">
      <c r="A860" s="23">
        <f>'[1]AUGUST 2022'!A163</f>
        <v>44797</v>
      </c>
      <c r="B860" s="14" t="str">
        <f>'[1]AUGUST 2022'!B163</f>
        <v>LM</v>
      </c>
      <c r="C860" s="16">
        <f>'[1]AUGUST 2022'!C163</f>
        <v>0</v>
      </c>
      <c r="D860" s="16">
        <f>'[1]AUGUST 2022'!D163</f>
        <v>3160</v>
      </c>
      <c r="E860" s="17">
        <f>'[1]AUGUST 2022'!E163</f>
        <v>0</v>
      </c>
      <c r="F860" s="18">
        <f>'[1]AUGUST 2022'!F163</f>
        <v>0</v>
      </c>
      <c r="G860" s="4"/>
      <c r="H860" s="4"/>
    </row>
    <row r="861" spans="1:8" x14ac:dyDescent="0.2">
      <c r="A861" s="20">
        <f>'[1]AUGUST 2022'!A164</f>
        <v>44797</v>
      </c>
      <c r="B861" s="14" t="str">
        <f>'[1]AUGUST 2022'!B164</f>
        <v>Refill</v>
      </c>
      <c r="C861" s="16">
        <f>'[1]AUGUST 2022'!C164</f>
        <v>31320</v>
      </c>
      <c r="D861" s="16">
        <f>'[1]AUGUST 2022'!D164</f>
        <v>0</v>
      </c>
      <c r="E861" s="17">
        <f>'[1]AUGUST 2022'!E164</f>
        <v>0</v>
      </c>
      <c r="F861" s="18">
        <f>'[1]AUGUST 2022'!F164</f>
        <v>0</v>
      </c>
      <c r="G861" s="4"/>
      <c r="H861" s="4"/>
    </row>
    <row r="862" spans="1:8" x14ac:dyDescent="0.2">
      <c r="A862" s="20">
        <f>'[1]AUGUST 2022'!A170</f>
        <v>44798</v>
      </c>
      <c r="B862" s="14" t="str">
        <f>'[1]AUGUST 2022'!B170</f>
        <v>LM</v>
      </c>
      <c r="C862" s="16">
        <f>'[1]AUGUST 2022'!C170</f>
        <v>0</v>
      </c>
      <c r="D862" s="16">
        <f>'[1]AUGUST 2022'!D170</f>
        <v>200</v>
      </c>
      <c r="E862" s="17">
        <f>'[1]AUGUST 2022'!E170</f>
        <v>0</v>
      </c>
      <c r="F862" s="18">
        <f>'[1]AUGUST 2022'!F170</f>
        <v>0</v>
      </c>
      <c r="G862" s="4"/>
      <c r="H862" s="4"/>
    </row>
    <row r="863" spans="1:8" x14ac:dyDescent="0.2">
      <c r="A863" s="23">
        <f>'[1]AUGUST 2022'!A171</f>
        <v>44798</v>
      </c>
      <c r="B863" s="14" t="str">
        <f>'[1]AUGUST 2022'!B171</f>
        <v>for me</v>
      </c>
      <c r="C863" s="16">
        <f>'[1]AUGUST 2022'!C171</f>
        <v>0</v>
      </c>
      <c r="D863" s="16">
        <f>'[1]AUGUST 2022'!D171</f>
        <v>2446.8000000000002</v>
      </c>
      <c r="E863" s="17">
        <f>'[1]AUGUST 2022'!E171</f>
        <v>0</v>
      </c>
      <c r="F863" s="18">
        <f>'[1]AUGUST 2022'!F171</f>
        <v>0</v>
      </c>
      <c r="G863" s="4"/>
      <c r="H863" s="4"/>
    </row>
    <row r="864" spans="1:8" x14ac:dyDescent="0.2">
      <c r="A864" s="20">
        <f>'[1]AUGUST 2022'!A172</f>
        <v>44798</v>
      </c>
      <c r="B864" s="14" t="str">
        <f>'[1]AUGUST 2022'!B172</f>
        <v>Andere</v>
      </c>
      <c r="C864" s="16">
        <f>'[1]AUGUST 2022'!C172</f>
        <v>0</v>
      </c>
      <c r="D864" s="16">
        <f>'[1]AUGUST 2022'!D172</f>
        <v>560</v>
      </c>
      <c r="E864" s="17">
        <f>'[1]AUGUST 2022'!E172</f>
        <v>0</v>
      </c>
      <c r="F864" s="18">
        <f>'[1]AUGUST 2022'!F172</f>
        <v>0</v>
      </c>
      <c r="G864" s="4"/>
      <c r="H864" s="4"/>
    </row>
    <row r="865" spans="1:8" x14ac:dyDescent="0.2">
      <c r="A865" s="23">
        <f>'[1]AUGUST 2022'!A173</f>
        <v>44798</v>
      </c>
      <c r="B865" s="14" t="str">
        <f>'[1]AUGUST 2022'!B173</f>
        <v>VM</v>
      </c>
      <c r="C865" s="16">
        <f>'[1]AUGUST 2022'!C173</f>
        <v>0</v>
      </c>
      <c r="D865" s="16">
        <f>'[1]AUGUST 2022'!D173</f>
        <v>0</v>
      </c>
      <c r="E865" s="17">
        <f>'[1]AUGUST 2022'!E173</f>
        <v>0</v>
      </c>
      <c r="F865" s="18">
        <f>'[1]AUGUST 2022'!F173</f>
        <v>366</v>
      </c>
      <c r="G865" s="4"/>
      <c r="H865" s="4"/>
    </row>
    <row r="866" spans="1:8" x14ac:dyDescent="0.2">
      <c r="A866" s="23">
        <f>'[1]AUGUST 2022'!A177</f>
        <v>44799</v>
      </c>
      <c r="B866" s="14" t="str">
        <f>'[1]AUGUST 2022'!B177</f>
        <v>for me</v>
      </c>
      <c r="C866" s="16">
        <f>'[1]AUGUST 2022'!C177</f>
        <v>0</v>
      </c>
      <c r="D866" s="16">
        <f>'[1]AUGUST 2022'!D177</f>
        <v>900</v>
      </c>
      <c r="E866" s="17">
        <f>'[1]AUGUST 2022'!E177</f>
        <v>0</v>
      </c>
      <c r="F866" s="18">
        <f>'[1]AUGUST 2022'!F177</f>
        <v>0</v>
      </c>
      <c r="G866" s="4"/>
      <c r="H866" s="4"/>
    </row>
    <row r="867" spans="1:8" x14ac:dyDescent="0.2">
      <c r="A867" s="20">
        <f>'[1]AUGUST 2022'!A184</f>
        <v>44800</v>
      </c>
      <c r="B867" s="14" t="str">
        <f>'[1]AUGUST 2022'!B184</f>
        <v>VM</v>
      </c>
      <c r="C867" s="16">
        <f>'[1]AUGUST 2022'!C184</f>
        <v>500</v>
      </c>
      <c r="D867" s="16">
        <f>'[1]AUGUST 2022'!D184</f>
        <v>450</v>
      </c>
      <c r="E867" s="17">
        <f>'[1]AUGUST 2022'!E184</f>
        <v>0</v>
      </c>
      <c r="F867" s="18">
        <f>'[1]AUGUST 2022'!F184</f>
        <v>0</v>
      </c>
      <c r="G867" s="4"/>
      <c r="H867" s="4"/>
    </row>
    <row r="868" spans="1:8" x14ac:dyDescent="0.2">
      <c r="A868" s="23">
        <f>'[1]AUGUST 2022'!A185</f>
        <v>44800</v>
      </c>
      <c r="B868" s="14" t="str">
        <f>'[1]AUGUST 2022'!B185</f>
        <v>Rauchen</v>
      </c>
      <c r="C868" s="16">
        <f>'[1]AUGUST 2022'!C185</f>
        <v>0</v>
      </c>
      <c r="D868" s="16">
        <f>'[1]AUGUST 2022'!D185</f>
        <v>150</v>
      </c>
      <c r="E868" s="17">
        <f>'[1]AUGUST 2022'!E185</f>
        <v>0</v>
      </c>
      <c r="F868" s="18">
        <f>'[1]AUGUST 2022'!F185</f>
        <v>0</v>
      </c>
      <c r="G868" s="4"/>
      <c r="H868" s="4"/>
    </row>
    <row r="869" spans="1:8" x14ac:dyDescent="0.2">
      <c r="A869" s="20">
        <f>'[1]AUGUST 2022'!A186</f>
        <v>44800</v>
      </c>
      <c r="B869" s="14" t="str">
        <f>'[1]AUGUST 2022'!B186</f>
        <v>LM</v>
      </c>
      <c r="C869" s="16">
        <f>'[1]AUGUST 2022'!C186</f>
        <v>0</v>
      </c>
      <c r="D869" s="16">
        <f>'[1]AUGUST 2022'!D186</f>
        <v>1145.3399999999999</v>
      </c>
      <c r="E869" s="17">
        <f>'[1]AUGUST 2022'!E186</f>
        <v>0</v>
      </c>
      <c r="F869" s="18">
        <f>'[1]AUGUST 2022'!F186</f>
        <v>0</v>
      </c>
      <c r="G869" s="4"/>
      <c r="H869" s="4"/>
    </row>
    <row r="870" spans="1:8" x14ac:dyDescent="0.2">
      <c r="A870" s="23">
        <f>'[1]AUGUST 2022'!A191</f>
        <v>44801</v>
      </c>
      <c r="B870" s="14" t="str">
        <f>'[1]AUGUST 2022'!B191</f>
        <v>Andere</v>
      </c>
      <c r="C870" s="16">
        <f>'[1]AUGUST 2022'!C191</f>
        <v>0</v>
      </c>
      <c r="D870" s="16">
        <f>'[1]AUGUST 2022'!D191</f>
        <v>20</v>
      </c>
      <c r="E870" s="17">
        <f>'[1]AUGUST 2022'!E191</f>
        <v>0</v>
      </c>
      <c r="F870" s="18">
        <f>'[1]AUGUST 2022'!F191</f>
        <v>0</v>
      </c>
      <c r="G870" s="4"/>
      <c r="H870" s="4"/>
    </row>
    <row r="871" spans="1:8" x14ac:dyDescent="0.2">
      <c r="A871" s="20">
        <f>'[1]AUGUST 2022'!A192</f>
        <v>44801</v>
      </c>
      <c r="B871" s="14" t="str">
        <f>'[1]AUGUST 2022'!B192</f>
        <v>none</v>
      </c>
      <c r="C871" s="16">
        <f>'[1]AUGUST 2022'!C192</f>
        <v>0</v>
      </c>
      <c r="D871" s="16">
        <f>'[1]AUGUST 2022'!D192</f>
        <v>1000</v>
      </c>
      <c r="E871" s="17">
        <f>'[1]AUGUST 2022'!E192</f>
        <v>1000</v>
      </c>
      <c r="F871" s="18">
        <f>'[1]AUGUST 2022'!F192</f>
        <v>0</v>
      </c>
      <c r="G871" s="4"/>
      <c r="H871" s="4"/>
    </row>
    <row r="872" spans="1:8" x14ac:dyDescent="0.2">
      <c r="A872" s="23">
        <f>'[1]AUGUST 2022'!A193</f>
        <v>44801</v>
      </c>
      <c r="B872" s="14" t="str">
        <f>'[1]AUGUST 2022'!B193</f>
        <v>VM</v>
      </c>
      <c r="C872" s="16">
        <f>'[1]AUGUST 2022'!C193</f>
        <v>0</v>
      </c>
      <c r="D872" s="16">
        <f>'[1]AUGUST 2022'!D193</f>
        <v>600</v>
      </c>
      <c r="E872" s="17">
        <f>'[1]AUGUST 2022'!E193</f>
        <v>0</v>
      </c>
      <c r="F872" s="18">
        <f>'[1]AUGUST 2022'!F193</f>
        <v>579</v>
      </c>
      <c r="G872" s="4"/>
      <c r="H872" s="4"/>
    </row>
    <row r="873" spans="1:8" x14ac:dyDescent="0.2">
      <c r="A873" s="20">
        <f>'[1]AUGUST 2022'!A198</f>
        <v>44802</v>
      </c>
      <c r="B873" s="14" t="str">
        <f>'[1]AUGUST 2022'!B198</f>
        <v>LM</v>
      </c>
      <c r="C873" s="16">
        <f>'[1]AUGUST 2022'!C198</f>
        <v>0</v>
      </c>
      <c r="D873" s="16">
        <f>'[1]AUGUST 2022'!D198</f>
        <v>360</v>
      </c>
      <c r="E873" s="17">
        <f>'[1]AUGUST 2022'!E198</f>
        <v>0</v>
      </c>
      <c r="F873" s="18">
        <f>'[1]AUGUST 2022'!F198</f>
        <v>0</v>
      </c>
      <c r="G873" s="4"/>
      <c r="H873" s="4"/>
    </row>
    <row r="874" spans="1:8" x14ac:dyDescent="0.2">
      <c r="A874" s="23">
        <f>'[1]AUGUST 2022'!A199</f>
        <v>44802</v>
      </c>
      <c r="B874" s="14" t="str">
        <f>'[1]AUGUST 2022'!B199</f>
        <v>VM</v>
      </c>
      <c r="C874" s="16">
        <f>'[1]AUGUST 2022'!C199</f>
        <v>0</v>
      </c>
      <c r="D874" s="16">
        <f>'[1]AUGUST 2022'!D199</f>
        <v>0</v>
      </c>
      <c r="E874" s="17">
        <f>'[1]AUGUST 2022'!E199</f>
        <v>0</v>
      </c>
      <c r="F874" s="18">
        <f>'[1]AUGUST 2022'!F199</f>
        <v>130.88</v>
      </c>
      <c r="G874" s="4"/>
      <c r="H874" s="4"/>
    </row>
    <row r="875" spans="1:8" x14ac:dyDescent="0.2">
      <c r="A875" s="23">
        <f>'[1]AUGUST 2022'!A205</f>
        <v>44803</v>
      </c>
      <c r="B875" s="14" t="str">
        <f>'[1]AUGUST 2022'!B205</f>
        <v>LM</v>
      </c>
      <c r="C875" s="16">
        <f>'[1]AUGUST 2022'!C205</f>
        <v>0</v>
      </c>
      <c r="D875" s="16">
        <f>'[1]AUGUST 2022'!D205</f>
        <v>570</v>
      </c>
      <c r="E875" s="17">
        <f>'[1]AUGUST 2022'!E205</f>
        <v>0</v>
      </c>
      <c r="F875" s="18">
        <f>'[1]AUGUST 2022'!F205</f>
        <v>0</v>
      </c>
      <c r="G875" s="4"/>
      <c r="H875" s="4"/>
    </row>
    <row r="876" spans="1:8" x14ac:dyDescent="0.2">
      <c r="A876" s="20">
        <f>'[1]AUGUST 2022'!A206</f>
        <v>44803</v>
      </c>
      <c r="B876" s="14" t="str">
        <f>'[1]AUGUST 2022'!B206</f>
        <v>Rauchen</v>
      </c>
      <c r="C876" s="16">
        <f>'[1]AUGUST 2022'!C206</f>
        <v>0</v>
      </c>
      <c r="D876" s="16">
        <f>'[1]AUGUST 2022'!D206</f>
        <v>165</v>
      </c>
      <c r="E876" s="17">
        <f>'[1]AUGUST 2022'!E206</f>
        <v>0</v>
      </c>
      <c r="F876" s="18">
        <f>'[1]AUGUST 2022'!F206</f>
        <v>0</v>
      </c>
      <c r="G876" s="4"/>
      <c r="H876" s="4"/>
    </row>
    <row r="877" spans="1:8" x14ac:dyDescent="0.2">
      <c r="A877" s="23">
        <f>'[1]AUGUST 2022'!A207</f>
        <v>44803</v>
      </c>
      <c r="B877" s="14" t="str">
        <f>'[1]AUGUST 2022'!B207</f>
        <v>Party</v>
      </c>
      <c r="C877" s="16">
        <f>'[1]AUGUST 2022'!C207</f>
        <v>0</v>
      </c>
      <c r="D877" s="16">
        <f>'[1]AUGUST 2022'!D207</f>
        <v>5186</v>
      </c>
      <c r="E877" s="17">
        <f>'[1]AUGUST 2022'!E207</f>
        <v>0</v>
      </c>
      <c r="F877" s="18">
        <f>'[1]AUGUST 2022'!F207</f>
        <v>0</v>
      </c>
      <c r="G877" s="4"/>
      <c r="H877" s="4"/>
    </row>
    <row r="878" spans="1:8" x14ac:dyDescent="0.2">
      <c r="A878" s="20">
        <f>'[1]AUGUST 2022'!A208</f>
        <v>44803</v>
      </c>
      <c r="B878" s="14" t="str">
        <f>'[1]AUGUST 2022'!B208</f>
        <v>VM</v>
      </c>
      <c r="C878" s="16">
        <f>'[1]AUGUST 2022'!C208</f>
        <v>0</v>
      </c>
      <c r="D878" s="16">
        <f>'[1]AUGUST 2022'!D208</f>
        <v>0</v>
      </c>
      <c r="E878" s="17">
        <f>'[1]AUGUST 2022'!E208</f>
        <v>0</v>
      </c>
      <c r="F878" s="18">
        <f>'[1]AUGUST 2022'!F208</f>
        <v>24.87</v>
      </c>
      <c r="G878" s="4"/>
      <c r="H878" s="4"/>
    </row>
    <row r="879" spans="1:8" x14ac:dyDescent="0.2">
      <c r="A879" s="20">
        <f>'[1]AUGUST 2022'!A212</f>
        <v>44804</v>
      </c>
      <c r="B879" s="14" t="str">
        <f>'[1]AUGUST 2022'!B212</f>
        <v>Andere</v>
      </c>
      <c r="C879" s="16">
        <f>'[1]AUGUST 2022'!C212</f>
        <v>0</v>
      </c>
      <c r="D879" s="16">
        <f>'[1]AUGUST 2022'!D212</f>
        <v>2000</v>
      </c>
      <c r="E879" s="17">
        <f>'[1]AUGUST 2022'!E212</f>
        <v>0</v>
      </c>
      <c r="F879" s="18">
        <f>'[1]AUGUST 2022'!F212</f>
        <v>0</v>
      </c>
      <c r="G879" s="4"/>
      <c r="H879" s="4"/>
    </row>
    <row r="880" spans="1:8" x14ac:dyDescent="0.2">
      <c r="A880" s="23">
        <f>'[1]AUGUST 2022'!A213</f>
        <v>44804</v>
      </c>
      <c r="B880" s="14" t="str">
        <f>'[1]AUGUST 2022'!B213</f>
        <v>Frauen</v>
      </c>
      <c r="C880" s="16">
        <f>'[1]AUGUST 2022'!C213</f>
        <v>0</v>
      </c>
      <c r="D880" s="16">
        <f>'[1]AUGUST 2022'!D213</f>
        <v>930</v>
      </c>
      <c r="E880" s="17">
        <f>'[1]AUGUST 2022'!E213</f>
        <v>0</v>
      </c>
      <c r="F880" s="18">
        <f>'[1]AUGUST 2022'!F213</f>
        <v>0</v>
      </c>
      <c r="G880" s="4"/>
      <c r="H880" s="4"/>
    </row>
    <row r="881" spans="1:8" x14ac:dyDescent="0.2">
      <c r="A881" s="20">
        <f>'[1]AUGUST 2022'!A214</f>
        <v>44804</v>
      </c>
      <c r="B881" s="14" t="str">
        <f>'[1]AUGUST 2022'!B214</f>
        <v>Refill</v>
      </c>
      <c r="C881" s="16">
        <f>'[1]AUGUST 2022'!C214</f>
        <v>1460.82</v>
      </c>
      <c r="D881" s="16">
        <f>'[1]AUGUST 2022'!D214</f>
        <v>0</v>
      </c>
      <c r="E881" s="17">
        <f>'[1]AUGUST 2022'!E214</f>
        <v>0</v>
      </c>
      <c r="F881" s="18">
        <f>'[1]AUGUST 2022'!F214</f>
        <v>0</v>
      </c>
      <c r="G881" s="4"/>
      <c r="H881" s="4"/>
    </row>
    <row r="882" spans="1:8" x14ac:dyDescent="0.2">
      <c r="A882" s="23">
        <f>'[1]AUGUST 2022'!A215</f>
        <v>44804</v>
      </c>
      <c r="B882" s="14" t="str">
        <f>'[1]AUGUST 2022'!B215</f>
        <v>none</v>
      </c>
      <c r="C882" s="16">
        <f>'[1]AUGUST 2022'!C215</f>
        <v>16</v>
      </c>
      <c r="D882" s="16">
        <f>'[1]AUGUST 2022'!D215</f>
        <v>0</v>
      </c>
      <c r="E882" s="17">
        <f>'[1]AUGUST 2022'!E215</f>
        <v>0</v>
      </c>
      <c r="F882" s="18">
        <f>'[1]AUGUST 2022'!F215</f>
        <v>0</v>
      </c>
      <c r="G882" s="4"/>
      <c r="H882" s="4"/>
    </row>
    <row r="883" spans="1:8" x14ac:dyDescent="0.2">
      <c r="A883" s="20">
        <f>'[1]AUGUST 2022'!A216</f>
        <v>44804</v>
      </c>
      <c r="B883" s="14" t="str">
        <f>'[1]AUGUST 2022'!B216</f>
        <v>VM</v>
      </c>
      <c r="C883" s="16">
        <f>'[1]AUGUST 2022'!C216</f>
        <v>0</v>
      </c>
      <c r="D883" s="16">
        <f>'[1]AUGUST 2022'!D216</f>
        <v>0</v>
      </c>
      <c r="E883" s="17">
        <f>'[1]AUGUST 2022'!E216</f>
        <v>0</v>
      </c>
      <c r="F883" s="18">
        <f>'[1]AUGUST 2022'!F216</f>
        <v>53.49</v>
      </c>
      <c r="G883" s="4"/>
      <c r="H883" s="4"/>
    </row>
    <row r="884" spans="1:8" x14ac:dyDescent="0.2">
      <c r="A884" s="23">
        <f>'[1]SEPTEMBER 2022'!A2</f>
        <v>44805</v>
      </c>
      <c r="B884" s="14" t="str">
        <f>'[1]SEPTEMBER 2022'!B2</f>
        <v>LM</v>
      </c>
      <c r="C884" s="16">
        <f>'[1]SEPTEMBER 2022'!C2</f>
        <v>0</v>
      </c>
      <c r="D884" s="16">
        <f>'[1]SEPTEMBER 2022'!D2</f>
        <v>704.94</v>
      </c>
      <c r="E884" s="17">
        <f>'[1]SEPTEMBER 2022'!E2</f>
        <v>0</v>
      </c>
      <c r="F884" s="18">
        <f>'[1]SEPTEMBER 2022'!F2</f>
        <v>0</v>
      </c>
      <c r="G884" s="4"/>
      <c r="H884" s="4"/>
    </row>
    <row r="885" spans="1:8" x14ac:dyDescent="0.2">
      <c r="A885" s="20">
        <f>'[1]SEPTEMBER 2022'!A3</f>
        <v>44805</v>
      </c>
      <c r="B885" s="14" t="str">
        <f>'[1]SEPTEMBER 2022'!B3</f>
        <v>LM</v>
      </c>
      <c r="C885" s="16">
        <f>'[1]SEPTEMBER 2022'!C3</f>
        <v>0</v>
      </c>
      <c r="D885" s="16">
        <f>'[1]SEPTEMBER 2022'!D3</f>
        <v>700.49</v>
      </c>
      <c r="E885" s="17">
        <f>'[1]SEPTEMBER 2022'!E3</f>
        <v>0</v>
      </c>
      <c r="F885" s="18">
        <f>'[1]SEPTEMBER 2022'!F3</f>
        <v>0</v>
      </c>
      <c r="G885" s="4"/>
      <c r="H885" s="4"/>
    </row>
    <row r="886" spans="1:8" x14ac:dyDescent="0.2">
      <c r="A886" s="23">
        <f>'[1]SEPTEMBER 2022'!A4</f>
        <v>44805</v>
      </c>
      <c r="B886" s="14" t="str">
        <f>'[1]SEPTEMBER 2022'!B4</f>
        <v>VM</v>
      </c>
      <c r="C886" s="16">
        <f>'[1]SEPTEMBER 2022'!C4</f>
        <v>0</v>
      </c>
      <c r="D886" s="16">
        <f>'[1]SEPTEMBER 2022'!D4</f>
        <v>0</v>
      </c>
      <c r="E886" s="17">
        <f>'[1]SEPTEMBER 2022'!E4</f>
        <v>0</v>
      </c>
      <c r="F886" s="18">
        <f>'[1]SEPTEMBER 2022'!F4</f>
        <v>600</v>
      </c>
      <c r="G886" s="4"/>
      <c r="H886" s="4"/>
    </row>
    <row r="887" spans="1:8" x14ac:dyDescent="0.2">
      <c r="A887" s="20">
        <f>'[1]SEPTEMBER 2022'!A9</f>
        <v>44806</v>
      </c>
      <c r="B887" s="14" t="str">
        <f>'[1]SEPTEMBER 2022'!B9</f>
        <v>LM</v>
      </c>
      <c r="C887" s="16">
        <f>'[1]SEPTEMBER 2022'!C9</f>
        <v>0</v>
      </c>
      <c r="D887" s="16">
        <f>'[1]SEPTEMBER 2022'!D9</f>
        <v>860</v>
      </c>
      <c r="E887" s="17">
        <f>'[1]SEPTEMBER 2022'!E9</f>
        <v>0</v>
      </c>
      <c r="F887" s="18">
        <f>'[1]SEPTEMBER 2022'!F9</f>
        <v>0</v>
      </c>
      <c r="G887" s="4"/>
      <c r="H887" s="4"/>
    </row>
    <row r="888" spans="1:8" x14ac:dyDescent="0.2">
      <c r="A888" s="23">
        <f>'[1]SEPTEMBER 2022'!A10</f>
        <v>44806</v>
      </c>
      <c r="B888" s="14" t="str">
        <f>'[1]SEPTEMBER 2022'!B10</f>
        <v>VM</v>
      </c>
      <c r="C888" s="16">
        <f>'[1]SEPTEMBER 2022'!C10</f>
        <v>0</v>
      </c>
      <c r="D888" s="16">
        <f>'[1]SEPTEMBER 2022'!D10</f>
        <v>435</v>
      </c>
      <c r="E888" s="17">
        <f>'[1]SEPTEMBER 2022'!E10</f>
        <v>0</v>
      </c>
      <c r="F888" s="18">
        <f>'[1]SEPTEMBER 2022'!F10</f>
        <v>27.96</v>
      </c>
      <c r="G888" s="4"/>
      <c r="H888" s="4"/>
    </row>
    <row r="889" spans="1:8" x14ac:dyDescent="0.2">
      <c r="A889" s="20">
        <f>'[1]SEPTEMBER 2022'!A11</f>
        <v>44806</v>
      </c>
      <c r="B889" s="14" t="str">
        <f>'[1]SEPTEMBER 2022'!B11</f>
        <v>Rauchen</v>
      </c>
      <c r="C889" s="16">
        <f>'[1]SEPTEMBER 2022'!C11</f>
        <v>0</v>
      </c>
      <c r="D889" s="16">
        <f>'[1]SEPTEMBER 2022'!D11</f>
        <v>155</v>
      </c>
      <c r="E889" s="17">
        <f>'[1]SEPTEMBER 2022'!E11</f>
        <v>0</v>
      </c>
      <c r="F889" s="18">
        <f>'[1]SEPTEMBER 2022'!F11</f>
        <v>0</v>
      </c>
      <c r="G889" s="4"/>
      <c r="H889" s="4"/>
    </row>
    <row r="890" spans="1:8" x14ac:dyDescent="0.2">
      <c r="A890" s="23">
        <f>'[1]SEPTEMBER 2022'!A16</f>
        <v>44807</v>
      </c>
      <c r="B890" s="14" t="str">
        <f>'[1]SEPTEMBER 2022'!B16</f>
        <v>none</v>
      </c>
      <c r="C890" s="16">
        <f>'[1]SEPTEMBER 2022'!C16</f>
        <v>0</v>
      </c>
      <c r="D890" s="16">
        <f>'[1]SEPTEMBER 2022'!D16</f>
        <v>6000</v>
      </c>
      <c r="E890" s="17">
        <f>'[1]SEPTEMBER 2022'!E16</f>
        <v>6000</v>
      </c>
      <c r="F890" s="18">
        <f>'[1]SEPTEMBER 2022'!F16</f>
        <v>0</v>
      </c>
      <c r="G890" s="4"/>
      <c r="H890" s="4"/>
    </row>
    <row r="891" spans="1:8" x14ac:dyDescent="0.2">
      <c r="A891" s="20">
        <f>'[1]SEPTEMBER 2022'!A17</f>
        <v>44807</v>
      </c>
      <c r="B891" s="14" t="str">
        <f>'[1]SEPTEMBER 2022'!B17</f>
        <v>Andere</v>
      </c>
      <c r="C891" s="16">
        <f>'[1]SEPTEMBER 2022'!C17</f>
        <v>0</v>
      </c>
      <c r="D891" s="16">
        <f>'[1]SEPTEMBER 2022'!D17</f>
        <v>500</v>
      </c>
      <c r="E891" s="17">
        <f>'[1]SEPTEMBER 2022'!E17</f>
        <v>0</v>
      </c>
      <c r="F891" s="18">
        <f>'[1]SEPTEMBER 2022'!F17</f>
        <v>0</v>
      </c>
      <c r="G891" s="4"/>
      <c r="H891" s="4"/>
    </row>
    <row r="892" spans="1:8" x14ac:dyDescent="0.2">
      <c r="A892" s="23">
        <f>'[1]SEPTEMBER 2022'!A18</f>
        <v>44807</v>
      </c>
      <c r="B892" s="14" t="str">
        <f>'[1]SEPTEMBER 2022'!B18</f>
        <v>for me</v>
      </c>
      <c r="C892" s="16">
        <f>'[1]SEPTEMBER 2022'!C18</f>
        <v>0</v>
      </c>
      <c r="D892" s="16">
        <f>'[1]SEPTEMBER 2022'!D18</f>
        <v>0</v>
      </c>
      <c r="E892" s="17">
        <f>'[1]SEPTEMBER 2022'!E18</f>
        <v>0</v>
      </c>
      <c r="F892" s="18">
        <f>'[1]SEPTEMBER 2022'!F18</f>
        <v>5000</v>
      </c>
      <c r="G892" s="4"/>
      <c r="H892" s="4"/>
    </row>
    <row r="893" spans="1:8" x14ac:dyDescent="0.2">
      <c r="A893" s="20">
        <f>'[1]SEPTEMBER 2022'!A23</f>
        <v>44808</v>
      </c>
      <c r="B893" s="14" t="str">
        <f>'[1]SEPTEMBER 2022'!B23</f>
        <v>LM</v>
      </c>
      <c r="C893" s="16">
        <f>'[1]SEPTEMBER 2022'!C23</f>
        <v>0</v>
      </c>
      <c r="D893" s="16">
        <f>'[1]SEPTEMBER 2022'!D23</f>
        <v>79.989999999999995</v>
      </c>
      <c r="E893" s="17">
        <f>'[1]SEPTEMBER 2022'!E23</f>
        <v>0</v>
      </c>
      <c r="F893" s="18">
        <f>'[1]SEPTEMBER 2022'!F23</f>
        <v>0</v>
      </c>
      <c r="G893" s="4"/>
      <c r="H893" s="4"/>
    </row>
    <row r="894" spans="1:8" x14ac:dyDescent="0.2">
      <c r="A894" s="23">
        <f>'[1]SEPTEMBER 2022'!A24</f>
        <v>44808</v>
      </c>
      <c r="B894" s="14" t="str">
        <f>'[1]SEPTEMBER 2022'!B24</f>
        <v>Kleidung</v>
      </c>
      <c r="C894" s="16">
        <f>'[1]SEPTEMBER 2022'!C24</f>
        <v>0</v>
      </c>
      <c r="D894" s="16">
        <f>'[1]SEPTEMBER 2022'!D24</f>
        <v>956</v>
      </c>
      <c r="E894" s="17">
        <f>'[1]SEPTEMBER 2022'!E24</f>
        <v>0</v>
      </c>
      <c r="F894" s="18">
        <f>'[1]SEPTEMBER 2022'!F24</f>
        <v>0</v>
      </c>
      <c r="G894" s="4"/>
      <c r="H894" s="4"/>
    </row>
    <row r="895" spans="1:8" x14ac:dyDescent="0.2">
      <c r="A895" s="20">
        <f>'[1]SEPTEMBER 2022'!A25</f>
        <v>44808</v>
      </c>
      <c r="B895" s="14" t="str">
        <f>'[1]SEPTEMBER 2022'!B25</f>
        <v>for me</v>
      </c>
      <c r="C895" s="16">
        <f>'[1]SEPTEMBER 2022'!C25</f>
        <v>0</v>
      </c>
      <c r="D895" s="16">
        <f>'[1]SEPTEMBER 2022'!D25</f>
        <v>1100</v>
      </c>
      <c r="E895" s="17">
        <f>'[1]SEPTEMBER 2022'!E25</f>
        <v>0</v>
      </c>
      <c r="F895" s="18">
        <f>'[1]SEPTEMBER 2022'!F25</f>
        <v>0</v>
      </c>
      <c r="G895" s="4"/>
      <c r="H895" s="4"/>
    </row>
    <row r="896" spans="1:8" x14ac:dyDescent="0.2">
      <c r="A896" s="23">
        <f>'[1]SEPTEMBER 2022'!A26</f>
        <v>44808</v>
      </c>
      <c r="B896" s="14" t="str">
        <f>'[1]SEPTEMBER 2022'!B26</f>
        <v>Party</v>
      </c>
      <c r="C896" s="16">
        <f>'[1]SEPTEMBER 2022'!C26</f>
        <v>0</v>
      </c>
      <c r="D896" s="16">
        <f>'[1]SEPTEMBER 2022'!D26</f>
        <v>2020</v>
      </c>
      <c r="E896" s="17">
        <f>'[1]SEPTEMBER 2022'!E26</f>
        <v>0</v>
      </c>
      <c r="F896" s="18">
        <f>'[1]SEPTEMBER 2022'!F26</f>
        <v>0</v>
      </c>
      <c r="G896" s="4"/>
      <c r="H896" s="4"/>
    </row>
    <row r="897" spans="1:8" x14ac:dyDescent="0.2">
      <c r="A897" s="20">
        <f>'[1]SEPTEMBER 2022'!A27</f>
        <v>44808</v>
      </c>
      <c r="B897" s="14" t="str">
        <f>'[1]SEPTEMBER 2022'!B27</f>
        <v>none</v>
      </c>
      <c r="C897" s="16">
        <f>'[1]SEPTEMBER 2022'!C27</f>
        <v>0</v>
      </c>
      <c r="D897" s="16">
        <f>'[1]SEPTEMBER 2022'!D27</f>
        <v>810</v>
      </c>
      <c r="E897" s="17">
        <f>'[1]SEPTEMBER 2022'!E27</f>
        <v>810</v>
      </c>
      <c r="F897" s="18">
        <f>'[1]SEPTEMBER 2022'!F27</f>
        <v>0</v>
      </c>
      <c r="G897" s="4"/>
      <c r="H897" s="4"/>
    </row>
    <row r="898" spans="1:8" x14ac:dyDescent="0.2">
      <c r="A898" s="23">
        <f>'[1]SEPTEMBER 2022'!A28</f>
        <v>44808</v>
      </c>
      <c r="B898" s="14" t="str">
        <f>'[1]SEPTEMBER 2022'!B28</f>
        <v>VM</v>
      </c>
      <c r="C898" s="16">
        <f>'[1]SEPTEMBER 2022'!C28</f>
        <v>0</v>
      </c>
      <c r="D898" s="16">
        <f>'[1]SEPTEMBER 2022'!D28</f>
        <v>0</v>
      </c>
      <c r="E898" s="17">
        <f>'[1]SEPTEMBER 2022'!E28</f>
        <v>0</v>
      </c>
      <c r="F898" s="18">
        <f>'[1]SEPTEMBER 2022'!F28</f>
        <v>328</v>
      </c>
      <c r="G898" s="4"/>
      <c r="H898" s="4"/>
    </row>
    <row r="899" spans="1:8" x14ac:dyDescent="0.2">
      <c r="A899" s="23">
        <f>'[1]SEPTEMBER 2022'!A30</f>
        <v>44809</v>
      </c>
      <c r="B899" s="14" t="str">
        <f>'[1]SEPTEMBER 2022'!B30</f>
        <v>VM</v>
      </c>
      <c r="C899" s="16">
        <f>'[1]SEPTEMBER 2022'!C30</f>
        <v>0</v>
      </c>
      <c r="D899" s="16">
        <f>'[1]SEPTEMBER 2022'!D30</f>
        <v>51</v>
      </c>
      <c r="E899" s="17">
        <f>'[1]SEPTEMBER 2022'!E30</f>
        <v>0</v>
      </c>
      <c r="F899" s="18">
        <f>'[1]SEPTEMBER 2022'!F30</f>
        <v>0</v>
      </c>
      <c r="G899" s="4"/>
      <c r="H899" s="4"/>
    </row>
    <row r="900" spans="1:8" x14ac:dyDescent="0.2">
      <c r="A900" s="20">
        <f>'[1]SEPTEMBER 2022'!A31</f>
        <v>44809</v>
      </c>
      <c r="B900" s="14" t="str">
        <f>'[1]SEPTEMBER 2022'!B31</f>
        <v>Andere</v>
      </c>
      <c r="C900" s="16">
        <f>'[1]SEPTEMBER 2022'!C31</f>
        <v>0</v>
      </c>
      <c r="D900" s="16">
        <f>'[1]SEPTEMBER 2022'!D31</f>
        <v>50</v>
      </c>
      <c r="E900" s="17">
        <f>'[1]SEPTEMBER 2022'!E31</f>
        <v>0</v>
      </c>
      <c r="F900" s="18">
        <f>'[1]SEPTEMBER 2022'!F31</f>
        <v>0</v>
      </c>
      <c r="G900" s="4"/>
      <c r="H900" s="4"/>
    </row>
    <row r="901" spans="1:8" x14ac:dyDescent="0.2">
      <c r="A901" s="20">
        <f>'[1]SEPTEMBER 2022'!A37</f>
        <v>44810</v>
      </c>
      <c r="B901" s="14" t="str">
        <f>'[1]SEPTEMBER 2022'!B37</f>
        <v>Andere</v>
      </c>
      <c r="C901" s="16">
        <f>'[1]SEPTEMBER 2022'!C37</f>
        <v>0</v>
      </c>
      <c r="D901" s="16">
        <f>'[1]SEPTEMBER 2022'!D37</f>
        <v>2800</v>
      </c>
      <c r="E901" s="17">
        <f>'[1]SEPTEMBER 2022'!E37</f>
        <v>0</v>
      </c>
      <c r="F901" s="18">
        <f>'[1]SEPTEMBER 2022'!F37</f>
        <v>0</v>
      </c>
      <c r="G901" s="4"/>
      <c r="H901" s="4"/>
    </row>
    <row r="902" spans="1:8" x14ac:dyDescent="0.2">
      <c r="A902" s="23">
        <f>'[1]SEPTEMBER 2022'!A38</f>
        <v>44810</v>
      </c>
      <c r="B902" s="14" t="str">
        <f>'[1]SEPTEMBER 2022'!B38</f>
        <v>LM</v>
      </c>
      <c r="C902" s="16">
        <f>'[1]SEPTEMBER 2022'!C38</f>
        <v>0</v>
      </c>
      <c r="D902" s="16">
        <f>'[1]SEPTEMBER 2022'!D38</f>
        <v>765</v>
      </c>
      <c r="E902" s="17">
        <f>'[1]SEPTEMBER 2022'!E38</f>
        <v>0</v>
      </c>
      <c r="F902" s="18">
        <f>'[1]SEPTEMBER 2022'!F38</f>
        <v>0</v>
      </c>
      <c r="G902" s="4"/>
      <c r="H902" s="4"/>
    </row>
    <row r="903" spans="1:8" x14ac:dyDescent="0.2">
      <c r="A903" s="20">
        <f>'[1]SEPTEMBER 2022'!A39</f>
        <v>44810</v>
      </c>
      <c r="B903" s="14" t="str">
        <f>'[1]SEPTEMBER 2022'!B39</f>
        <v>Rauchen</v>
      </c>
      <c r="C903" s="16">
        <f>'[1]SEPTEMBER 2022'!C39</f>
        <v>0</v>
      </c>
      <c r="D903" s="16">
        <f>'[1]SEPTEMBER 2022'!D39</f>
        <v>170</v>
      </c>
      <c r="E903" s="17">
        <f>'[1]SEPTEMBER 2022'!E39</f>
        <v>0</v>
      </c>
      <c r="F903" s="18">
        <f>'[1]SEPTEMBER 2022'!F39</f>
        <v>0</v>
      </c>
      <c r="G903" s="4"/>
      <c r="H903" s="4"/>
    </row>
    <row r="904" spans="1:8" x14ac:dyDescent="0.2">
      <c r="A904" s="23">
        <f>'[1]SEPTEMBER 2022'!A40</f>
        <v>44810</v>
      </c>
      <c r="B904" s="14" t="str">
        <f>'[1]SEPTEMBER 2022'!B40</f>
        <v>VM</v>
      </c>
      <c r="C904" s="16">
        <f>'[1]SEPTEMBER 2022'!C40</f>
        <v>0</v>
      </c>
      <c r="D904" s="16">
        <f>'[1]SEPTEMBER 2022'!D40</f>
        <v>0</v>
      </c>
      <c r="E904" s="17">
        <f>'[1]SEPTEMBER 2022'!E40</f>
        <v>0</v>
      </c>
      <c r="F904" s="18">
        <f>'[1]SEPTEMBER 2022'!F40</f>
        <v>23.64</v>
      </c>
      <c r="G904" s="4"/>
      <c r="H904" s="4"/>
    </row>
    <row r="905" spans="1:8" x14ac:dyDescent="0.2">
      <c r="A905" s="23">
        <f>'[1]SEPTEMBER 2022'!A44</f>
        <v>44811</v>
      </c>
      <c r="B905" s="14" t="str">
        <f>'[1]SEPTEMBER 2022'!B44</f>
        <v>VM</v>
      </c>
      <c r="C905" s="16">
        <f>'[1]SEPTEMBER 2022'!C44</f>
        <v>0</v>
      </c>
      <c r="D905" s="16">
        <f>'[1]SEPTEMBER 2022'!D44</f>
        <v>102</v>
      </c>
      <c r="E905" s="17">
        <f>'[1]SEPTEMBER 2022'!E44</f>
        <v>0</v>
      </c>
      <c r="F905" s="18">
        <f>'[1]SEPTEMBER 2022'!F44</f>
        <v>0</v>
      </c>
      <c r="G905" s="4"/>
      <c r="H905" s="4"/>
    </row>
    <row r="906" spans="1:8" x14ac:dyDescent="0.2">
      <c r="A906" s="20">
        <f>'[1]SEPTEMBER 2022'!A45</f>
        <v>44811</v>
      </c>
      <c r="B906" s="14" t="str">
        <f>'[1]SEPTEMBER 2022'!B45</f>
        <v>Andere</v>
      </c>
      <c r="C906" s="16">
        <f>'[1]SEPTEMBER 2022'!C45</f>
        <v>0</v>
      </c>
      <c r="D906" s="16">
        <f>'[1]SEPTEMBER 2022'!D45</f>
        <v>50</v>
      </c>
      <c r="E906" s="17">
        <f>'[1]SEPTEMBER 2022'!E45</f>
        <v>0</v>
      </c>
      <c r="F906" s="18">
        <f>'[1]SEPTEMBER 2022'!F45</f>
        <v>0</v>
      </c>
      <c r="G906" s="4"/>
      <c r="H906" s="4"/>
    </row>
    <row r="907" spans="1:8" x14ac:dyDescent="0.2">
      <c r="A907" s="23">
        <f>'[1]SEPTEMBER 2022'!A46</f>
        <v>44811</v>
      </c>
      <c r="B907" s="14" t="str">
        <f>'[1]SEPTEMBER 2022'!B46</f>
        <v>LM</v>
      </c>
      <c r="C907" s="16">
        <f>'[1]SEPTEMBER 2022'!C46</f>
        <v>0</v>
      </c>
      <c r="D907" s="16">
        <f>'[1]SEPTEMBER 2022'!D46</f>
        <v>0</v>
      </c>
      <c r="E907" s="17">
        <f>'[1]SEPTEMBER 2022'!E46</f>
        <v>0</v>
      </c>
      <c r="F907" s="18">
        <f>'[1]SEPTEMBER 2022'!F46</f>
        <v>350</v>
      </c>
      <c r="G907" s="4"/>
      <c r="H907" s="4"/>
    </row>
    <row r="908" spans="1:8" x14ac:dyDescent="0.2">
      <c r="A908" s="20">
        <f>'[1]SEPTEMBER 2022'!A51</f>
        <v>44812</v>
      </c>
      <c r="B908" s="14" t="str">
        <f>'[1]SEPTEMBER 2022'!B51</f>
        <v>LM</v>
      </c>
      <c r="C908" s="16">
        <f>'[1]SEPTEMBER 2022'!C51</f>
        <v>0</v>
      </c>
      <c r="D908" s="16">
        <f>'[1]SEPTEMBER 2022'!D51</f>
        <v>2039.12</v>
      </c>
      <c r="E908" s="17">
        <f>'[1]SEPTEMBER 2022'!E51</f>
        <v>0</v>
      </c>
      <c r="F908" s="18">
        <f>'[1]SEPTEMBER 2022'!F51</f>
        <v>0</v>
      </c>
      <c r="G908" s="4"/>
      <c r="H908" s="4"/>
    </row>
    <row r="909" spans="1:8" x14ac:dyDescent="0.2">
      <c r="A909" s="23">
        <f>'[1]SEPTEMBER 2022'!A52</f>
        <v>44812</v>
      </c>
      <c r="B909" s="14" t="str">
        <f>'[1]SEPTEMBER 2022'!B52</f>
        <v>VM</v>
      </c>
      <c r="C909" s="16">
        <f>'[1]SEPTEMBER 2022'!C52</f>
        <v>0</v>
      </c>
      <c r="D909" s="16">
        <f>'[1]SEPTEMBER 2022'!D52</f>
        <v>102</v>
      </c>
      <c r="E909" s="17">
        <f>'[1]SEPTEMBER 2022'!E52</f>
        <v>0</v>
      </c>
      <c r="F909" s="18">
        <f>'[1]SEPTEMBER 2022'!F52</f>
        <v>0</v>
      </c>
      <c r="G909" s="4"/>
      <c r="H909" s="4"/>
    </row>
    <row r="910" spans="1:8" x14ac:dyDescent="0.2">
      <c r="A910" s="23">
        <f>'[1]SEPTEMBER 2022'!A58</f>
        <v>44813</v>
      </c>
      <c r="B910" s="14" t="str">
        <f>'[1]SEPTEMBER 2022'!B58</f>
        <v>Refill</v>
      </c>
      <c r="C910" s="16">
        <f>'[1]SEPTEMBER 2022'!C58</f>
        <v>32207</v>
      </c>
      <c r="D910" s="16">
        <f>'[1]SEPTEMBER 2022'!D58</f>
        <v>0</v>
      </c>
      <c r="E910" s="17">
        <f>'[1]SEPTEMBER 2022'!E58</f>
        <v>0</v>
      </c>
      <c r="F910" s="18">
        <f>'[1]SEPTEMBER 2022'!F58</f>
        <v>0</v>
      </c>
      <c r="G910" s="4"/>
      <c r="H910" s="4"/>
    </row>
    <row r="911" spans="1:8" x14ac:dyDescent="0.2">
      <c r="A911" s="20">
        <f>'[1]SEPTEMBER 2022'!A59</f>
        <v>44813</v>
      </c>
      <c r="B911" s="14" t="str">
        <f>'[1]SEPTEMBER 2022'!B59</f>
        <v>Andere</v>
      </c>
      <c r="C911" s="16">
        <f>'[1]SEPTEMBER 2022'!C59</f>
        <v>0</v>
      </c>
      <c r="D911" s="16">
        <f>'[1]SEPTEMBER 2022'!D59</f>
        <v>50</v>
      </c>
      <c r="E911" s="17">
        <f>'[1]SEPTEMBER 2022'!E59</f>
        <v>0</v>
      </c>
      <c r="F911" s="18">
        <f>'[1]SEPTEMBER 2022'!F59</f>
        <v>0</v>
      </c>
      <c r="G911" s="4"/>
      <c r="H911" s="4"/>
    </row>
    <row r="912" spans="1:8" x14ac:dyDescent="0.2">
      <c r="A912" s="23">
        <f>'[1]SEPTEMBER 2022'!A60</f>
        <v>44813</v>
      </c>
      <c r="B912" s="14" t="str">
        <f>'[1]SEPTEMBER 2022'!B60</f>
        <v>LM</v>
      </c>
      <c r="C912" s="16">
        <f>'[1]SEPTEMBER 2022'!C60</f>
        <v>0</v>
      </c>
      <c r="D912" s="16">
        <f>'[1]SEPTEMBER 2022'!D60</f>
        <v>359</v>
      </c>
      <c r="E912" s="17">
        <f>'[1]SEPTEMBER 2022'!E60</f>
        <v>0</v>
      </c>
      <c r="F912" s="18">
        <f>'[1]SEPTEMBER 2022'!F60</f>
        <v>0</v>
      </c>
      <c r="G912" s="4"/>
      <c r="H912" s="4"/>
    </row>
    <row r="913" spans="1:8" x14ac:dyDescent="0.2">
      <c r="A913" s="20">
        <f>'[1]SEPTEMBER 2022'!A61</f>
        <v>44813</v>
      </c>
      <c r="B913" s="14" t="str">
        <f>'[1]SEPTEMBER 2022'!B61</f>
        <v>Rauchen</v>
      </c>
      <c r="C913" s="16">
        <f>'[1]SEPTEMBER 2022'!C61</f>
        <v>0</v>
      </c>
      <c r="D913" s="16">
        <f>'[1]SEPTEMBER 2022'!D61</f>
        <v>150</v>
      </c>
      <c r="E913" s="17">
        <f>'[1]SEPTEMBER 2022'!E61</f>
        <v>0</v>
      </c>
      <c r="F913" s="18">
        <f>'[1]SEPTEMBER 2022'!F61</f>
        <v>0</v>
      </c>
      <c r="G913" s="4"/>
      <c r="H913" s="4"/>
    </row>
    <row r="914" spans="1:8" x14ac:dyDescent="0.2">
      <c r="A914" s="20">
        <f>'[1]SEPTEMBER 2022'!A65</f>
        <v>44814</v>
      </c>
      <c r="B914" s="14" t="str">
        <f>'[1]SEPTEMBER 2022'!B65</f>
        <v>for me</v>
      </c>
      <c r="C914" s="16">
        <f>'[1]SEPTEMBER 2022'!C65</f>
        <v>0</v>
      </c>
      <c r="D914" s="16">
        <f>'[1]SEPTEMBER 2022'!D65</f>
        <v>450</v>
      </c>
      <c r="E914" s="17">
        <f>'[1]SEPTEMBER 2022'!E65</f>
        <v>0</v>
      </c>
      <c r="F914" s="18">
        <f>'[1]SEPTEMBER 2022'!F65</f>
        <v>0</v>
      </c>
      <c r="G914" s="4"/>
      <c r="H914" s="4"/>
    </row>
    <row r="915" spans="1:8" x14ac:dyDescent="0.2">
      <c r="A915" s="23">
        <f>'[1]SEPTEMBER 2022'!A66</f>
        <v>44814</v>
      </c>
      <c r="B915" s="14" t="str">
        <f>'[1]SEPTEMBER 2022'!B66</f>
        <v>Party</v>
      </c>
      <c r="C915" s="16">
        <f>'[1]SEPTEMBER 2022'!C66</f>
        <v>0</v>
      </c>
      <c r="D915" s="16">
        <f>'[1]SEPTEMBER 2022'!D66</f>
        <v>7185</v>
      </c>
      <c r="E915" s="17">
        <f>'[1]SEPTEMBER 2022'!E66</f>
        <v>0</v>
      </c>
      <c r="F915" s="18">
        <f>'[1]SEPTEMBER 2022'!F66</f>
        <v>0</v>
      </c>
      <c r="G915" s="4"/>
      <c r="H915" s="4"/>
    </row>
    <row r="916" spans="1:8" x14ac:dyDescent="0.2">
      <c r="A916" s="20">
        <f>'[1]SEPTEMBER 2022'!A67</f>
        <v>44814</v>
      </c>
      <c r="B916" s="14" t="str">
        <f>'[1]SEPTEMBER 2022'!B67</f>
        <v>LM</v>
      </c>
      <c r="C916" s="16">
        <f>'[1]SEPTEMBER 2022'!C67</f>
        <v>0</v>
      </c>
      <c r="D916" s="16">
        <f>'[1]SEPTEMBER 2022'!D67</f>
        <v>296</v>
      </c>
      <c r="E916" s="17">
        <f>'[1]SEPTEMBER 2022'!E67</f>
        <v>0</v>
      </c>
      <c r="F916" s="18">
        <f>'[1]SEPTEMBER 2022'!F67</f>
        <v>0</v>
      </c>
      <c r="G916" s="4"/>
      <c r="H916" s="4"/>
    </row>
    <row r="917" spans="1:8" x14ac:dyDescent="0.2">
      <c r="A917" s="23">
        <f>'[1]SEPTEMBER 2022'!A68</f>
        <v>44814</v>
      </c>
      <c r="B917" s="14" t="str">
        <f>'[1]SEPTEMBER 2022'!B68</f>
        <v>Rauchen</v>
      </c>
      <c r="C917" s="16">
        <f>'[1]SEPTEMBER 2022'!C68</f>
        <v>0</v>
      </c>
      <c r="D917" s="16">
        <f>'[1]SEPTEMBER 2022'!D68</f>
        <v>150</v>
      </c>
      <c r="E917" s="17">
        <f>'[1]SEPTEMBER 2022'!E68</f>
        <v>0</v>
      </c>
      <c r="F917" s="18">
        <f>'[1]SEPTEMBER 2022'!F68</f>
        <v>0</v>
      </c>
      <c r="G917" s="4"/>
      <c r="H917" s="4"/>
    </row>
    <row r="918" spans="1:8" x14ac:dyDescent="0.2">
      <c r="A918" s="20">
        <f>'[1]SEPTEMBER 2022'!A69</f>
        <v>44814</v>
      </c>
      <c r="B918" s="14" t="str">
        <f>'[1]SEPTEMBER 2022'!B69</f>
        <v>Education</v>
      </c>
      <c r="C918" s="16">
        <f>'[1]SEPTEMBER 2022'!C69</f>
        <v>0</v>
      </c>
      <c r="D918" s="16">
        <f>'[1]SEPTEMBER 2022'!D69</f>
        <v>178.8</v>
      </c>
      <c r="E918" s="17">
        <f>'[1]SEPTEMBER 2022'!E69</f>
        <v>0</v>
      </c>
      <c r="F918" s="18">
        <f>'[1]SEPTEMBER 2022'!F69</f>
        <v>0</v>
      </c>
      <c r="G918" s="4"/>
      <c r="H918" s="4"/>
    </row>
    <row r="919" spans="1:8" x14ac:dyDescent="0.2">
      <c r="A919" s="23">
        <f>'[1]SEPTEMBER 2022'!A70</f>
        <v>44814</v>
      </c>
      <c r="B919" s="14" t="str">
        <f>'[1]SEPTEMBER 2022'!B70</f>
        <v>none</v>
      </c>
      <c r="C919" s="16">
        <f>'[1]SEPTEMBER 2022'!C70</f>
        <v>0</v>
      </c>
      <c r="D919" s="16">
        <f>'[1]SEPTEMBER 2022'!D70</f>
        <v>4150</v>
      </c>
      <c r="E919" s="17">
        <f>'[1]SEPTEMBER 2022'!E70</f>
        <v>4150</v>
      </c>
      <c r="F919" s="18">
        <f>'[1]SEPTEMBER 2022'!F70</f>
        <v>0</v>
      </c>
      <c r="G919" s="4"/>
      <c r="H919" s="4"/>
    </row>
    <row r="920" spans="1:8" x14ac:dyDescent="0.2">
      <c r="A920" s="20">
        <f>'[1]SEPTEMBER 2022'!A71</f>
        <v>44814</v>
      </c>
      <c r="B920" s="14" t="str">
        <f>'[1]SEPTEMBER 2022'!B71</f>
        <v>none</v>
      </c>
      <c r="C920" s="16">
        <f>'[1]SEPTEMBER 2022'!C71</f>
        <v>0</v>
      </c>
      <c r="D920" s="16">
        <f>'[1]SEPTEMBER 2022'!D71</f>
        <v>10500</v>
      </c>
      <c r="E920" s="17">
        <f>'[1]SEPTEMBER 2022'!E71</f>
        <v>10500</v>
      </c>
      <c r="F920" s="18">
        <f>'[1]SEPTEMBER 2022'!F71</f>
        <v>0</v>
      </c>
      <c r="G920" s="4"/>
      <c r="H920" s="4"/>
    </row>
    <row r="921" spans="1:8" x14ac:dyDescent="0.2">
      <c r="A921" s="23">
        <f>'[1]SEPTEMBER 2022'!A72</f>
        <v>44815</v>
      </c>
      <c r="B921" s="14" t="str">
        <f>'[1]SEPTEMBER 2022'!B72</f>
        <v>VM</v>
      </c>
      <c r="C921" s="16">
        <f>'[1]SEPTEMBER 2022'!C72</f>
        <v>0</v>
      </c>
      <c r="D921" s="16">
        <f>'[1]SEPTEMBER 2022'!D72</f>
        <v>0</v>
      </c>
      <c r="E921" s="17">
        <f>'[1]SEPTEMBER 2022'!E72</f>
        <v>0</v>
      </c>
      <c r="F921" s="18">
        <f>'[1]SEPTEMBER 2022'!F72</f>
        <v>111.86</v>
      </c>
      <c r="G921" s="4"/>
      <c r="H921" s="4"/>
    </row>
    <row r="922" spans="1:8" x14ac:dyDescent="0.2">
      <c r="A922" s="20">
        <f>'[1]SEPTEMBER 2022'!A79</f>
        <v>44816</v>
      </c>
      <c r="B922" s="14" t="str">
        <f>'[1]SEPTEMBER 2022'!B79</f>
        <v>Andere</v>
      </c>
      <c r="C922" s="16">
        <f>'[1]SEPTEMBER 2022'!C79</f>
        <v>0</v>
      </c>
      <c r="D922" s="16">
        <f>'[1]SEPTEMBER 2022'!D79</f>
        <v>175</v>
      </c>
      <c r="E922" s="17">
        <f>'[1]SEPTEMBER 2022'!E79</f>
        <v>0</v>
      </c>
      <c r="F922" s="18">
        <f>'[1]SEPTEMBER 2022'!F79</f>
        <v>0</v>
      </c>
      <c r="G922" s="4"/>
      <c r="H922" s="4"/>
    </row>
    <row r="923" spans="1:8" x14ac:dyDescent="0.2">
      <c r="A923" s="23">
        <f>'[1]SEPTEMBER 2022'!A86</f>
        <v>44817</v>
      </c>
      <c r="B923" s="14" t="str">
        <f>'[1]SEPTEMBER 2022'!B86</f>
        <v>LM</v>
      </c>
      <c r="C923" s="16">
        <f>'[1]SEPTEMBER 2022'!C86</f>
        <v>0</v>
      </c>
      <c r="D923" s="16">
        <f>'[1]SEPTEMBER 2022'!D86</f>
        <v>574.67999999999995</v>
      </c>
      <c r="E923" s="17">
        <f>'[1]SEPTEMBER 2022'!E86</f>
        <v>0</v>
      </c>
      <c r="F923" s="18">
        <f>'[1]SEPTEMBER 2022'!F86</f>
        <v>0</v>
      </c>
      <c r="G923" s="4"/>
      <c r="H923" s="4"/>
    </row>
    <row r="924" spans="1:8" x14ac:dyDescent="0.2">
      <c r="A924" s="20">
        <f>'[1]SEPTEMBER 2022'!A93</f>
        <v>44818</v>
      </c>
      <c r="B924" s="14" t="str">
        <f>'[1]SEPTEMBER 2022'!B93</f>
        <v>LM</v>
      </c>
      <c r="C924" s="16">
        <f>'[1]SEPTEMBER 2022'!C93</f>
        <v>0</v>
      </c>
      <c r="D924" s="16">
        <f>'[1]SEPTEMBER 2022'!D93</f>
        <v>729</v>
      </c>
      <c r="E924" s="17">
        <f>'[1]SEPTEMBER 2022'!E93</f>
        <v>0</v>
      </c>
      <c r="F924" s="18">
        <f>'[1]SEPTEMBER 2022'!F93</f>
        <v>0</v>
      </c>
      <c r="G924" s="4"/>
      <c r="H924" s="4"/>
    </row>
    <row r="925" spans="1:8" x14ac:dyDescent="0.2">
      <c r="A925" s="23">
        <f>'[1]SEPTEMBER 2022'!A94</f>
        <v>44818</v>
      </c>
      <c r="B925" s="14" t="str">
        <f>'[1]SEPTEMBER 2022'!B94</f>
        <v>Rauchen</v>
      </c>
      <c r="C925" s="16">
        <f>'[1]SEPTEMBER 2022'!C94</f>
        <v>0</v>
      </c>
      <c r="D925" s="16">
        <f>'[1]SEPTEMBER 2022'!D94</f>
        <v>140</v>
      </c>
      <c r="E925" s="17">
        <f>'[1]SEPTEMBER 2022'!E94</f>
        <v>0</v>
      </c>
      <c r="F925" s="18">
        <f>'[1]SEPTEMBER 2022'!F94</f>
        <v>0</v>
      </c>
      <c r="G925" s="4"/>
      <c r="H925" s="4"/>
    </row>
    <row r="926" spans="1:8" x14ac:dyDescent="0.2">
      <c r="A926" s="23">
        <f>'[1]SEPTEMBER 2022'!A100</f>
        <v>44819</v>
      </c>
      <c r="B926" s="14" t="str">
        <f>'[1]SEPTEMBER 2022'!B100</f>
        <v>LM</v>
      </c>
      <c r="C926" s="16">
        <f>'[1]SEPTEMBER 2022'!C100</f>
        <v>0</v>
      </c>
      <c r="D926" s="16">
        <f>'[1]SEPTEMBER 2022'!D100</f>
        <v>260.83</v>
      </c>
      <c r="E926" s="17">
        <f>'[1]SEPTEMBER 2022'!E100</f>
        <v>0</v>
      </c>
      <c r="F926" s="18">
        <f>'[1]SEPTEMBER 2022'!F100</f>
        <v>0</v>
      </c>
      <c r="G926" s="4"/>
      <c r="H926" s="4"/>
    </row>
    <row r="927" spans="1:8" x14ac:dyDescent="0.2">
      <c r="A927" s="20">
        <f>'[1]SEPTEMBER 2022'!A101</f>
        <v>44819</v>
      </c>
      <c r="B927" s="14" t="str">
        <f>'[1]SEPTEMBER 2022'!B101</f>
        <v>Andere</v>
      </c>
      <c r="C927" s="16">
        <f>'[1]SEPTEMBER 2022'!C101</f>
        <v>0</v>
      </c>
      <c r="D927" s="16">
        <f>'[1]SEPTEMBER 2022'!D101</f>
        <v>423</v>
      </c>
      <c r="E927" s="17">
        <f>'[1]SEPTEMBER 2022'!E101</f>
        <v>0</v>
      </c>
      <c r="F927" s="18">
        <f>'[1]SEPTEMBER 2022'!F101</f>
        <v>0</v>
      </c>
      <c r="G927" s="4"/>
      <c r="H927" s="4"/>
    </row>
    <row r="928" spans="1:8" x14ac:dyDescent="0.2">
      <c r="A928" s="23">
        <f>'[1]SEPTEMBER 2022'!A102</f>
        <v>44819</v>
      </c>
      <c r="B928" s="14" t="str">
        <f>'[1]SEPTEMBER 2022'!B102</f>
        <v>Andere</v>
      </c>
      <c r="C928" s="16">
        <f>'[1]SEPTEMBER 2022'!C102</f>
        <v>0</v>
      </c>
      <c r="D928" s="16">
        <f>'[1]SEPTEMBER 2022'!D102</f>
        <v>50</v>
      </c>
      <c r="E928" s="17">
        <f>'[1]SEPTEMBER 2022'!E102</f>
        <v>0</v>
      </c>
      <c r="F928" s="18">
        <f>'[1]SEPTEMBER 2022'!F102</f>
        <v>0</v>
      </c>
      <c r="G928" s="4"/>
      <c r="H928" s="4"/>
    </row>
    <row r="929" spans="1:8" x14ac:dyDescent="0.2">
      <c r="A929" s="20">
        <f>'[1]SEPTEMBER 2022'!A103</f>
        <v>44819</v>
      </c>
      <c r="B929" s="14" t="str">
        <f>'[1]SEPTEMBER 2022'!B103</f>
        <v>none</v>
      </c>
      <c r="C929" s="16">
        <f>'[1]SEPTEMBER 2022'!C103</f>
        <v>0</v>
      </c>
      <c r="D929" s="16">
        <f>'[1]SEPTEMBER 2022'!D103</f>
        <v>500</v>
      </c>
      <c r="E929" s="17">
        <f>'[1]SEPTEMBER 2022'!E103</f>
        <v>500</v>
      </c>
      <c r="F929" s="18">
        <f>'[1]SEPTEMBER 2022'!F103</f>
        <v>0</v>
      </c>
      <c r="G929" s="4"/>
      <c r="H929" s="4"/>
    </row>
    <row r="930" spans="1:8" x14ac:dyDescent="0.2">
      <c r="A930" s="20">
        <f>'[1]SEPTEMBER 2022'!A107</f>
        <v>44820</v>
      </c>
      <c r="B930" s="14" t="str">
        <f>'[1]SEPTEMBER 2022'!B107</f>
        <v>Rauchen</v>
      </c>
      <c r="C930" s="16">
        <f>'[1]SEPTEMBER 2022'!C107</f>
        <v>0</v>
      </c>
      <c r="D930" s="16">
        <f>'[1]SEPTEMBER 2022'!D107</f>
        <v>147</v>
      </c>
      <c r="E930" s="17">
        <f>'[1]SEPTEMBER 2022'!E107</f>
        <v>0</v>
      </c>
      <c r="F930" s="18">
        <f>'[1]SEPTEMBER 2022'!F107</f>
        <v>0</v>
      </c>
      <c r="G930" s="4"/>
      <c r="H930" s="4"/>
    </row>
    <row r="931" spans="1:8" x14ac:dyDescent="0.2">
      <c r="A931" s="23">
        <f>'[1]SEPTEMBER 2022'!A108</f>
        <v>44820</v>
      </c>
      <c r="B931" s="14" t="str">
        <f>'[1]SEPTEMBER 2022'!B108</f>
        <v>Andere</v>
      </c>
      <c r="C931" s="16">
        <f>'[1]SEPTEMBER 2022'!C108</f>
        <v>0</v>
      </c>
      <c r="D931" s="16">
        <f>'[1]SEPTEMBER 2022'!D108</f>
        <v>0</v>
      </c>
      <c r="E931" s="17">
        <f>'[1]SEPTEMBER 2022'!E108</f>
        <v>0</v>
      </c>
      <c r="F931" s="18">
        <f>'[1]SEPTEMBER 2022'!F108</f>
        <v>1000</v>
      </c>
      <c r="G931" s="4"/>
      <c r="H931" s="4"/>
    </row>
    <row r="932" spans="1:8" x14ac:dyDescent="0.2">
      <c r="A932" s="20">
        <f>'[1]SEPTEMBER 2022'!A109</f>
        <v>44820</v>
      </c>
      <c r="B932" s="14" t="str">
        <f>'[1]SEPTEMBER 2022'!B109</f>
        <v>VM</v>
      </c>
      <c r="C932" s="16">
        <f>'[1]SEPTEMBER 2022'!C109</f>
        <v>0</v>
      </c>
      <c r="D932" s="16">
        <f>'[1]SEPTEMBER 2022'!D109</f>
        <v>0</v>
      </c>
      <c r="E932" s="17">
        <f>'[1]SEPTEMBER 2022'!E109</f>
        <v>0</v>
      </c>
      <c r="F932" s="18">
        <f>'[1]SEPTEMBER 2022'!F109</f>
        <v>1135.96</v>
      </c>
      <c r="G932" s="4"/>
      <c r="H932" s="4"/>
    </row>
    <row r="933" spans="1:8" x14ac:dyDescent="0.2">
      <c r="A933" s="23">
        <f>'[1]SEPTEMBER 2022'!A114</f>
        <v>44821</v>
      </c>
      <c r="B933" s="14" t="str">
        <f>'[1]SEPTEMBER 2022'!B114</f>
        <v>for me</v>
      </c>
      <c r="C933" s="16">
        <f>'[1]SEPTEMBER 2022'!C114</f>
        <v>0</v>
      </c>
      <c r="D933" s="16">
        <f>'[1]SEPTEMBER 2022'!D114</f>
        <v>2400</v>
      </c>
      <c r="E933" s="17">
        <f>'[1]SEPTEMBER 2022'!E114</f>
        <v>0</v>
      </c>
      <c r="F933" s="18">
        <f>'[1]SEPTEMBER 2022'!F114</f>
        <v>0</v>
      </c>
      <c r="G933" s="4"/>
      <c r="H933" s="4"/>
    </row>
    <row r="934" spans="1:8" x14ac:dyDescent="0.2">
      <c r="A934" s="20">
        <f>'[1]SEPTEMBER 2022'!A115</f>
        <v>44821</v>
      </c>
      <c r="B934" s="14" t="str">
        <f>'[1]SEPTEMBER 2022'!B115</f>
        <v>LM</v>
      </c>
      <c r="C934" s="16">
        <f>'[1]SEPTEMBER 2022'!C115</f>
        <v>0</v>
      </c>
      <c r="D934" s="16">
        <f>'[1]SEPTEMBER 2022'!D115</f>
        <v>185</v>
      </c>
      <c r="E934" s="17">
        <f>'[1]SEPTEMBER 2022'!E115</f>
        <v>0</v>
      </c>
      <c r="F934" s="18">
        <f>'[1]SEPTEMBER 2022'!F115</f>
        <v>0</v>
      </c>
      <c r="G934" s="4"/>
      <c r="H934" s="4"/>
    </row>
    <row r="935" spans="1:8" x14ac:dyDescent="0.2">
      <c r="A935" s="23">
        <f>'[1]SEPTEMBER 2022'!A116</f>
        <v>44821</v>
      </c>
      <c r="B935" s="14" t="str">
        <f>'[1]SEPTEMBER 2022'!B116</f>
        <v>Party</v>
      </c>
      <c r="C935" s="16">
        <f>'[1]SEPTEMBER 2022'!C116</f>
        <v>0</v>
      </c>
      <c r="D935" s="16">
        <f>'[1]SEPTEMBER 2022'!D116</f>
        <v>0</v>
      </c>
      <c r="E935" s="17">
        <f>'[1]SEPTEMBER 2022'!E116</f>
        <v>0</v>
      </c>
      <c r="F935" s="18">
        <f>'[1]SEPTEMBER 2022'!F116</f>
        <v>2692</v>
      </c>
      <c r="G935" s="4"/>
      <c r="H935" s="4"/>
    </row>
    <row r="936" spans="1:8" x14ac:dyDescent="0.2">
      <c r="A936" s="20">
        <f>'[1]SEPTEMBER 2022'!A117</f>
        <v>44821</v>
      </c>
      <c r="B936" s="14" t="str">
        <f>'[1]SEPTEMBER 2022'!B117</f>
        <v>VM</v>
      </c>
      <c r="C936" s="16">
        <f>'[1]SEPTEMBER 2022'!C117</f>
        <v>0</v>
      </c>
      <c r="D936" s="16">
        <f>'[1]SEPTEMBER 2022'!D117</f>
        <v>0</v>
      </c>
      <c r="E936" s="17">
        <f>'[1]SEPTEMBER 2022'!E117</f>
        <v>0</v>
      </c>
      <c r="F936" s="18">
        <f>'[1]SEPTEMBER 2022'!F117</f>
        <v>37.450000000000003</v>
      </c>
      <c r="G936" s="4"/>
      <c r="H936" s="4"/>
    </row>
    <row r="937" spans="1:8" x14ac:dyDescent="0.2">
      <c r="A937" s="20">
        <f>'[1]SEPTEMBER 2022'!A121</f>
        <v>44822</v>
      </c>
      <c r="B937" s="14" t="str">
        <f>'[1]SEPTEMBER 2022'!B121</f>
        <v>Rauchen</v>
      </c>
      <c r="C937" s="16">
        <f>'[1]SEPTEMBER 2022'!C121</f>
        <v>0</v>
      </c>
      <c r="D937" s="16">
        <f>'[1]SEPTEMBER 2022'!D121</f>
        <v>300</v>
      </c>
      <c r="E937" s="17">
        <f>'[1]SEPTEMBER 2022'!E121</f>
        <v>0</v>
      </c>
      <c r="F937" s="18">
        <f>'[1]SEPTEMBER 2022'!F121</f>
        <v>0</v>
      </c>
      <c r="G937" s="4"/>
      <c r="H937" s="4"/>
    </row>
    <row r="938" spans="1:8" x14ac:dyDescent="0.2">
      <c r="A938" s="23">
        <f>'[1]SEPTEMBER 2022'!A122</f>
        <v>44822</v>
      </c>
      <c r="B938" s="14" t="str">
        <f>'[1]SEPTEMBER 2022'!B122</f>
        <v>VM</v>
      </c>
      <c r="C938" s="16">
        <f>'[1]SEPTEMBER 2022'!C122</f>
        <v>0</v>
      </c>
      <c r="D938" s="16">
        <f>'[1]SEPTEMBER 2022'!D122</f>
        <v>0</v>
      </c>
      <c r="E938" s="17">
        <f>'[1]SEPTEMBER 2022'!E122</f>
        <v>0</v>
      </c>
      <c r="F938" s="18">
        <f>'[1]SEPTEMBER 2022'!F122</f>
        <v>29.96</v>
      </c>
      <c r="G938" s="4"/>
      <c r="H938" s="4"/>
    </row>
    <row r="939" spans="1:8" x14ac:dyDescent="0.2">
      <c r="A939" s="20">
        <f>'[1]SEPTEMBER 2022'!A123</f>
        <v>44822</v>
      </c>
      <c r="B939" s="14" t="str">
        <f>'[1]SEPTEMBER 2022'!B123</f>
        <v>LM</v>
      </c>
      <c r="C939" s="16">
        <f>'[1]SEPTEMBER 2022'!C123</f>
        <v>0</v>
      </c>
      <c r="D939" s="16">
        <f>'[1]SEPTEMBER 2022'!D123</f>
        <v>490</v>
      </c>
      <c r="E939" s="17">
        <f>'[1]SEPTEMBER 2022'!E123</f>
        <v>0</v>
      </c>
      <c r="F939" s="18">
        <f>'[1]SEPTEMBER 2022'!F123</f>
        <v>0</v>
      </c>
      <c r="G939" s="4"/>
      <c r="H939" s="4"/>
    </row>
    <row r="940" spans="1:8" x14ac:dyDescent="0.2">
      <c r="A940" s="23">
        <f>'[1]SEPTEMBER 2022'!A124</f>
        <v>44822</v>
      </c>
      <c r="B940" s="14" t="str">
        <f>'[1]SEPTEMBER 2022'!B124</f>
        <v>VM</v>
      </c>
      <c r="C940" s="16">
        <f>'[1]SEPTEMBER 2022'!C124</f>
        <v>0</v>
      </c>
      <c r="D940" s="16">
        <f>'[1]SEPTEMBER 2022'!D124</f>
        <v>0</v>
      </c>
      <c r="E940" s="17">
        <f>'[1]SEPTEMBER 2022'!E124</f>
        <v>0</v>
      </c>
      <c r="F940" s="18">
        <f>'[1]SEPTEMBER 2022'!F124</f>
        <v>1953</v>
      </c>
      <c r="G940" s="4"/>
      <c r="H940" s="4"/>
    </row>
    <row r="941" spans="1:8" x14ac:dyDescent="0.2">
      <c r="A941" s="23">
        <f>'[1]SEPTEMBER 2022'!A128</f>
        <v>44823</v>
      </c>
      <c r="B941" s="14" t="str">
        <f>'[1]SEPTEMBER 2022'!B128</f>
        <v>none</v>
      </c>
      <c r="C941" s="16">
        <f>'[1]SEPTEMBER 2022'!C128</f>
        <v>0</v>
      </c>
      <c r="D941" s="16">
        <f>'[1]SEPTEMBER 2022'!D128</f>
        <v>26730</v>
      </c>
      <c r="E941" s="17">
        <f>'[1]SEPTEMBER 2022'!E128</f>
        <v>0</v>
      </c>
      <c r="F941" s="18">
        <f>'[1]SEPTEMBER 2022'!F128</f>
        <v>0</v>
      </c>
      <c r="G941" s="4"/>
      <c r="H941" s="4"/>
    </row>
    <row r="942" spans="1:8" x14ac:dyDescent="0.2">
      <c r="A942" s="20">
        <f>'[1]SEPTEMBER 2022'!A129</f>
        <v>44823</v>
      </c>
      <c r="B942" s="14" t="str">
        <f>'[1]SEPTEMBER 2022'!B129</f>
        <v>LM</v>
      </c>
      <c r="C942" s="16">
        <f>'[1]SEPTEMBER 2022'!C129</f>
        <v>0</v>
      </c>
      <c r="D942" s="16">
        <f>'[1]SEPTEMBER 2022'!D129</f>
        <v>1410</v>
      </c>
      <c r="E942" s="17">
        <f>'[1]SEPTEMBER 2022'!E129</f>
        <v>0</v>
      </c>
      <c r="F942" s="18">
        <f>'[1]SEPTEMBER 2022'!F129</f>
        <v>0</v>
      </c>
      <c r="G942" s="4"/>
      <c r="H942" s="4"/>
    </row>
    <row r="943" spans="1:8" x14ac:dyDescent="0.2">
      <c r="A943" s="23">
        <f>'[1]SEPTEMBER 2022'!A130</f>
        <v>44823</v>
      </c>
      <c r="B943" s="14" t="str">
        <f>'[1]SEPTEMBER 2022'!B130</f>
        <v>VM</v>
      </c>
      <c r="C943" s="16">
        <f>'[1]SEPTEMBER 2022'!C130</f>
        <v>0</v>
      </c>
      <c r="D943" s="16">
        <f>'[1]SEPTEMBER 2022'!D130</f>
        <v>0</v>
      </c>
      <c r="E943" s="17">
        <f>'[1]SEPTEMBER 2022'!E130</f>
        <v>0</v>
      </c>
      <c r="F943" s="18">
        <f>'[1]SEPTEMBER 2022'!F130</f>
        <v>318</v>
      </c>
      <c r="G943" s="4"/>
      <c r="H943" s="4"/>
    </row>
    <row r="944" spans="1:8" x14ac:dyDescent="0.2">
      <c r="A944" s="20">
        <f>'[1]SEPTEMBER 2022'!A135</f>
        <v>44824</v>
      </c>
      <c r="B944" s="14" t="str">
        <f>'[1]SEPTEMBER 2022'!B135</f>
        <v>LM</v>
      </c>
      <c r="C944" s="16">
        <f>'[1]SEPTEMBER 2022'!C135</f>
        <v>0</v>
      </c>
      <c r="D944" s="16">
        <f>'[1]SEPTEMBER 2022'!D135</f>
        <v>1067.7</v>
      </c>
      <c r="E944" s="17">
        <f>'[1]SEPTEMBER 2022'!E135</f>
        <v>0</v>
      </c>
      <c r="F944" s="18">
        <f>'[1]SEPTEMBER 2022'!F135</f>
        <v>0</v>
      </c>
      <c r="G944" s="4"/>
      <c r="H944" s="4"/>
    </row>
    <row r="945" spans="1:8" x14ac:dyDescent="0.2">
      <c r="A945" s="23">
        <f>'[1]SEPTEMBER 2022'!A136</f>
        <v>44824</v>
      </c>
      <c r="B945" s="14" t="str">
        <f>'[1]SEPTEMBER 2022'!B136</f>
        <v>VM</v>
      </c>
      <c r="C945" s="16">
        <f>'[1]SEPTEMBER 2022'!C136</f>
        <v>0</v>
      </c>
      <c r="D945" s="16">
        <f>'[1]SEPTEMBER 2022'!D136</f>
        <v>0</v>
      </c>
      <c r="E945" s="17">
        <f>'[1]SEPTEMBER 2022'!E136</f>
        <v>0</v>
      </c>
      <c r="F945" s="18">
        <f>'[1]SEPTEMBER 2022'!F136</f>
        <v>504</v>
      </c>
      <c r="G945" s="4"/>
      <c r="H945" s="4"/>
    </row>
    <row r="946" spans="1:8" x14ac:dyDescent="0.2">
      <c r="A946" s="23">
        <f>'[1]SEPTEMBER 2022'!A142</f>
        <v>44825</v>
      </c>
      <c r="B946" s="14" t="str">
        <f>'[1]SEPTEMBER 2022'!B142</f>
        <v>LM</v>
      </c>
      <c r="C946" s="16">
        <f>'[1]SEPTEMBER 2022'!C142</f>
        <v>0</v>
      </c>
      <c r="D946" s="16">
        <f>'[1]SEPTEMBER 2022'!D142</f>
        <v>891</v>
      </c>
      <c r="E946" s="17">
        <f>'[1]SEPTEMBER 2022'!E142</f>
        <v>0</v>
      </c>
      <c r="F946" s="18">
        <f>'[1]SEPTEMBER 2022'!F142</f>
        <v>0</v>
      </c>
      <c r="G946" s="4"/>
      <c r="H946" s="4"/>
    </row>
    <row r="947" spans="1:8" x14ac:dyDescent="0.2">
      <c r="A947" s="20">
        <f>'[1]SEPTEMBER 2022'!A143</f>
        <v>44825</v>
      </c>
      <c r="B947" s="14" t="str">
        <f>'[1]SEPTEMBER 2022'!B143</f>
        <v>VM</v>
      </c>
      <c r="C947" s="16">
        <f>'[1]SEPTEMBER 2022'!C143</f>
        <v>0</v>
      </c>
      <c r="D947" s="16">
        <f>'[1]SEPTEMBER 2022'!D143</f>
        <v>0</v>
      </c>
      <c r="E947" s="17">
        <f>'[1]SEPTEMBER 2022'!E143</f>
        <v>0</v>
      </c>
      <c r="F947" s="18">
        <f>'[1]SEPTEMBER 2022'!F143</f>
        <v>336</v>
      </c>
      <c r="G947" s="4"/>
      <c r="H947" s="4"/>
    </row>
    <row r="948" spans="1:8" x14ac:dyDescent="0.2">
      <c r="A948" s="20">
        <f>'[1]SEPTEMBER 2022'!A149</f>
        <v>44826</v>
      </c>
      <c r="B948" s="14" t="str">
        <f>'[1]SEPTEMBER 2022'!B149</f>
        <v>LM</v>
      </c>
      <c r="C948" s="16">
        <f>'[1]SEPTEMBER 2022'!C149</f>
        <v>0</v>
      </c>
      <c r="D948" s="16">
        <f>'[1]SEPTEMBER 2022'!D149</f>
        <v>1324.8</v>
      </c>
      <c r="E948" s="17">
        <f>'[1]SEPTEMBER 2022'!E149</f>
        <v>0</v>
      </c>
      <c r="F948" s="18">
        <f>'[1]SEPTEMBER 2022'!F149</f>
        <v>0</v>
      </c>
      <c r="G948" s="4"/>
      <c r="H948" s="4"/>
    </row>
    <row r="949" spans="1:8" x14ac:dyDescent="0.2">
      <c r="A949" s="23">
        <f>'[1]SEPTEMBER 2022'!A150</f>
        <v>44826</v>
      </c>
      <c r="B949" s="14" t="str">
        <f>'[1]SEPTEMBER 2022'!B150</f>
        <v>VM</v>
      </c>
      <c r="C949" s="16">
        <f>'[1]SEPTEMBER 2022'!C150</f>
        <v>0</v>
      </c>
      <c r="D949" s="16">
        <f>'[1]SEPTEMBER 2022'!D150</f>
        <v>0</v>
      </c>
      <c r="E949" s="17">
        <f>'[1]SEPTEMBER 2022'!E150</f>
        <v>0</v>
      </c>
      <c r="F949" s="18">
        <f>'[1]SEPTEMBER 2022'!F150</f>
        <v>353</v>
      </c>
      <c r="G949" s="4"/>
      <c r="H949" s="4"/>
    </row>
    <row r="950" spans="1:8" x14ac:dyDescent="0.2">
      <c r="A950" s="23">
        <f>'[1]SEPTEMBER 2022'!A156</f>
        <v>44827</v>
      </c>
      <c r="B950" s="14" t="str">
        <f>'[1]SEPTEMBER 2022'!B156</f>
        <v>VM</v>
      </c>
      <c r="C950" s="16">
        <f>'[1]SEPTEMBER 2022'!C156</f>
        <v>0</v>
      </c>
      <c r="D950" s="16">
        <f>'[1]SEPTEMBER 2022'!D156</f>
        <v>3425.3999999999996</v>
      </c>
      <c r="E950" s="17">
        <f>'[1]SEPTEMBER 2022'!E156</f>
        <v>0</v>
      </c>
      <c r="F950" s="18">
        <f>'[1]SEPTEMBER 2022'!F156</f>
        <v>1069</v>
      </c>
      <c r="G950" s="4"/>
      <c r="H950" s="4"/>
    </row>
    <row r="951" spans="1:8" x14ac:dyDescent="0.2">
      <c r="A951" s="20">
        <f>'[1]SEPTEMBER 2022'!A157</f>
        <v>44827</v>
      </c>
      <c r="B951" s="14" t="str">
        <f>'[1]SEPTEMBER 2022'!B157</f>
        <v>Refill</v>
      </c>
      <c r="C951" s="16">
        <f>'[1]SEPTEMBER 2022'!C157</f>
        <v>36018</v>
      </c>
      <c r="D951" s="16">
        <f>'[1]SEPTEMBER 2022'!D157</f>
        <v>0</v>
      </c>
      <c r="E951" s="17">
        <f>'[1]SEPTEMBER 2022'!E157</f>
        <v>0</v>
      </c>
      <c r="F951" s="18">
        <f>'[1]SEPTEMBER 2022'!F157</f>
        <v>0</v>
      </c>
      <c r="G951" s="4"/>
      <c r="H951" s="4"/>
    </row>
    <row r="952" spans="1:8" x14ac:dyDescent="0.2">
      <c r="A952" s="23">
        <f>'[1]SEPTEMBER 2022'!A158</f>
        <v>44827</v>
      </c>
      <c r="B952" s="14" t="str">
        <f>'[1]SEPTEMBER 2022'!B158</f>
        <v>LM</v>
      </c>
      <c r="C952" s="16">
        <f>'[1]SEPTEMBER 2022'!C158</f>
        <v>0</v>
      </c>
      <c r="D952" s="16">
        <f>'[1]SEPTEMBER 2022'!D158</f>
        <v>1057.49</v>
      </c>
      <c r="E952" s="17">
        <f>'[1]SEPTEMBER 2022'!E158</f>
        <v>0</v>
      </c>
      <c r="F952" s="18">
        <f>'[1]SEPTEMBER 2022'!F158</f>
        <v>0</v>
      </c>
      <c r="G952" s="4"/>
      <c r="H952" s="4"/>
    </row>
    <row r="953" spans="1:8" x14ac:dyDescent="0.2">
      <c r="A953" s="20">
        <f>'[1]SEPTEMBER 2022'!A163</f>
        <v>44828</v>
      </c>
      <c r="B953" s="14" t="str">
        <f>'[1]SEPTEMBER 2022'!B163</f>
        <v>Rauchen</v>
      </c>
      <c r="C953" s="16">
        <f>'[1]SEPTEMBER 2022'!C163</f>
        <v>0</v>
      </c>
      <c r="D953" s="16">
        <f>'[1]SEPTEMBER 2022'!D163</f>
        <v>150</v>
      </c>
      <c r="E953" s="17">
        <f>'[1]SEPTEMBER 2022'!E163</f>
        <v>0</v>
      </c>
      <c r="F953" s="18">
        <f>'[1]SEPTEMBER 2022'!F163</f>
        <v>0</v>
      </c>
      <c r="G953" s="4"/>
      <c r="H953" s="4"/>
    </row>
    <row r="954" spans="1:8" x14ac:dyDescent="0.2">
      <c r="A954" s="23">
        <f>'[1]SEPTEMBER 2022'!A164</f>
        <v>44828</v>
      </c>
      <c r="B954" s="14" t="str">
        <f>'[1]SEPTEMBER 2022'!B164</f>
        <v>LM</v>
      </c>
      <c r="C954" s="16">
        <f>'[1]SEPTEMBER 2022'!C164</f>
        <v>0</v>
      </c>
      <c r="D954" s="16">
        <f>'[1]SEPTEMBER 2022'!D164</f>
        <v>555.70000000000005</v>
      </c>
      <c r="E954" s="17">
        <f>'[1]SEPTEMBER 2022'!E164</f>
        <v>0</v>
      </c>
      <c r="F954" s="18">
        <f>'[1]SEPTEMBER 2022'!F164</f>
        <v>0</v>
      </c>
      <c r="G954" s="4"/>
      <c r="H954" s="4"/>
    </row>
    <row r="955" spans="1:8" x14ac:dyDescent="0.2">
      <c r="A955" s="20">
        <f>'[1]SEPTEMBER 2022'!A165</f>
        <v>44828</v>
      </c>
      <c r="B955" s="14" t="str">
        <f>'[1]SEPTEMBER 2022'!B165</f>
        <v>VM</v>
      </c>
      <c r="C955" s="16">
        <f>'[1]SEPTEMBER 2022'!C165</f>
        <v>0</v>
      </c>
      <c r="D955" s="16">
        <f>'[1]SEPTEMBER 2022'!D165</f>
        <v>0</v>
      </c>
      <c r="E955" s="17">
        <f>'[1]SEPTEMBER 2022'!E165</f>
        <v>0</v>
      </c>
      <c r="F955" s="18">
        <f>'[1]SEPTEMBER 2022'!F165</f>
        <v>1030</v>
      </c>
      <c r="G955" s="4"/>
      <c r="H955" s="4"/>
    </row>
    <row r="956" spans="1:8" x14ac:dyDescent="0.2">
      <c r="A956" s="23">
        <f>'[1]SEPTEMBER 2022'!A170</f>
        <v>44829</v>
      </c>
      <c r="B956" s="14" t="str">
        <f>'[1]SEPTEMBER 2022'!B170</f>
        <v>Party</v>
      </c>
      <c r="C956" s="16">
        <f>'[1]SEPTEMBER 2022'!C170</f>
        <v>0</v>
      </c>
      <c r="D956" s="16">
        <f>'[1]SEPTEMBER 2022'!D170</f>
        <v>538</v>
      </c>
      <c r="E956" s="17">
        <f>'[1]SEPTEMBER 2022'!E170</f>
        <v>0</v>
      </c>
      <c r="F956" s="18">
        <f>'[1]SEPTEMBER 2022'!F170</f>
        <v>0</v>
      </c>
      <c r="G956" s="4"/>
      <c r="H956" s="4"/>
    </row>
    <row r="957" spans="1:8" x14ac:dyDescent="0.2">
      <c r="A957" s="20">
        <f>'[1]SEPTEMBER 2022'!A171</f>
        <v>44829</v>
      </c>
      <c r="B957" s="14" t="str">
        <f>'[1]SEPTEMBER 2022'!B171</f>
        <v>LM</v>
      </c>
      <c r="C957" s="16">
        <f>'[1]SEPTEMBER 2022'!C171</f>
        <v>0</v>
      </c>
      <c r="D957" s="16">
        <f>'[1]SEPTEMBER 2022'!D171</f>
        <v>545</v>
      </c>
      <c r="E957" s="17">
        <f>'[1]SEPTEMBER 2022'!E171</f>
        <v>0</v>
      </c>
      <c r="F957" s="18">
        <f>'[1]SEPTEMBER 2022'!F171</f>
        <v>0</v>
      </c>
      <c r="G957" s="4"/>
      <c r="H957" s="4"/>
    </row>
    <row r="958" spans="1:8" x14ac:dyDescent="0.2">
      <c r="A958" s="23">
        <f>'[1]SEPTEMBER 2022'!A172</f>
        <v>44829</v>
      </c>
      <c r="B958" s="14" t="str">
        <f>'[1]SEPTEMBER 2022'!B172</f>
        <v>Andere</v>
      </c>
      <c r="C958" s="16">
        <f>'[1]SEPTEMBER 2022'!C172</f>
        <v>0</v>
      </c>
      <c r="D958" s="16">
        <f>'[1]SEPTEMBER 2022'!D172</f>
        <v>0</v>
      </c>
      <c r="E958" s="17">
        <f>'[1]SEPTEMBER 2022'!E172</f>
        <v>0</v>
      </c>
      <c r="F958" s="18">
        <f>'[1]SEPTEMBER 2022'!F172</f>
        <v>356.53</v>
      </c>
      <c r="G958" s="4"/>
      <c r="H958" s="4"/>
    </row>
    <row r="959" spans="1:8" x14ac:dyDescent="0.2">
      <c r="A959" s="20">
        <f>'[1]SEPTEMBER 2022'!A173</f>
        <v>44829</v>
      </c>
      <c r="B959" s="14" t="str">
        <f>'[1]SEPTEMBER 2022'!B173</f>
        <v>VM</v>
      </c>
      <c r="C959" s="16">
        <f>'[1]SEPTEMBER 2022'!C173</f>
        <v>0</v>
      </c>
      <c r="D959" s="16">
        <f>'[1]SEPTEMBER 2022'!D173</f>
        <v>0</v>
      </c>
      <c r="E959" s="17">
        <f>'[1]SEPTEMBER 2022'!E173</f>
        <v>0</v>
      </c>
      <c r="F959" s="18">
        <f>'[1]SEPTEMBER 2022'!F173</f>
        <v>421</v>
      </c>
      <c r="G959" s="4"/>
      <c r="H959" s="4"/>
    </row>
    <row r="960" spans="1:8" x14ac:dyDescent="0.2">
      <c r="A960" s="20">
        <f>'[1]SEPTEMBER 2022'!A177</f>
        <v>44830</v>
      </c>
      <c r="B960" s="14" t="str">
        <f>'[1]SEPTEMBER 2022'!B177</f>
        <v>VM</v>
      </c>
      <c r="C960" s="16">
        <f>'[1]SEPTEMBER 2022'!C177</f>
        <v>0</v>
      </c>
      <c r="D960" s="16">
        <f>'[1]SEPTEMBER 2022'!D177</f>
        <v>51</v>
      </c>
      <c r="E960" s="17">
        <f>'[1]SEPTEMBER 2022'!E177</f>
        <v>0</v>
      </c>
      <c r="F960" s="18">
        <f>'[1]SEPTEMBER 2022'!F177</f>
        <v>361</v>
      </c>
      <c r="G960" s="4"/>
      <c r="H960" s="4"/>
    </row>
    <row r="961" spans="1:8" x14ac:dyDescent="0.2">
      <c r="A961" s="23">
        <f>'[1]SEPTEMBER 2022'!A178</f>
        <v>44830</v>
      </c>
      <c r="B961" s="14" t="str">
        <f>'[1]SEPTEMBER 2022'!B178</f>
        <v>LM</v>
      </c>
      <c r="C961" s="16">
        <f>'[1]SEPTEMBER 2022'!C178</f>
        <v>0</v>
      </c>
      <c r="D961" s="16">
        <f>'[1]SEPTEMBER 2022'!D178</f>
        <v>50.76</v>
      </c>
      <c r="E961" s="17">
        <f>'[1]SEPTEMBER 2022'!E178</f>
        <v>0</v>
      </c>
      <c r="F961" s="18">
        <f>'[1]SEPTEMBER 2022'!F178</f>
        <v>0</v>
      </c>
      <c r="G961" s="4"/>
      <c r="H961" s="4"/>
    </row>
    <row r="962" spans="1:8" x14ac:dyDescent="0.2">
      <c r="A962" s="23">
        <f>'[1]SEPTEMBER 2022'!A184</f>
        <v>44831</v>
      </c>
      <c r="B962" s="14" t="str">
        <f>'[1]SEPTEMBER 2022'!B184</f>
        <v>LM</v>
      </c>
      <c r="C962" s="16">
        <f>'[1]SEPTEMBER 2022'!C184</f>
        <v>0</v>
      </c>
      <c r="D962" s="16">
        <f>'[1]SEPTEMBER 2022'!D184</f>
        <v>583</v>
      </c>
      <c r="E962" s="17">
        <f>'[1]SEPTEMBER 2022'!E184</f>
        <v>0</v>
      </c>
      <c r="F962" s="18">
        <f>'[1]SEPTEMBER 2022'!F184</f>
        <v>200</v>
      </c>
      <c r="G962" s="4"/>
      <c r="H962" s="4"/>
    </row>
    <row r="963" spans="1:8" x14ac:dyDescent="0.2">
      <c r="A963" s="20">
        <f>'[1]SEPTEMBER 2022'!A185</f>
        <v>44831</v>
      </c>
      <c r="B963" s="14" t="str">
        <f>'[1]SEPTEMBER 2022'!B185</f>
        <v>Rauchen</v>
      </c>
      <c r="C963" s="16">
        <f>'[1]SEPTEMBER 2022'!C185</f>
        <v>0</v>
      </c>
      <c r="D963" s="16">
        <f>'[1]SEPTEMBER 2022'!D185</f>
        <v>150</v>
      </c>
      <c r="E963" s="17">
        <f>'[1]SEPTEMBER 2022'!E185</f>
        <v>0</v>
      </c>
      <c r="F963" s="18">
        <f>'[1]SEPTEMBER 2022'!F185</f>
        <v>0</v>
      </c>
      <c r="G963" s="4"/>
      <c r="H963" s="4"/>
    </row>
    <row r="964" spans="1:8" x14ac:dyDescent="0.2">
      <c r="A964" s="23">
        <f>'[1]SEPTEMBER 2022'!A186</f>
        <v>44831</v>
      </c>
      <c r="B964" s="14" t="str">
        <f>'[1]SEPTEMBER 2022'!B186</f>
        <v>VM</v>
      </c>
      <c r="C964" s="16">
        <f>'[1]SEPTEMBER 2022'!C186</f>
        <v>0</v>
      </c>
      <c r="D964" s="16">
        <f>'[1]SEPTEMBER 2022'!D186</f>
        <v>51</v>
      </c>
      <c r="E964" s="17">
        <f>'[1]SEPTEMBER 2022'!E186</f>
        <v>0</v>
      </c>
      <c r="F964" s="18">
        <f>'[1]SEPTEMBER 2022'!F186</f>
        <v>27.96</v>
      </c>
      <c r="G964" s="4"/>
      <c r="H964" s="4"/>
    </row>
    <row r="965" spans="1:8" x14ac:dyDescent="0.2">
      <c r="A965" s="20">
        <f>'[1]SEPTEMBER 2022'!A187</f>
        <v>44831</v>
      </c>
      <c r="B965" s="14" t="str">
        <f>'[1]SEPTEMBER 2022'!B187</f>
        <v>Refill</v>
      </c>
      <c r="C965" s="16">
        <f>'[1]SEPTEMBER 2022'!C187</f>
        <v>42830</v>
      </c>
      <c r="D965" s="16">
        <f>'[1]SEPTEMBER 2022'!D187</f>
        <v>0</v>
      </c>
      <c r="E965" s="17">
        <f>'[1]SEPTEMBER 2022'!E187</f>
        <v>0</v>
      </c>
      <c r="F965" s="18">
        <f>'[1]SEPTEMBER 2022'!F187</f>
        <v>0</v>
      </c>
      <c r="G965" s="4"/>
      <c r="H965" s="4"/>
    </row>
    <row r="966" spans="1:8" x14ac:dyDescent="0.2">
      <c r="A966" s="23">
        <f>'[1]SEPTEMBER 2022'!A188</f>
        <v>44831</v>
      </c>
      <c r="B966" s="14" t="str">
        <f>'[1]SEPTEMBER 2022'!B188</f>
        <v>LM</v>
      </c>
      <c r="C966" s="16">
        <f>'[1]SEPTEMBER 2022'!C188</f>
        <v>0</v>
      </c>
      <c r="D966" s="16">
        <f>'[1]SEPTEMBER 2022'!D188</f>
        <v>784.74</v>
      </c>
      <c r="E966" s="17">
        <f>'[1]SEPTEMBER 2022'!E188</f>
        <v>0</v>
      </c>
      <c r="F966" s="18">
        <f>'[1]SEPTEMBER 2022'!F188</f>
        <v>0</v>
      </c>
      <c r="G966" s="4"/>
      <c r="H966" s="4"/>
    </row>
    <row r="967" spans="1:8" x14ac:dyDescent="0.2">
      <c r="A967" s="20">
        <f>'[1]SEPTEMBER 2022'!A191</f>
        <v>44832</v>
      </c>
      <c r="B967" s="14" t="str">
        <f>'[1]SEPTEMBER 2022'!B191</f>
        <v>LM</v>
      </c>
      <c r="C967" s="16">
        <f>'[1]SEPTEMBER 2022'!C191</f>
        <v>0</v>
      </c>
      <c r="D967" s="16">
        <f>'[1]SEPTEMBER 2022'!D191</f>
        <v>425</v>
      </c>
      <c r="E967" s="17">
        <f>'[1]SEPTEMBER 2022'!E191</f>
        <v>0</v>
      </c>
      <c r="F967" s="18">
        <f>'[1]SEPTEMBER 2022'!F191</f>
        <v>0</v>
      </c>
      <c r="G967" s="4"/>
      <c r="H967" s="4"/>
    </row>
    <row r="968" spans="1:8" x14ac:dyDescent="0.2">
      <c r="A968" s="23">
        <f>'[1]SEPTEMBER 2022'!A192</f>
        <v>44832</v>
      </c>
      <c r="B968" s="14" t="str">
        <f>'[1]SEPTEMBER 2022'!B192</f>
        <v>VM</v>
      </c>
      <c r="C968" s="16">
        <f>'[1]SEPTEMBER 2022'!C192</f>
        <v>0</v>
      </c>
      <c r="D968" s="16">
        <f>'[1]SEPTEMBER 2022'!D192</f>
        <v>0</v>
      </c>
      <c r="E968" s="17">
        <f>'[1]SEPTEMBER 2022'!E192</f>
        <v>0</v>
      </c>
      <c r="F968" s="18">
        <f>'[1]SEPTEMBER 2022'!F192</f>
        <v>370</v>
      </c>
      <c r="G968" s="4"/>
      <c r="H968" s="4"/>
    </row>
    <row r="969" spans="1:8" x14ac:dyDescent="0.2">
      <c r="A969" s="23">
        <f>'[1]SEPTEMBER 2022'!A198</f>
        <v>44833</v>
      </c>
      <c r="B969" s="14" t="str">
        <f>'[1]SEPTEMBER 2022'!B198</f>
        <v>LM</v>
      </c>
      <c r="C969" s="16">
        <f>'[1]SEPTEMBER 2022'!C198</f>
        <v>0</v>
      </c>
      <c r="D969" s="16">
        <f>'[1]SEPTEMBER 2022'!D198</f>
        <v>611</v>
      </c>
      <c r="E969" s="17">
        <f>'[1]SEPTEMBER 2022'!E198</f>
        <v>0</v>
      </c>
      <c r="F969" s="18">
        <f>'[1]SEPTEMBER 2022'!F198</f>
        <v>0</v>
      </c>
      <c r="G969" s="4"/>
      <c r="H969" s="4"/>
    </row>
    <row r="970" spans="1:8" x14ac:dyDescent="0.2">
      <c r="A970" s="20">
        <f>'[1]SEPTEMBER 2022'!A199</f>
        <v>44833</v>
      </c>
      <c r="B970" s="14" t="str">
        <f>'[1]SEPTEMBER 2022'!B199</f>
        <v>Andere</v>
      </c>
      <c r="C970" s="16">
        <f>'[1]SEPTEMBER 2022'!C199</f>
        <v>0</v>
      </c>
      <c r="D970" s="16">
        <f>'[1]SEPTEMBER 2022'!D199</f>
        <v>500</v>
      </c>
      <c r="E970" s="17">
        <f>'[1]SEPTEMBER 2022'!E199</f>
        <v>0</v>
      </c>
      <c r="F970" s="18">
        <f>'[1]SEPTEMBER 2022'!F199</f>
        <v>0</v>
      </c>
      <c r="G970" s="4"/>
      <c r="H970" s="4"/>
    </row>
    <row r="971" spans="1:8" x14ac:dyDescent="0.2">
      <c r="A971" s="23">
        <f>'[1]SEPTEMBER 2022'!A200</f>
        <v>44833</v>
      </c>
      <c r="B971" s="14" t="str">
        <f>'[1]SEPTEMBER 2022'!B200</f>
        <v>VM</v>
      </c>
      <c r="C971" s="16">
        <f>'[1]SEPTEMBER 2022'!C200</f>
        <v>0</v>
      </c>
      <c r="D971" s="16">
        <f>'[1]SEPTEMBER 2022'!D200</f>
        <v>0</v>
      </c>
      <c r="E971" s="17">
        <f>'[1]SEPTEMBER 2022'!E200</f>
        <v>0</v>
      </c>
      <c r="F971" s="18">
        <f>'[1]SEPTEMBER 2022'!F200</f>
        <v>298.95999999999998</v>
      </c>
      <c r="G971" s="4"/>
      <c r="H971" s="4"/>
    </row>
    <row r="972" spans="1:8" x14ac:dyDescent="0.2">
      <c r="A972" s="20">
        <f>'[1]SEPTEMBER 2022'!A205</f>
        <v>44834</v>
      </c>
      <c r="B972" s="14" t="str">
        <f>'[1]SEPTEMBER 2022'!B205</f>
        <v>VM</v>
      </c>
      <c r="C972" s="16">
        <f>'[1]SEPTEMBER 2022'!C205</f>
        <v>0</v>
      </c>
      <c r="D972" s="16">
        <f>'[1]SEPTEMBER 2022'!D205</f>
        <v>51</v>
      </c>
      <c r="E972" s="17">
        <f>'[1]SEPTEMBER 2022'!E205</f>
        <v>0</v>
      </c>
      <c r="F972" s="18">
        <f>'[1]SEPTEMBER 2022'!F205</f>
        <v>0</v>
      </c>
      <c r="G972" s="4"/>
      <c r="H972" s="4"/>
    </row>
    <row r="973" spans="1:8" x14ac:dyDescent="0.2">
      <c r="A973" s="23">
        <f>'[1]SEPTEMBER 2022'!A206</f>
        <v>44834</v>
      </c>
      <c r="B973" s="14" t="str">
        <f>'[1]SEPTEMBER 2022'!B206</f>
        <v>for me</v>
      </c>
      <c r="C973" s="16">
        <f>'[1]SEPTEMBER 2022'!C206</f>
        <v>0</v>
      </c>
      <c r="D973" s="16">
        <f>'[1]SEPTEMBER 2022'!D206</f>
        <v>2300</v>
      </c>
      <c r="E973" s="17">
        <f>'[1]SEPTEMBER 2022'!E206</f>
        <v>0</v>
      </c>
      <c r="F973" s="18">
        <f>'[1]SEPTEMBER 2022'!F206</f>
        <v>0</v>
      </c>
      <c r="G973" s="4"/>
      <c r="H973" s="4"/>
    </row>
    <row r="974" spans="1:8" x14ac:dyDescent="0.2">
      <c r="A974" s="20">
        <f>'[1]SEPTEMBER 2022'!A207</f>
        <v>44834</v>
      </c>
      <c r="B974" s="14" t="str">
        <f>'[1]SEPTEMBER 2022'!B207</f>
        <v>Party</v>
      </c>
      <c r="C974" s="16">
        <f>'[1]SEPTEMBER 2022'!C207</f>
        <v>0</v>
      </c>
      <c r="D974" s="16">
        <f>'[1]SEPTEMBER 2022'!D207</f>
        <v>2137</v>
      </c>
      <c r="E974" s="17">
        <f>'[1]SEPTEMBER 2022'!E207</f>
        <v>0</v>
      </c>
      <c r="F974" s="18">
        <f>'[1]SEPTEMBER 2022'!F207</f>
        <v>0</v>
      </c>
      <c r="G974" s="4"/>
      <c r="H974" s="4"/>
    </row>
    <row r="975" spans="1:8" x14ac:dyDescent="0.2">
      <c r="A975" s="23">
        <f>'[1]SEPTEMBER 2022'!A208</f>
        <v>44834</v>
      </c>
      <c r="B975" s="14" t="str">
        <f>'[1]SEPTEMBER 2022'!B208</f>
        <v>Refill</v>
      </c>
      <c r="C975" s="16">
        <f>'[1]SEPTEMBER 2022'!C208</f>
        <v>1315.06</v>
      </c>
      <c r="D975" s="16">
        <f>'[1]SEPTEMBER 2022'!D208</f>
        <v>0</v>
      </c>
      <c r="E975" s="17">
        <f>'[1]SEPTEMBER 2022'!E208</f>
        <v>0</v>
      </c>
      <c r="F975" s="18">
        <f>'[1]SEPTEMBER 2022'!F208</f>
        <v>0</v>
      </c>
      <c r="G975" s="4"/>
      <c r="H975" s="4"/>
    </row>
    <row r="976" spans="1:8" x14ac:dyDescent="0.2">
      <c r="A976" s="20">
        <f>'[1]SEPTEMBER 2022'!A209</f>
        <v>44834</v>
      </c>
      <c r="B976" s="14" t="str">
        <f>'[1]SEPTEMBER 2022'!B209</f>
        <v>VM</v>
      </c>
      <c r="C976" s="16">
        <f>'[1]SEPTEMBER 2022'!C209</f>
        <v>0</v>
      </c>
      <c r="D976" s="16">
        <f>'[1]SEPTEMBER 2022'!D209</f>
        <v>0</v>
      </c>
      <c r="E976" s="17">
        <f>'[1]SEPTEMBER 2022'!E209</f>
        <v>0</v>
      </c>
      <c r="F976" s="18">
        <f>'[1]SEPTEMBER 2022'!F209</f>
        <v>398</v>
      </c>
      <c r="G976" s="4"/>
      <c r="H976" s="4"/>
    </row>
    <row r="977" spans="1:8" x14ac:dyDescent="0.2">
      <c r="A977" s="23">
        <f>'[1]SEPTEMBER 2022'!A210</f>
        <v>44834</v>
      </c>
      <c r="B977" s="14" t="str">
        <f>'[1]SEPTEMBER 2022'!B210</f>
        <v>LM</v>
      </c>
      <c r="C977" s="16">
        <f>'[1]SEPTEMBER 2022'!C210</f>
        <v>0</v>
      </c>
      <c r="D977" s="16">
        <f>'[1]SEPTEMBER 2022'!D210</f>
        <v>0</v>
      </c>
      <c r="E977" s="17">
        <f>'[1]SEPTEMBER 2022'!E210</f>
        <v>0</v>
      </c>
      <c r="F977" s="18">
        <f>'[1]SEPTEMBER 2022'!F210</f>
        <v>540</v>
      </c>
      <c r="G977" s="4"/>
      <c r="H977" s="4"/>
    </row>
    <row r="978" spans="1:8" x14ac:dyDescent="0.2">
      <c r="A978" s="23">
        <f>'[1]OCTOBER 2022'!A2</f>
        <v>44835</v>
      </c>
      <c r="B978" s="12" t="str">
        <f>'[1]OCTOBER 2022'!B2</f>
        <v>Andere</v>
      </c>
      <c r="C978" s="3">
        <f>'[1]OCTOBER 2022'!C2</f>
        <v>0</v>
      </c>
      <c r="D978" s="3">
        <f>'[1]OCTOBER 2022'!D2</f>
        <v>600</v>
      </c>
      <c r="E978" s="4">
        <f t="shared" ref="E978:E1008" si="63">IF(0,0,0)</f>
        <v>0</v>
      </c>
      <c r="F978" s="6">
        <f>'[1]OCTOBER 2022'!F2</f>
        <v>0</v>
      </c>
      <c r="G978" s="4"/>
      <c r="H978" s="4"/>
    </row>
    <row r="979" spans="1:8" x14ac:dyDescent="0.2">
      <c r="A979" s="20">
        <f>'[1]OCTOBER 2022'!A3</f>
        <v>44835</v>
      </c>
      <c r="B979" s="12" t="str">
        <f>'[1]OCTOBER 2022'!B3</f>
        <v>Party</v>
      </c>
      <c r="C979" s="3">
        <f>'[1]OCTOBER 2022'!C3</f>
        <v>0</v>
      </c>
      <c r="D979" s="3">
        <f>'[1]OCTOBER 2022'!D3</f>
        <v>3000</v>
      </c>
      <c r="E979" s="4">
        <f t="shared" si="63"/>
        <v>0</v>
      </c>
      <c r="F979" s="6">
        <f>'[1]OCTOBER 2022'!F3</f>
        <v>0</v>
      </c>
      <c r="G979" s="4"/>
      <c r="H979" s="4"/>
    </row>
    <row r="980" spans="1:8" x14ac:dyDescent="0.2">
      <c r="A980" s="23">
        <f>'[1]OCTOBER 2022'!A4</f>
        <v>44835</v>
      </c>
      <c r="B980" s="12" t="str">
        <f>'[1]OCTOBER 2022'!B4</f>
        <v>for me</v>
      </c>
      <c r="C980" s="3">
        <f>'[1]OCTOBER 2022'!C4</f>
        <v>0</v>
      </c>
      <c r="D980" s="3">
        <f>'[1]OCTOBER 2022'!D4</f>
        <v>870</v>
      </c>
      <c r="E980" s="4">
        <f t="shared" si="63"/>
        <v>0</v>
      </c>
      <c r="F980" s="6">
        <f>'[1]OCTOBER 2022'!F4</f>
        <v>0</v>
      </c>
      <c r="G980" s="4"/>
      <c r="H980" s="4"/>
    </row>
    <row r="981" spans="1:8" x14ac:dyDescent="0.2">
      <c r="A981" s="20">
        <f>'[1]OCTOBER 2022'!A5</f>
        <v>44835</v>
      </c>
      <c r="B981" s="12" t="str">
        <f>'[1]OCTOBER 2022'!B5</f>
        <v>LM</v>
      </c>
      <c r="C981" s="3">
        <f>'[1]OCTOBER 2022'!C5</f>
        <v>0</v>
      </c>
      <c r="D981" s="3">
        <f>'[1]OCTOBER 2022'!D5</f>
        <v>1527.6399999999999</v>
      </c>
      <c r="E981" s="4">
        <f t="shared" si="63"/>
        <v>0</v>
      </c>
      <c r="F981" s="6">
        <f>'[1]OCTOBER 2022'!F5</f>
        <v>0</v>
      </c>
      <c r="G981" s="4"/>
      <c r="H981" s="4"/>
    </row>
    <row r="982" spans="1:8" x14ac:dyDescent="0.2">
      <c r="A982" s="23">
        <f>'[1]OCTOBER 2022'!A6</f>
        <v>44835</v>
      </c>
      <c r="B982" s="12" t="str">
        <f>'[1]OCTOBER 2022'!B6</f>
        <v>Rauchen</v>
      </c>
      <c r="C982" s="3">
        <f>'[1]OCTOBER 2022'!C6</f>
        <v>0</v>
      </c>
      <c r="D982" s="3">
        <f>'[1]OCTOBER 2022'!D6</f>
        <v>140</v>
      </c>
      <c r="E982" s="4">
        <f t="shared" si="63"/>
        <v>0</v>
      </c>
      <c r="F982" s="6">
        <f>'[1]OCTOBER 2022'!F6</f>
        <v>0</v>
      </c>
      <c r="G982" s="4"/>
      <c r="H982" s="4"/>
    </row>
    <row r="983" spans="1:8" x14ac:dyDescent="0.2">
      <c r="A983" s="20">
        <f>'[1]OCTOBER 2022'!A7</f>
        <v>44835</v>
      </c>
      <c r="B983" s="12" t="str">
        <f>'[1]OCTOBER 2022'!B7</f>
        <v>VM</v>
      </c>
      <c r="C983" s="3">
        <f>'[1]OCTOBER 2022'!C7</f>
        <v>0</v>
      </c>
      <c r="D983" s="3">
        <f>'[1]OCTOBER 2022'!D7</f>
        <v>0</v>
      </c>
      <c r="E983" s="4">
        <f t="shared" si="63"/>
        <v>0</v>
      </c>
      <c r="F983" s="6">
        <f>'[1]OCTOBER 2022'!F7</f>
        <v>44.94</v>
      </c>
      <c r="G983" s="4"/>
      <c r="H983" s="4"/>
    </row>
    <row r="984" spans="1:8" x14ac:dyDescent="0.2">
      <c r="A984" s="20">
        <f>'[1]OCTOBER 2022'!A9</f>
        <v>44836</v>
      </c>
      <c r="B984" s="12" t="str">
        <f>'[1]OCTOBER 2022'!B9</f>
        <v>Andere</v>
      </c>
      <c r="C984" s="3">
        <f>'[1]OCTOBER 2022'!C9</f>
        <v>0</v>
      </c>
      <c r="D984" s="3">
        <f>'[1]OCTOBER 2022'!D9</f>
        <v>550</v>
      </c>
      <c r="E984" s="4">
        <f t="shared" si="63"/>
        <v>0</v>
      </c>
      <c r="F984" s="6">
        <f>'[1]OCTOBER 2022'!F9</f>
        <v>0</v>
      </c>
      <c r="G984" s="4"/>
      <c r="H984" s="4"/>
    </row>
    <row r="985" spans="1:8" x14ac:dyDescent="0.2">
      <c r="A985" s="23">
        <f>'[1]OCTOBER 2022'!A10</f>
        <v>44836</v>
      </c>
      <c r="B985" s="12" t="str">
        <f>'[1]OCTOBER 2022'!B10</f>
        <v>LM</v>
      </c>
      <c r="C985" s="3">
        <f>'[1]OCTOBER 2022'!C10</f>
        <v>0</v>
      </c>
      <c r="D985" s="3">
        <f>'[1]OCTOBER 2022'!D10</f>
        <v>307</v>
      </c>
      <c r="E985" s="4">
        <f t="shared" si="63"/>
        <v>0</v>
      </c>
      <c r="F985" s="6">
        <f>'[1]OCTOBER 2022'!F10</f>
        <v>290</v>
      </c>
      <c r="G985" s="4"/>
      <c r="H985" s="4"/>
    </row>
    <row r="986" spans="1:8" x14ac:dyDescent="0.2">
      <c r="A986" s="20">
        <f>'[1]OCTOBER 2022'!A11</f>
        <v>44836</v>
      </c>
      <c r="B986" s="12" t="str">
        <f>'[1]OCTOBER 2022'!B11</f>
        <v>none</v>
      </c>
      <c r="C986" s="3">
        <f>'[1]OCTOBER 2022'!C11</f>
        <v>0</v>
      </c>
      <c r="D986" s="3">
        <f>'[1]OCTOBER 2022'!D11</f>
        <v>590.67999999999995</v>
      </c>
      <c r="E986" s="4">
        <f t="shared" si="63"/>
        <v>0</v>
      </c>
      <c r="F986" s="6">
        <f>'[1]OCTOBER 2022'!F11</f>
        <v>0</v>
      </c>
      <c r="G986" s="4"/>
      <c r="H986" s="4"/>
    </row>
    <row r="987" spans="1:8" x14ac:dyDescent="0.2">
      <c r="A987" s="23">
        <f>'[1]OCTOBER 2022'!A16</f>
        <v>44837</v>
      </c>
      <c r="B987" s="12" t="str">
        <f>'[1]OCTOBER 2022'!B16</f>
        <v>Rauchen</v>
      </c>
      <c r="C987" s="3">
        <f>'[1]OCTOBER 2022'!C16</f>
        <v>0</v>
      </c>
      <c r="D987" s="3">
        <f>'[1]OCTOBER 2022'!D16</f>
        <v>165</v>
      </c>
      <c r="E987" s="4">
        <f t="shared" si="63"/>
        <v>0</v>
      </c>
      <c r="F987" s="6">
        <f>'[1]OCTOBER 2022'!F16</f>
        <v>0</v>
      </c>
      <c r="G987" s="4"/>
      <c r="H987" s="4"/>
    </row>
    <row r="988" spans="1:8" x14ac:dyDescent="0.2">
      <c r="A988" s="20">
        <f>'[1]OCTOBER 2022'!A17</f>
        <v>44837</v>
      </c>
      <c r="B988" s="12" t="str">
        <f>'[1]OCTOBER 2022'!B17</f>
        <v>VM</v>
      </c>
      <c r="C988" s="3">
        <f>'[1]OCTOBER 2022'!C17</f>
        <v>0</v>
      </c>
      <c r="D988" s="3">
        <f>'[1]OCTOBER 2022'!D17</f>
        <v>0</v>
      </c>
      <c r="E988" s="4">
        <f t="shared" si="63"/>
        <v>0</v>
      </c>
      <c r="F988" s="6">
        <f>'[1]OCTOBER 2022'!F17</f>
        <v>370</v>
      </c>
      <c r="G988" s="4"/>
      <c r="H988" s="4"/>
    </row>
    <row r="989" spans="1:8" x14ac:dyDescent="0.2">
      <c r="A989" s="20">
        <f>'[1]OCTOBER 2022'!A23</f>
        <v>44838</v>
      </c>
      <c r="B989" s="12" t="str">
        <f>'[1]OCTOBER 2022'!B23</f>
        <v>Andere</v>
      </c>
      <c r="C989" s="3">
        <f>'[1]OCTOBER 2022'!C23</f>
        <v>0</v>
      </c>
      <c r="D989" s="3">
        <f>'[1]OCTOBER 2022'!D23</f>
        <v>300</v>
      </c>
      <c r="E989" s="4">
        <f t="shared" si="63"/>
        <v>0</v>
      </c>
      <c r="F989" s="6">
        <f>'[1]OCTOBER 2022'!F23</f>
        <v>0</v>
      </c>
      <c r="G989" s="4"/>
      <c r="H989" s="4"/>
    </row>
    <row r="990" spans="1:8" x14ac:dyDescent="0.2">
      <c r="A990" s="23">
        <f>'[1]OCTOBER 2022'!A24</f>
        <v>44838</v>
      </c>
      <c r="B990" s="12" t="str">
        <f>'[1]OCTOBER 2022'!B24</f>
        <v>LM</v>
      </c>
      <c r="C990" s="3">
        <f>'[1]OCTOBER 2022'!C24</f>
        <v>0</v>
      </c>
      <c r="D990" s="3">
        <f>'[1]OCTOBER 2022'!D24</f>
        <v>860.88</v>
      </c>
      <c r="E990" s="4">
        <f t="shared" si="63"/>
        <v>0</v>
      </c>
      <c r="F990" s="6">
        <f>'[1]OCTOBER 2022'!F24</f>
        <v>370</v>
      </c>
      <c r="G990" s="4"/>
      <c r="H990" s="4"/>
    </row>
    <row r="991" spans="1:8" x14ac:dyDescent="0.2">
      <c r="A991" s="20">
        <f>'[1]OCTOBER 2022'!A25</f>
        <v>44838</v>
      </c>
      <c r="B991" s="12" t="str">
        <f>'[1]OCTOBER 2022'!B25</f>
        <v>Andere</v>
      </c>
      <c r="C991" s="3">
        <f>'[1]OCTOBER 2022'!C25</f>
        <v>0</v>
      </c>
      <c r="D991" s="3">
        <f>'[1]OCTOBER 2022'!D25</f>
        <v>21400</v>
      </c>
      <c r="E991" s="4">
        <f t="shared" si="63"/>
        <v>0</v>
      </c>
      <c r="F991" s="6">
        <f>'[1]OCTOBER 2022'!F25</f>
        <v>0</v>
      </c>
      <c r="G991" s="4"/>
      <c r="H991" s="4"/>
    </row>
    <row r="992" spans="1:8" x14ac:dyDescent="0.2">
      <c r="A992" s="23">
        <f>'[1]OCTOBER 2022'!A30</f>
        <v>44839</v>
      </c>
      <c r="B992" s="12" t="str">
        <f>'[1]OCTOBER 2022'!B30</f>
        <v>LM</v>
      </c>
      <c r="C992" s="3">
        <f>'[1]OCTOBER 2022'!C30</f>
        <v>0</v>
      </c>
      <c r="D992" s="3">
        <f>'[1]OCTOBER 2022'!D30</f>
        <v>323</v>
      </c>
      <c r="E992" s="4">
        <f t="shared" si="63"/>
        <v>0</v>
      </c>
      <c r="F992" s="6">
        <f>'[1]OCTOBER 2022'!F30</f>
        <v>0</v>
      </c>
      <c r="G992" s="4"/>
      <c r="H992" s="4"/>
    </row>
    <row r="993" spans="1:8" x14ac:dyDescent="0.2">
      <c r="A993" s="20">
        <f>'[1]OCTOBER 2022'!A31</f>
        <v>44839</v>
      </c>
      <c r="B993" s="12" t="str">
        <f>'[1]OCTOBER 2022'!B31</f>
        <v>Rauchen</v>
      </c>
      <c r="C993" s="3">
        <f>'[1]OCTOBER 2022'!C31</f>
        <v>0</v>
      </c>
      <c r="D993" s="3">
        <f>'[1]OCTOBER 2022'!D31</f>
        <v>140</v>
      </c>
      <c r="E993" s="4">
        <f t="shared" si="63"/>
        <v>0</v>
      </c>
      <c r="F993" s="6">
        <f>'[1]OCTOBER 2022'!F31</f>
        <v>0</v>
      </c>
      <c r="G993" s="4"/>
      <c r="H993" s="4"/>
    </row>
    <row r="994" spans="1:8" x14ac:dyDescent="0.2">
      <c r="A994" s="23">
        <f>'[1]OCTOBER 2022'!A32</f>
        <v>44839</v>
      </c>
      <c r="B994" s="12" t="str">
        <f>'[1]OCTOBER 2022'!B32</f>
        <v>Andere</v>
      </c>
      <c r="C994" s="3">
        <f>'[1]OCTOBER 2022'!C32</f>
        <v>0</v>
      </c>
      <c r="D994" s="3">
        <f>'[1]OCTOBER 2022'!D32</f>
        <v>299</v>
      </c>
      <c r="E994" s="4">
        <f t="shared" si="63"/>
        <v>0</v>
      </c>
      <c r="F994" s="6">
        <f>'[1]OCTOBER 2022'!F32</f>
        <v>0</v>
      </c>
      <c r="G994" s="4"/>
      <c r="H994" s="4"/>
    </row>
    <row r="995" spans="1:8" x14ac:dyDescent="0.2">
      <c r="A995" s="20">
        <f>'[1]OCTOBER 2022'!A37</f>
        <v>44840</v>
      </c>
      <c r="B995" s="12" t="str">
        <f>'[1]OCTOBER 2022'!B37</f>
        <v>LM</v>
      </c>
      <c r="C995" s="3">
        <f>'[1]OCTOBER 2022'!C37</f>
        <v>0</v>
      </c>
      <c r="D995" s="3">
        <f>'[1]OCTOBER 2022'!D37</f>
        <v>739</v>
      </c>
      <c r="E995" s="4">
        <f t="shared" si="63"/>
        <v>0</v>
      </c>
      <c r="F995" s="6">
        <f>'[1]OCTOBER 2022'!F37</f>
        <v>0</v>
      </c>
      <c r="G995" s="4"/>
      <c r="H995" s="4"/>
    </row>
    <row r="996" spans="1:8" x14ac:dyDescent="0.2">
      <c r="A996" s="23">
        <f>'[1]OCTOBER 2022'!A38</f>
        <v>44840</v>
      </c>
      <c r="B996" s="12" t="str">
        <f>'[1]OCTOBER 2022'!B38</f>
        <v>VM</v>
      </c>
      <c r="C996" s="3">
        <f>'[1]OCTOBER 2022'!C38</f>
        <v>0</v>
      </c>
      <c r="D996" s="3">
        <f>'[1]OCTOBER 2022'!D38</f>
        <v>0</v>
      </c>
      <c r="E996" s="4">
        <f t="shared" si="63"/>
        <v>0</v>
      </c>
      <c r="F996" s="6">
        <f>'[1]OCTOBER 2022'!F38</f>
        <v>27.96</v>
      </c>
      <c r="G996" s="4"/>
      <c r="H996" s="4"/>
    </row>
    <row r="997" spans="1:8" x14ac:dyDescent="0.2">
      <c r="A997" s="23">
        <f>'[1]OCTOBER 2022'!A44</f>
        <v>44841</v>
      </c>
      <c r="B997" s="12" t="str">
        <f>'[1]OCTOBER 2022'!B44</f>
        <v>VM</v>
      </c>
      <c r="C997" s="3">
        <f>'[1]OCTOBER 2022'!C44</f>
        <v>0</v>
      </c>
      <c r="D997" s="3">
        <f>'[1]OCTOBER 2022'!D44</f>
        <v>51</v>
      </c>
      <c r="E997" s="4">
        <f t="shared" si="63"/>
        <v>0</v>
      </c>
      <c r="F997" s="6">
        <f>'[1]OCTOBER 2022'!F44</f>
        <v>41.94</v>
      </c>
      <c r="G997" s="4"/>
      <c r="H997" s="4"/>
    </row>
    <row r="998" spans="1:8" x14ac:dyDescent="0.2">
      <c r="A998" s="20">
        <f>'[1]OCTOBER 2022'!A45</f>
        <v>44841</v>
      </c>
      <c r="B998" s="12" t="str">
        <f>'[1]OCTOBER 2022'!B45</f>
        <v>Rauchen</v>
      </c>
      <c r="C998" s="3">
        <f>'[1]OCTOBER 2022'!C45</f>
        <v>0</v>
      </c>
      <c r="D998" s="3">
        <f>'[1]OCTOBER 2022'!D45</f>
        <v>140</v>
      </c>
      <c r="E998" s="4">
        <f t="shared" si="63"/>
        <v>0</v>
      </c>
      <c r="F998" s="6">
        <f>'[1]OCTOBER 2022'!F45</f>
        <v>0</v>
      </c>
      <c r="G998" s="4"/>
      <c r="H998" s="4"/>
    </row>
    <row r="999" spans="1:8" x14ac:dyDescent="0.2">
      <c r="A999" s="23">
        <f>'[1]OCTOBER 2022'!A46</f>
        <v>44841</v>
      </c>
      <c r="B999" s="12" t="str">
        <f>'[1]OCTOBER 2022'!B46</f>
        <v>LM</v>
      </c>
      <c r="C999" s="3">
        <f>'[1]OCTOBER 2022'!C46</f>
        <v>0</v>
      </c>
      <c r="D999" s="3">
        <f>'[1]OCTOBER 2022'!D46</f>
        <v>132.97999999999999</v>
      </c>
      <c r="E999" s="4">
        <f t="shared" si="63"/>
        <v>0</v>
      </c>
      <c r="F999" s="6">
        <f>'[1]OCTOBER 2022'!F46</f>
        <v>0</v>
      </c>
      <c r="G999" s="4"/>
      <c r="H999" s="4"/>
    </row>
    <row r="1000" spans="1:8" x14ac:dyDescent="0.2">
      <c r="A1000" s="20">
        <f>'[1]OCTOBER 2022'!A47</f>
        <v>44841</v>
      </c>
      <c r="B1000" s="12" t="str">
        <f>'[1]OCTOBER 2022'!B47</f>
        <v>Refill</v>
      </c>
      <c r="C1000" s="3">
        <f>'[1]OCTOBER 2022'!C47</f>
        <v>61140.56</v>
      </c>
      <c r="D1000" s="3">
        <f>'[1]OCTOBER 2022'!D47</f>
        <v>0</v>
      </c>
      <c r="E1000" s="4">
        <f t="shared" si="63"/>
        <v>0</v>
      </c>
      <c r="F1000" s="6">
        <f>'[1]OCTOBER 2022'!F47</f>
        <v>0</v>
      </c>
      <c r="G1000" s="4"/>
      <c r="H1000" s="4"/>
    </row>
    <row r="1001" spans="1:8" x14ac:dyDescent="0.2">
      <c r="A1001" s="20">
        <f>'[1]OCTOBER 2022'!A51</f>
        <v>44842</v>
      </c>
      <c r="B1001" s="12" t="str">
        <f>'[1]OCTOBER 2022'!B51</f>
        <v>Party</v>
      </c>
      <c r="C1001" s="3">
        <f>'[1]OCTOBER 2022'!C51</f>
        <v>0</v>
      </c>
      <c r="D1001" s="3">
        <f>'[1]OCTOBER 2022'!D51</f>
        <v>5700</v>
      </c>
      <c r="E1001" s="4">
        <f t="shared" si="63"/>
        <v>0</v>
      </c>
      <c r="F1001" s="6">
        <f>'[1]OCTOBER 2022'!F51</f>
        <v>0</v>
      </c>
      <c r="G1001" s="4"/>
      <c r="H1001" s="4"/>
    </row>
    <row r="1002" spans="1:8" x14ac:dyDescent="0.2">
      <c r="A1002" s="23">
        <f>'[1]OCTOBER 2022'!A52</f>
        <v>44842</v>
      </c>
      <c r="B1002" s="12" t="str">
        <f>'[1]OCTOBER 2022'!B52</f>
        <v>Andere</v>
      </c>
      <c r="C1002" s="3">
        <f>'[1]OCTOBER 2022'!C52</f>
        <v>0</v>
      </c>
      <c r="D1002" s="3">
        <f>'[1]OCTOBER 2022'!D52</f>
        <v>60</v>
      </c>
      <c r="E1002" s="4">
        <f t="shared" si="63"/>
        <v>0</v>
      </c>
      <c r="F1002" s="6">
        <f>'[1]OCTOBER 2022'!F52</f>
        <v>0</v>
      </c>
      <c r="G1002" s="4"/>
      <c r="H1002" s="4"/>
    </row>
    <row r="1003" spans="1:8" x14ac:dyDescent="0.2">
      <c r="A1003" s="20">
        <f>'[1]OCTOBER 2022'!A53</f>
        <v>44842</v>
      </c>
      <c r="B1003" s="12" t="str">
        <f>'[1]OCTOBER 2022'!B53</f>
        <v>LM</v>
      </c>
      <c r="C1003" s="3">
        <f>'[1]OCTOBER 2022'!C53</f>
        <v>0</v>
      </c>
      <c r="D1003" s="3">
        <f>'[1]OCTOBER 2022'!D53</f>
        <v>421</v>
      </c>
      <c r="E1003" s="4">
        <f t="shared" si="63"/>
        <v>0</v>
      </c>
      <c r="F1003" s="6">
        <f>'[1]OCTOBER 2022'!F53</f>
        <v>450</v>
      </c>
      <c r="G1003" s="4"/>
      <c r="H1003" s="4"/>
    </row>
    <row r="1004" spans="1:8" x14ac:dyDescent="0.2">
      <c r="A1004" s="23">
        <f>'[1]OCTOBER 2022'!A54</f>
        <v>44842</v>
      </c>
      <c r="B1004" s="12" t="str">
        <f>'[1]OCTOBER 2022'!B54</f>
        <v>VM</v>
      </c>
      <c r="C1004" s="3">
        <f>'[1]OCTOBER 2022'!C54</f>
        <v>0</v>
      </c>
      <c r="D1004" s="3">
        <f>'[1]OCTOBER 2022'!D54</f>
        <v>0</v>
      </c>
      <c r="E1004" s="4">
        <f t="shared" si="63"/>
        <v>0</v>
      </c>
      <c r="F1004" s="6">
        <f>'[1]OCTOBER 2022'!F54</f>
        <v>696</v>
      </c>
      <c r="G1004" s="4"/>
      <c r="H1004" s="4"/>
    </row>
    <row r="1005" spans="1:8" x14ac:dyDescent="0.2">
      <c r="A1005" s="23">
        <f>'[1]OCTOBER 2022'!A58</f>
        <v>44843</v>
      </c>
      <c r="B1005" s="12" t="str">
        <f>'[1]OCTOBER 2022'!B58</f>
        <v>for me</v>
      </c>
      <c r="C1005" s="3">
        <f>'[1]OCTOBER 2022'!C58</f>
        <v>0</v>
      </c>
      <c r="D1005" s="3">
        <f>'[1]OCTOBER 2022'!D58</f>
        <v>2300</v>
      </c>
      <c r="E1005" s="4">
        <f t="shared" si="63"/>
        <v>0</v>
      </c>
      <c r="F1005" s="6">
        <f>'[1]OCTOBER 2022'!F58</f>
        <v>0</v>
      </c>
      <c r="G1005" s="4"/>
      <c r="H1005" s="4"/>
    </row>
    <row r="1006" spans="1:8" x14ac:dyDescent="0.2">
      <c r="A1006" s="20">
        <f>'[1]OCTOBER 2022'!A59</f>
        <v>44843</v>
      </c>
      <c r="B1006" s="12" t="str">
        <f>'[1]OCTOBER 2022'!B59</f>
        <v>LM</v>
      </c>
      <c r="C1006" s="3">
        <f>'[1]OCTOBER 2022'!C59</f>
        <v>0</v>
      </c>
      <c r="D1006" s="3">
        <f>'[1]OCTOBER 2022'!D59</f>
        <v>648.99</v>
      </c>
      <c r="E1006" s="4">
        <f t="shared" si="63"/>
        <v>0</v>
      </c>
      <c r="F1006" s="6">
        <f>'[1]OCTOBER 2022'!F59</f>
        <v>0</v>
      </c>
      <c r="G1006" s="4"/>
      <c r="H1006" s="4"/>
    </row>
    <row r="1007" spans="1:8" x14ac:dyDescent="0.2">
      <c r="A1007" s="23">
        <f>'[1]OCTOBER 2022'!A60</f>
        <v>44843</v>
      </c>
      <c r="B1007" s="12" t="str">
        <f>'[1]OCTOBER 2022'!B60</f>
        <v>VM</v>
      </c>
      <c r="C1007" s="3">
        <f>'[1]OCTOBER 2022'!C60</f>
        <v>0</v>
      </c>
      <c r="D1007" s="3">
        <f>'[1]OCTOBER 2022'!D60</f>
        <v>0</v>
      </c>
      <c r="E1007" s="4">
        <f t="shared" si="63"/>
        <v>0</v>
      </c>
      <c r="F1007" s="6">
        <f>'[1]OCTOBER 2022'!F60</f>
        <v>349</v>
      </c>
      <c r="G1007" s="4"/>
      <c r="H1007" s="4"/>
    </row>
    <row r="1008" spans="1:8" x14ac:dyDescent="0.2">
      <c r="A1008" s="20">
        <f>'[1]OCTOBER 2022'!A65</f>
        <v>44844</v>
      </c>
      <c r="B1008" s="12" t="str">
        <f>'[1]OCTOBER 2022'!B65</f>
        <v>LM</v>
      </c>
      <c r="C1008" s="3">
        <f>'[1]OCTOBER 2022'!C65</f>
        <v>0</v>
      </c>
      <c r="D1008" s="3">
        <f>'[1]OCTOBER 2022'!D65</f>
        <v>850</v>
      </c>
      <c r="E1008" s="4">
        <f t="shared" si="63"/>
        <v>0</v>
      </c>
      <c r="F1008" s="6">
        <f>'[1]OCTOBER 2022'!F65</f>
        <v>0</v>
      </c>
      <c r="G1008" s="4"/>
      <c r="H1008" s="4"/>
    </row>
    <row r="1009" spans="1:8" x14ac:dyDescent="0.2">
      <c r="A1009" s="23">
        <f>'[1]OCTOBER 2022'!A66</f>
        <v>44844</v>
      </c>
      <c r="B1009" s="12" t="str">
        <f>'[1]OCTOBER 2022'!B66</f>
        <v>Rauchen</v>
      </c>
      <c r="C1009" s="3">
        <f>'[1]OCTOBER 2022'!C66</f>
        <v>0</v>
      </c>
      <c r="D1009" s="3">
        <f>'[1]OCTOBER 2022'!D66</f>
        <v>155</v>
      </c>
      <c r="E1009" s="4">
        <f t="shared" ref="E1009:E1039" si="64">IF(0,0,0)</f>
        <v>0</v>
      </c>
      <c r="F1009" s="6">
        <f>'[1]OCTOBER 2022'!F66</f>
        <v>0</v>
      </c>
      <c r="G1009" s="4"/>
      <c r="H1009" s="4"/>
    </row>
    <row r="1010" spans="1:8" x14ac:dyDescent="0.2">
      <c r="A1010" s="20">
        <f>'[1]OCTOBER 2022'!A67</f>
        <v>44844</v>
      </c>
      <c r="B1010" s="12" t="str">
        <f>'[1]OCTOBER 2022'!B67</f>
        <v>LM</v>
      </c>
      <c r="C1010" s="3">
        <f>'[1]OCTOBER 2022'!C67</f>
        <v>0</v>
      </c>
      <c r="D1010" s="3">
        <f>'[1]OCTOBER 2022'!D67</f>
        <v>1908.6</v>
      </c>
      <c r="E1010" s="4">
        <f t="shared" si="64"/>
        <v>0</v>
      </c>
      <c r="F1010" s="6">
        <f>'[1]OCTOBER 2022'!F67</f>
        <v>0</v>
      </c>
      <c r="G1010" s="4"/>
      <c r="H1010" s="4"/>
    </row>
    <row r="1011" spans="1:8" x14ac:dyDescent="0.2">
      <c r="A1011" s="23">
        <f>'[1]OCTOBER 2022'!A68</f>
        <v>44844</v>
      </c>
      <c r="B1011" s="12" t="str">
        <f>'[1]OCTOBER 2022'!B68</f>
        <v>none</v>
      </c>
      <c r="C1011" s="3">
        <f>'[1]OCTOBER 2022'!C68</f>
        <v>0</v>
      </c>
      <c r="D1011" s="3">
        <f>'[1]OCTOBER 2022'!D68</f>
        <v>15000</v>
      </c>
      <c r="E1011" s="4">
        <f t="shared" si="64"/>
        <v>0</v>
      </c>
      <c r="F1011" s="6">
        <f>'[1]OCTOBER 2022'!F68</f>
        <v>0</v>
      </c>
      <c r="G1011" s="4"/>
      <c r="H1011" s="4"/>
    </row>
    <row r="1012" spans="1:8" x14ac:dyDescent="0.2">
      <c r="A1012" s="20">
        <f>'[1]OCTOBER 2022'!A69</f>
        <v>44844</v>
      </c>
      <c r="B1012" s="12" t="str">
        <f>'[1]OCTOBER 2022'!B69</f>
        <v>Andere</v>
      </c>
      <c r="C1012" s="3">
        <f>'[1]OCTOBER 2022'!C69</f>
        <v>0</v>
      </c>
      <c r="D1012" s="3">
        <f>'[1]OCTOBER 2022'!D69</f>
        <v>0</v>
      </c>
      <c r="E1012" s="4">
        <f t="shared" si="64"/>
        <v>0</v>
      </c>
      <c r="F1012" s="6">
        <f>'[1]OCTOBER 2022'!F69</f>
        <v>13580.460000000001</v>
      </c>
      <c r="G1012" s="4"/>
      <c r="H1012" s="4"/>
    </row>
    <row r="1013" spans="1:8" x14ac:dyDescent="0.2">
      <c r="A1013" s="23">
        <f>'[1]OCTOBER 2022'!A72</f>
        <v>44845</v>
      </c>
      <c r="B1013" s="12" t="str">
        <f>'[1]OCTOBER 2022'!B72</f>
        <v>VM</v>
      </c>
      <c r="C1013" s="3">
        <f>'[1]OCTOBER 2022'!C72</f>
        <v>0</v>
      </c>
      <c r="D1013" s="3">
        <f>'[1]OCTOBER 2022'!D72</f>
        <v>204</v>
      </c>
      <c r="E1013" s="4">
        <f t="shared" si="64"/>
        <v>0</v>
      </c>
      <c r="F1013" s="6">
        <f>'[1]OCTOBER 2022'!F72</f>
        <v>64.95</v>
      </c>
      <c r="G1013" s="4"/>
      <c r="H1013" s="4"/>
    </row>
    <row r="1014" spans="1:8" x14ac:dyDescent="0.2">
      <c r="A1014" s="20">
        <f>'[1]OCTOBER 2022'!A73</f>
        <v>44845</v>
      </c>
      <c r="B1014" s="12" t="str">
        <f>'[1]OCTOBER 2022'!B73</f>
        <v>LM</v>
      </c>
      <c r="C1014" s="3">
        <f>'[1]OCTOBER 2022'!C73</f>
        <v>0</v>
      </c>
      <c r="D1014" s="3">
        <f>'[1]OCTOBER 2022'!D73</f>
        <v>396</v>
      </c>
      <c r="E1014" s="4">
        <f t="shared" si="64"/>
        <v>0</v>
      </c>
      <c r="F1014" s="6">
        <f>'[1]OCTOBER 2022'!F73</f>
        <v>0</v>
      </c>
      <c r="G1014" s="4"/>
      <c r="H1014" s="4"/>
    </row>
    <row r="1015" spans="1:8" x14ac:dyDescent="0.2">
      <c r="A1015" s="20">
        <f>'[1]OCTOBER 2022'!A79</f>
        <v>44846</v>
      </c>
      <c r="B1015" s="12" t="str">
        <f>'[1]OCTOBER 2022'!B79</f>
        <v>VM</v>
      </c>
      <c r="C1015" s="3">
        <f>'[1]OCTOBER 2022'!C79</f>
        <v>0</v>
      </c>
      <c r="D1015" s="3">
        <f>'[1]OCTOBER 2022'!D79</f>
        <v>204</v>
      </c>
      <c r="E1015" s="4">
        <f t="shared" si="64"/>
        <v>0</v>
      </c>
      <c r="F1015" s="6">
        <f>'[1]OCTOBER 2022'!F79</f>
        <v>14.16</v>
      </c>
      <c r="G1015" s="4"/>
      <c r="H1015" s="4"/>
    </row>
    <row r="1016" spans="1:8" x14ac:dyDescent="0.2">
      <c r="A1016" s="23">
        <f>'[1]OCTOBER 2022'!A80</f>
        <v>44846</v>
      </c>
      <c r="B1016" s="12" t="str">
        <f>'[1]OCTOBER 2022'!B80</f>
        <v>LM</v>
      </c>
      <c r="C1016" s="3">
        <f>'[1]OCTOBER 2022'!C80</f>
        <v>0</v>
      </c>
      <c r="D1016" s="3">
        <f>'[1]OCTOBER 2022'!D80</f>
        <v>428</v>
      </c>
      <c r="E1016" s="4">
        <f t="shared" si="64"/>
        <v>0</v>
      </c>
      <c r="F1016" s="6">
        <f>'[1]OCTOBER 2022'!F80</f>
        <v>0</v>
      </c>
      <c r="G1016" s="4"/>
      <c r="H1016" s="4"/>
    </row>
    <row r="1017" spans="1:8" x14ac:dyDescent="0.2">
      <c r="A1017" s="20">
        <f>'[1]OCTOBER 2022'!A81</f>
        <v>44846</v>
      </c>
      <c r="B1017" s="12" t="str">
        <f>'[1]OCTOBER 2022'!B81</f>
        <v>Rauchen</v>
      </c>
      <c r="C1017" s="3">
        <f>'[1]OCTOBER 2022'!C81</f>
        <v>0</v>
      </c>
      <c r="D1017" s="3">
        <f>'[1]OCTOBER 2022'!D81</f>
        <v>140</v>
      </c>
      <c r="E1017" s="4">
        <f t="shared" si="64"/>
        <v>0</v>
      </c>
      <c r="F1017" s="6">
        <f>'[1]OCTOBER 2022'!F81</f>
        <v>0</v>
      </c>
      <c r="G1017" s="4"/>
      <c r="H1017" s="4"/>
    </row>
    <row r="1018" spans="1:8" x14ac:dyDescent="0.2">
      <c r="A1018" s="23">
        <f>'[1]OCTOBER 2022'!A86</f>
        <v>44847</v>
      </c>
      <c r="B1018" s="12" t="str">
        <f>'[1]OCTOBER 2022'!B86</f>
        <v>LM</v>
      </c>
      <c r="C1018" s="3">
        <f>'[1]OCTOBER 2022'!C86</f>
        <v>0</v>
      </c>
      <c r="D1018" s="3">
        <f>'[1]OCTOBER 2022'!D86</f>
        <v>380</v>
      </c>
      <c r="E1018" s="4">
        <f t="shared" si="64"/>
        <v>0</v>
      </c>
      <c r="F1018" s="6">
        <f>'[1]OCTOBER 2022'!F86</f>
        <v>0</v>
      </c>
      <c r="G1018" s="4"/>
      <c r="H1018" s="4"/>
    </row>
    <row r="1019" spans="1:8" x14ac:dyDescent="0.2">
      <c r="A1019" s="20">
        <f>'[1]OCTOBER 2022'!A87</f>
        <v>44847</v>
      </c>
      <c r="B1019" s="12" t="str">
        <f>'[1]OCTOBER 2022'!B87</f>
        <v>VM</v>
      </c>
      <c r="C1019" s="3">
        <f>'[1]OCTOBER 2022'!C87</f>
        <v>0</v>
      </c>
      <c r="D1019" s="3">
        <f>'[1]OCTOBER 2022'!D87</f>
        <v>51</v>
      </c>
      <c r="E1019" s="4">
        <f t="shared" si="64"/>
        <v>0</v>
      </c>
      <c r="F1019" s="6">
        <f>'[1]OCTOBER 2022'!F87</f>
        <v>295</v>
      </c>
      <c r="G1019" s="4"/>
      <c r="H1019" s="4"/>
    </row>
    <row r="1020" spans="1:8" x14ac:dyDescent="0.2">
      <c r="A1020" s="20">
        <f>'[1]OCTOBER 2022'!A93</f>
        <v>44848</v>
      </c>
      <c r="B1020" s="12" t="str">
        <f>'[1]OCTOBER 2022'!B93</f>
        <v>for me</v>
      </c>
      <c r="C1020" s="3">
        <f>'[1]OCTOBER 2022'!C93</f>
        <v>0</v>
      </c>
      <c r="D1020" s="3">
        <f>'[1]OCTOBER 2022'!D93</f>
        <v>1200</v>
      </c>
      <c r="E1020" s="4">
        <f t="shared" si="64"/>
        <v>0</v>
      </c>
      <c r="F1020" s="6">
        <f>'[1]OCTOBER 2022'!F93</f>
        <v>0</v>
      </c>
      <c r="G1020" s="4"/>
      <c r="H1020" s="4"/>
    </row>
    <row r="1021" spans="1:8" x14ac:dyDescent="0.2">
      <c r="A1021" s="23">
        <f>'[1]OCTOBER 2022'!A94</f>
        <v>44848</v>
      </c>
      <c r="B1021" s="12" t="str">
        <f>'[1]OCTOBER 2022'!B94</f>
        <v>Rauchen</v>
      </c>
      <c r="C1021" s="3">
        <f>'[1]OCTOBER 2022'!C94</f>
        <v>0</v>
      </c>
      <c r="D1021" s="3">
        <f>'[1]OCTOBER 2022'!D94</f>
        <v>150</v>
      </c>
      <c r="E1021" s="4">
        <f t="shared" si="64"/>
        <v>0</v>
      </c>
      <c r="F1021" s="6">
        <f>'[1]OCTOBER 2022'!F94</f>
        <v>0</v>
      </c>
      <c r="G1021" s="4"/>
      <c r="H1021" s="4"/>
    </row>
    <row r="1022" spans="1:8" x14ac:dyDescent="0.2">
      <c r="A1022" s="20">
        <f>'[1]OCTOBER 2022'!A95</f>
        <v>44848</v>
      </c>
      <c r="B1022" s="12" t="str">
        <f>'[1]OCTOBER 2022'!B95</f>
        <v>LM</v>
      </c>
      <c r="C1022" s="3">
        <f>'[1]OCTOBER 2022'!C95</f>
        <v>0</v>
      </c>
      <c r="D1022" s="3">
        <f>'[1]OCTOBER 2022'!D95</f>
        <v>380</v>
      </c>
      <c r="E1022" s="4">
        <f t="shared" si="64"/>
        <v>0</v>
      </c>
      <c r="F1022" s="6">
        <f>'[1]OCTOBER 2022'!F95</f>
        <v>0</v>
      </c>
      <c r="G1022" s="4"/>
      <c r="H1022" s="4"/>
    </row>
    <row r="1023" spans="1:8" x14ac:dyDescent="0.2">
      <c r="A1023" s="23">
        <f>'[1]OCTOBER 2022'!A96</f>
        <v>44848</v>
      </c>
      <c r="B1023" s="12" t="str">
        <f>'[1]OCTOBER 2022'!B96</f>
        <v>VM</v>
      </c>
      <c r="C1023" s="3">
        <f>'[1]OCTOBER 2022'!C96</f>
        <v>0</v>
      </c>
      <c r="D1023" s="3">
        <f>'[1]OCTOBER 2022'!D96</f>
        <v>0</v>
      </c>
      <c r="E1023" s="4">
        <f t="shared" si="64"/>
        <v>0</v>
      </c>
      <c r="F1023" s="6">
        <f>'[1]OCTOBER 2022'!F96</f>
        <v>574</v>
      </c>
      <c r="G1023" s="4"/>
      <c r="H1023" s="4"/>
    </row>
    <row r="1024" spans="1:8" x14ac:dyDescent="0.2">
      <c r="A1024" s="23">
        <f>'[1]OCTOBER 2022'!A100</f>
        <v>44849</v>
      </c>
      <c r="B1024" s="12" t="str">
        <f>'[1]OCTOBER 2022'!B100</f>
        <v>VM</v>
      </c>
      <c r="C1024" s="3">
        <f>'[1]OCTOBER 2022'!C100</f>
        <v>0</v>
      </c>
      <c r="D1024" s="3">
        <f>'[1]OCTOBER 2022'!D100</f>
        <v>767</v>
      </c>
      <c r="E1024" s="4">
        <f t="shared" si="64"/>
        <v>0</v>
      </c>
      <c r="F1024" s="6">
        <f>'[1]OCTOBER 2022'!F100</f>
        <v>0</v>
      </c>
      <c r="G1024" s="4"/>
      <c r="H1024" s="4"/>
    </row>
    <row r="1025" spans="1:8" x14ac:dyDescent="0.2">
      <c r="A1025" s="20">
        <f>'[1]OCTOBER 2022'!A101</f>
        <v>44849</v>
      </c>
      <c r="B1025" s="12" t="str">
        <f>'[1]OCTOBER 2022'!B101</f>
        <v>Party</v>
      </c>
      <c r="C1025" s="3">
        <f>'[1]OCTOBER 2022'!C101</f>
        <v>0</v>
      </c>
      <c r="D1025" s="3">
        <f>'[1]OCTOBER 2022'!D101</f>
        <v>1050</v>
      </c>
      <c r="E1025" s="4">
        <f t="shared" si="64"/>
        <v>0</v>
      </c>
      <c r="F1025" s="6">
        <f>'[1]OCTOBER 2022'!F101</f>
        <v>0</v>
      </c>
      <c r="G1025" s="4"/>
      <c r="H1025" s="4"/>
    </row>
    <row r="1026" spans="1:8" x14ac:dyDescent="0.2">
      <c r="A1026" s="20">
        <f>'[1]OCTOBER 2022'!A107</f>
        <v>44850</v>
      </c>
      <c r="B1026" s="12" t="str">
        <f>'[1]OCTOBER 2022'!B107</f>
        <v>LM</v>
      </c>
      <c r="C1026" s="3">
        <f>'[1]OCTOBER 2022'!C107</f>
        <v>0</v>
      </c>
      <c r="D1026" s="3">
        <f>'[1]OCTOBER 2022'!D107</f>
        <v>1270</v>
      </c>
      <c r="E1026" s="4">
        <f t="shared" si="64"/>
        <v>0</v>
      </c>
      <c r="F1026" s="6">
        <f>'[1]OCTOBER 2022'!F107</f>
        <v>0</v>
      </c>
      <c r="G1026" s="4"/>
      <c r="H1026" s="4"/>
    </row>
    <row r="1027" spans="1:8" x14ac:dyDescent="0.2">
      <c r="A1027" s="23">
        <f>'[1]OCTOBER 2022'!A108</f>
        <v>44850</v>
      </c>
      <c r="B1027" s="12" t="str">
        <f>'[1]OCTOBER 2022'!B108</f>
        <v>VM</v>
      </c>
      <c r="C1027" s="3">
        <f>'[1]OCTOBER 2022'!C108</f>
        <v>0</v>
      </c>
      <c r="D1027" s="3">
        <f>'[1]OCTOBER 2022'!D108</f>
        <v>2046</v>
      </c>
      <c r="E1027" s="4">
        <f t="shared" si="64"/>
        <v>0</v>
      </c>
      <c r="F1027" s="6">
        <f>'[1]OCTOBER 2022'!F108</f>
        <v>0</v>
      </c>
      <c r="G1027" s="4"/>
      <c r="H1027" s="4"/>
    </row>
    <row r="1028" spans="1:8" x14ac:dyDescent="0.2">
      <c r="A1028" s="20">
        <f>'[1]OCTOBER 2022'!A109</f>
        <v>44850</v>
      </c>
      <c r="B1028" s="12" t="str">
        <f>'[1]OCTOBER 2022'!B109</f>
        <v>VM</v>
      </c>
      <c r="C1028" s="3">
        <f>'[1]OCTOBER 2022'!C109</f>
        <v>0</v>
      </c>
      <c r="D1028" s="3">
        <f>'[1]OCTOBER 2022'!D109</f>
        <v>0</v>
      </c>
      <c r="E1028" s="4">
        <f t="shared" si="64"/>
        <v>0</v>
      </c>
      <c r="F1028" s="6">
        <f>'[1]OCTOBER 2022'!F109</f>
        <v>0</v>
      </c>
      <c r="G1028" s="4"/>
      <c r="H1028" s="4"/>
    </row>
    <row r="1029" spans="1:8" x14ac:dyDescent="0.2">
      <c r="A1029" s="23">
        <f>'[1]OCTOBER 2022'!A110</f>
        <v>44850</v>
      </c>
      <c r="B1029" s="12" t="str">
        <f>'[1]OCTOBER 2022'!B110</f>
        <v>for me</v>
      </c>
      <c r="C1029" s="3">
        <f>'[1]OCTOBER 2022'!C110</f>
        <v>0</v>
      </c>
      <c r="D1029" s="3">
        <f>'[1]OCTOBER 2022'!D110</f>
        <v>2300</v>
      </c>
      <c r="E1029" s="4">
        <f t="shared" si="64"/>
        <v>0</v>
      </c>
      <c r="F1029" s="6">
        <f>'[1]OCTOBER 2022'!F110</f>
        <v>0</v>
      </c>
      <c r="G1029" s="4"/>
      <c r="H1029" s="4"/>
    </row>
    <row r="1030" spans="1:8" x14ac:dyDescent="0.2">
      <c r="A1030" s="20">
        <f>'[1]OCTOBER 2022'!A111</f>
        <v>44850</v>
      </c>
      <c r="B1030" s="12" t="str">
        <f>'[1]OCTOBER 2022'!B111</f>
        <v>Party</v>
      </c>
      <c r="C1030" s="3">
        <f>'[1]OCTOBER 2022'!C111</f>
        <v>0</v>
      </c>
      <c r="D1030" s="3">
        <f>'[1]OCTOBER 2022'!D111</f>
        <v>5830</v>
      </c>
      <c r="E1030" s="4">
        <f t="shared" si="64"/>
        <v>0</v>
      </c>
      <c r="F1030" s="6">
        <f>'[1]OCTOBER 2022'!F111</f>
        <v>0</v>
      </c>
      <c r="G1030" s="4"/>
      <c r="H1030" s="4"/>
    </row>
    <row r="1031" spans="1:8" x14ac:dyDescent="0.2">
      <c r="A1031" s="23">
        <f>'[1]OCTOBER 2022'!A114</f>
        <v>44851</v>
      </c>
      <c r="B1031" s="12" t="str">
        <f>'[1]OCTOBER 2022'!B114</f>
        <v>VM</v>
      </c>
      <c r="C1031" s="3">
        <f>'[1]OCTOBER 2022'!C114</f>
        <v>0</v>
      </c>
      <c r="D1031" s="3">
        <f>'[1]OCTOBER 2022'!D114</f>
        <v>0</v>
      </c>
      <c r="E1031" s="4">
        <f t="shared" si="64"/>
        <v>0</v>
      </c>
      <c r="F1031" s="6">
        <f>'[1]OCTOBER 2022'!F114</f>
        <v>0</v>
      </c>
      <c r="G1031" s="4"/>
      <c r="H1031" s="4"/>
    </row>
    <row r="1032" spans="1:8" x14ac:dyDescent="0.2">
      <c r="A1032" s="23">
        <f>'[1]OCTOBER 2022'!A116</f>
        <v>44851</v>
      </c>
      <c r="B1032" s="12" t="str">
        <f>'[1]OCTOBER 2022'!B116</f>
        <v>VM</v>
      </c>
      <c r="C1032" s="3">
        <f>'[1]OCTOBER 2022'!C116</f>
        <v>0</v>
      </c>
      <c r="D1032" s="3">
        <f>'[1]OCTOBER 2022'!D116</f>
        <v>296</v>
      </c>
      <c r="E1032" s="4">
        <f t="shared" si="64"/>
        <v>0</v>
      </c>
      <c r="F1032" s="6">
        <f>'[1]OCTOBER 2022'!F116</f>
        <v>0</v>
      </c>
      <c r="G1032" s="4"/>
      <c r="H1032" s="4"/>
    </row>
    <row r="1033" spans="1:8" x14ac:dyDescent="0.2">
      <c r="A1033" s="20">
        <f>'[1]OCTOBER 2022'!A117</f>
        <v>44851</v>
      </c>
      <c r="B1033" s="12" t="str">
        <f>'[1]OCTOBER 2022'!B117</f>
        <v>LM</v>
      </c>
      <c r="C1033" s="3">
        <f>'[1]OCTOBER 2022'!C117</f>
        <v>0</v>
      </c>
      <c r="D1033" s="3">
        <f>'[1]OCTOBER 2022'!D117</f>
        <v>1060</v>
      </c>
      <c r="E1033" s="4">
        <f t="shared" si="64"/>
        <v>0</v>
      </c>
      <c r="F1033" s="6">
        <f>'[1]OCTOBER 2022'!F117</f>
        <v>0</v>
      </c>
      <c r="G1033" s="4"/>
      <c r="H1033" s="4"/>
    </row>
    <row r="1034" spans="1:8" x14ac:dyDescent="0.2">
      <c r="A1034" s="23">
        <f>'[1]OCTOBER 2022'!A118</f>
        <v>44851</v>
      </c>
      <c r="B1034" s="12" t="str">
        <f>'[1]OCTOBER 2022'!B118</f>
        <v>Rauchen</v>
      </c>
      <c r="C1034" s="3">
        <f>'[1]OCTOBER 2022'!C118</f>
        <v>0</v>
      </c>
      <c r="D1034" s="3">
        <f>'[1]OCTOBER 2022'!D118</f>
        <v>153</v>
      </c>
      <c r="E1034" s="4">
        <f t="shared" si="64"/>
        <v>0</v>
      </c>
      <c r="F1034" s="6">
        <f>'[1]OCTOBER 2022'!F118</f>
        <v>0</v>
      </c>
      <c r="G1034" s="4"/>
      <c r="H1034" s="4"/>
    </row>
    <row r="1035" spans="1:8" x14ac:dyDescent="0.2">
      <c r="A1035" s="20">
        <f>'[1]OCTOBER 2022'!A119</f>
        <v>44851</v>
      </c>
      <c r="B1035" s="12" t="str">
        <f>'[1]OCTOBER 2022'!B119</f>
        <v>VM</v>
      </c>
      <c r="C1035" s="3">
        <f>'[1]OCTOBER 2022'!C119</f>
        <v>0</v>
      </c>
      <c r="D1035" s="3">
        <f>'[1]OCTOBER 2022'!D119</f>
        <v>51</v>
      </c>
      <c r="E1035" s="4">
        <f t="shared" si="64"/>
        <v>0</v>
      </c>
      <c r="F1035" s="6">
        <f>'[1]OCTOBER 2022'!F119</f>
        <v>0</v>
      </c>
      <c r="G1035" s="4"/>
      <c r="H1035" s="4"/>
    </row>
    <row r="1036" spans="1:8" x14ac:dyDescent="0.2">
      <c r="A1036" s="20">
        <f>'[1]OCTOBER 2022'!A121</f>
        <v>44852</v>
      </c>
      <c r="B1036" s="12" t="str">
        <f>'[1]OCTOBER 2022'!B121</f>
        <v>LM</v>
      </c>
      <c r="C1036" s="3">
        <f>'[1]OCTOBER 2022'!C121</f>
        <v>0</v>
      </c>
      <c r="D1036" s="3">
        <f>'[1]OCTOBER 2022'!D121</f>
        <v>1437</v>
      </c>
      <c r="E1036" s="4">
        <f t="shared" si="64"/>
        <v>0</v>
      </c>
      <c r="F1036" s="6">
        <f>'[1]OCTOBER 2022'!F121</f>
        <v>0</v>
      </c>
      <c r="G1036" s="4"/>
      <c r="H1036" s="4"/>
    </row>
    <row r="1037" spans="1:8" x14ac:dyDescent="0.2">
      <c r="A1037" s="23">
        <f>'[1]OCTOBER 2022'!A122</f>
        <v>44852</v>
      </c>
      <c r="B1037" s="12" t="str">
        <f>'[1]OCTOBER 2022'!B122</f>
        <v>VM</v>
      </c>
      <c r="C1037" s="3">
        <f>'[1]OCTOBER 2022'!C122</f>
        <v>0</v>
      </c>
      <c r="D1037" s="3">
        <f>'[1]OCTOBER 2022'!D122</f>
        <v>139</v>
      </c>
      <c r="E1037" s="4">
        <f t="shared" si="64"/>
        <v>0</v>
      </c>
      <c r="F1037" s="6">
        <f>'[1]OCTOBER 2022'!F122</f>
        <v>0</v>
      </c>
      <c r="G1037" s="4"/>
      <c r="H1037" s="4"/>
    </row>
    <row r="1038" spans="1:8" x14ac:dyDescent="0.2">
      <c r="A1038" s="23">
        <f>'[1]OCTOBER 2022'!A128</f>
        <v>44853</v>
      </c>
      <c r="B1038" s="12" t="str">
        <f>'[1]OCTOBER 2022'!B128</f>
        <v>VM</v>
      </c>
      <c r="C1038" s="3">
        <f>'[1]OCTOBER 2022'!C128</f>
        <v>0</v>
      </c>
      <c r="D1038" s="3">
        <f>'[1]OCTOBER 2022'!D128</f>
        <v>88</v>
      </c>
      <c r="E1038" s="4">
        <f t="shared" si="64"/>
        <v>0</v>
      </c>
      <c r="F1038" s="6">
        <f>'[1]OCTOBER 2022'!F128</f>
        <v>0</v>
      </c>
      <c r="G1038" s="4"/>
      <c r="H1038" s="4"/>
    </row>
    <row r="1039" spans="1:8" x14ac:dyDescent="0.2">
      <c r="A1039" s="20">
        <f>'[1]OCTOBER 2022'!A129</f>
        <v>44853</v>
      </c>
      <c r="B1039" s="12" t="str">
        <f>'[1]OCTOBER 2022'!B129</f>
        <v>LM</v>
      </c>
      <c r="C1039" s="3">
        <f>'[1]OCTOBER 2022'!C129</f>
        <v>0</v>
      </c>
      <c r="D1039" s="3">
        <f>'[1]OCTOBER 2022'!D129</f>
        <v>1050</v>
      </c>
      <c r="E1039" s="4">
        <f t="shared" si="64"/>
        <v>0</v>
      </c>
      <c r="F1039" s="6">
        <f>'[1]OCTOBER 2022'!F129</f>
        <v>0</v>
      </c>
      <c r="G1039" s="4"/>
      <c r="H1039" s="4"/>
    </row>
    <row r="1040" spans="1:8" x14ac:dyDescent="0.2">
      <c r="A1040" s="20">
        <f>'[1]OCTOBER 2022'!A135</f>
        <v>44854</v>
      </c>
      <c r="B1040" s="12" t="str">
        <f>'[1]OCTOBER 2022'!B135</f>
        <v>VM</v>
      </c>
      <c r="C1040" s="3">
        <f>'[1]OCTOBER 2022'!C135</f>
        <v>0</v>
      </c>
      <c r="D1040" s="3">
        <f>'[1]OCTOBER 2022'!D135</f>
        <v>343</v>
      </c>
      <c r="E1040" s="4">
        <f t="shared" ref="E1040:E1063" si="65">IF(0,0,0)</f>
        <v>0</v>
      </c>
      <c r="F1040" s="6">
        <f>'[1]OCTOBER 2022'!F135</f>
        <v>0</v>
      </c>
      <c r="G1040" s="4"/>
      <c r="H1040" s="4"/>
    </row>
    <row r="1041" spans="1:8" x14ac:dyDescent="0.2">
      <c r="A1041" s="23">
        <f>'[1]OCTOBER 2022'!A136</f>
        <v>44854</v>
      </c>
      <c r="B1041" s="12" t="str">
        <f>'[1]OCTOBER 2022'!B136</f>
        <v>LM</v>
      </c>
      <c r="C1041" s="3">
        <f>'[1]OCTOBER 2022'!C136</f>
        <v>0</v>
      </c>
      <c r="D1041" s="3">
        <f>'[1]OCTOBER 2022'!D136</f>
        <v>736.2</v>
      </c>
      <c r="E1041" s="4">
        <f t="shared" si="65"/>
        <v>0</v>
      </c>
      <c r="F1041" s="6">
        <f>'[1]OCTOBER 2022'!F136</f>
        <v>0</v>
      </c>
      <c r="G1041" s="4"/>
      <c r="H1041" s="4"/>
    </row>
    <row r="1042" spans="1:8" x14ac:dyDescent="0.2">
      <c r="A1042" s="23">
        <f>'[1]OCTOBER 2022'!A142</f>
        <v>44855</v>
      </c>
      <c r="B1042" s="12" t="str">
        <f>'[1]OCTOBER 2022'!B142</f>
        <v>LM</v>
      </c>
      <c r="C1042" s="3">
        <f>'[1]OCTOBER 2022'!C142</f>
        <v>0</v>
      </c>
      <c r="D1042" s="3">
        <f>'[1]OCTOBER 2022'!D142</f>
        <v>1083</v>
      </c>
      <c r="E1042" s="4">
        <f t="shared" si="65"/>
        <v>0</v>
      </c>
      <c r="F1042" s="6">
        <f>'[1]OCTOBER 2022'!F142</f>
        <v>0</v>
      </c>
      <c r="G1042" s="4"/>
      <c r="H1042" s="4"/>
    </row>
    <row r="1043" spans="1:8" x14ac:dyDescent="0.2">
      <c r="A1043" s="20">
        <f>'[1]OCTOBER 2022'!A143</f>
        <v>44855</v>
      </c>
      <c r="B1043" s="12" t="str">
        <f>'[1]OCTOBER 2022'!B143</f>
        <v>VM</v>
      </c>
      <c r="C1043" s="3">
        <f>'[1]OCTOBER 2022'!C143</f>
        <v>0</v>
      </c>
      <c r="D1043" s="3">
        <f>'[1]OCTOBER 2022'!D143</f>
        <v>376</v>
      </c>
      <c r="E1043" s="4">
        <f t="shared" si="65"/>
        <v>0</v>
      </c>
      <c r="F1043" s="6">
        <f>'[1]OCTOBER 2022'!F143</f>
        <v>0</v>
      </c>
      <c r="G1043" s="4"/>
      <c r="H1043" s="4"/>
    </row>
    <row r="1044" spans="1:8" x14ac:dyDescent="0.2">
      <c r="A1044" s="20">
        <f>'[1]OCTOBER 2022'!A151</f>
        <v>44856</v>
      </c>
      <c r="B1044" s="12" t="str">
        <f>'[1]OCTOBER 2022'!B151</f>
        <v>LM</v>
      </c>
      <c r="C1044" s="3">
        <f>'[1]OCTOBER 2022'!C151</f>
        <v>0</v>
      </c>
      <c r="D1044" s="3">
        <f>'[1]OCTOBER 2022'!D151</f>
        <v>443</v>
      </c>
      <c r="E1044" s="4">
        <f t="shared" si="65"/>
        <v>0</v>
      </c>
      <c r="F1044" s="6">
        <f>'[1]OCTOBER 2022'!F151</f>
        <v>0</v>
      </c>
      <c r="G1044" s="4"/>
      <c r="H1044" s="4"/>
    </row>
    <row r="1045" spans="1:8" x14ac:dyDescent="0.2">
      <c r="A1045" s="23">
        <f>'[1]OCTOBER 2022'!A152</f>
        <v>44856</v>
      </c>
      <c r="B1045" s="12" t="str">
        <f>'[1]OCTOBER 2022'!B152</f>
        <v>Rauchen</v>
      </c>
      <c r="C1045" s="3">
        <f>'[1]OCTOBER 2022'!C152</f>
        <v>0</v>
      </c>
      <c r="D1045" s="3">
        <f>'[1]OCTOBER 2022'!D152</f>
        <v>140</v>
      </c>
      <c r="E1045" s="4">
        <f t="shared" si="65"/>
        <v>0</v>
      </c>
      <c r="F1045" s="6">
        <f>'[1]OCTOBER 2022'!F152</f>
        <v>0</v>
      </c>
      <c r="G1045" s="4"/>
      <c r="H1045" s="4"/>
    </row>
    <row r="1046" spans="1:8" x14ac:dyDescent="0.2">
      <c r="A1046" s="23">
        <f>'[1]OCTOBER 2022'!A156</f>
        <v>44857</v>
      </c>
      <c r="B1046" s="12" t="str">
        <f>'[1]OCTOBER 2022'!B156</f>
        <v>Andere</v>
      </c>
      <c r="C1046" s="3">
        <f>'[1]OCTOBER 2022'!C156</f>
        <v>0</v>
      </c>
      <c r="D1046" s="3">
        <f>'[1]OCTOBER 2022'!D156</f>
        <v>2970</v>
      </c>
      <c r="E1046" s="4">
        <f t="shared" si="65"/>
        <v>0</v>
      </c>
      <c r="F1046" s="6">
        <f>'[1]OCTOBER 2022'!F156</f>
        <v>0</v>
      </c>
      <c r="G1046" s="4"/>
      <c r="H1046" s="4"/>
    </row>
    <row r="1047" spans="1:8" x14ac:dyDescent="0.2">
      <c r="A1047" s="20">
        <f>'[1]OCTOBER 2022'!A157</f>
        <v>44857</v>
      </c>
      <c r="B1047" s="12" t="str">
        <f>'[1]OCTOBER 2022'!B157</f>
        <v>for me</v>
      </c>
      <c r="C1047" s="3">
        <f>'[1]OCTOBER 2022'!C157</f>
        <v>0</v>
      </c>
      <c r="D1047" s="3">
        <f>'[1]OCTOBER 2022'!D157</f>
        <v>379</v>
      </c>
      <c r="E1047" s="4">
        <f t="shared" si="65"/>
        <v>0</v>
      </c>
      <c r="F1047" s="6">
        <f>'[1]OCTOBER 2022'!F157</f>
        <v>0</v>
      </c>
      <c r="G1047" s="4"/>
      <c r="H1047" s="4"/>
    </row>
    <row r="1048" spans="1:8" x14ac:dyDescent="0.2">
      <c r="A1048" s="23">
        <f>'[1]OCTOBER 2022'!A158</f>
        <v>44857</v>
      </c>
      <c r="B1048" s="12" t="str">
        <f>'[1]OCTOBER 2022'!B158</f>
        <v>LM</v>
      </c>
      <c r="C1048" s="3">
        <f>'[1]OCTOBER 2022'!C158</f>
        <v>0</v>
      </c>
      <c r="D1048" s="3">
        <f>'[1]OCTOBER 2022'!D158</f>
        <v>500</v>
      </c>
      <c r="E1048" s="4">
        <f t="shared" si="65"/>
        <v>0</v>
      </c>
      <c r="F1048" s="6">
        <f>'[1]OCTOBER 2022'!F158</f>
        <v>0</v>
      </c>
      <c r="G1048" s="4"/>
      <c r="H1048" s="4"/>
    </row>
    <row r="1049" spans="1:8" x14ac:dyDescent="0.2">
      <c r="A1049" s="20">
        <f>'[1]OCTOBER 2022'!A159</f>
        <v>44857</v>
      </c>
      <c r="B1049" s="12" t="str">
        <f>'[1]OCTOBER 2022'!B159</f>
        <v>VM</v>
      </c>
      <c r="C1049" s="3">
        <f>'[1]OCTOBER 2022'!C159</f>
        <v>0</v>
      </c>
      <c r="D1049" s="3">
        <f>'[1]OCTOBER 2022'!D159</f>
        <v>300</v>
      </c>
      <c r="E1049" s="4">
        <f t="shared" si="65"/>
        <v>0</v>
      </c>
      <c r="F1049" s="6">
        <f>'[1]OCTOBER 2022'!F159</f>
        <v>74.900000000000006</v>
      </c>
      <c r="G1049" s="4"/>
      <c r="H1049" s="4"/>
    </row>
    <row r="1050" spans="1:8" x14ac:dyDescent="0.2">
      <c r="A1050" s="23">
        <f>'[1]OCTOBER 2022'!A160</f>
        <v>44857</v>
      </c>
      <c r="B1050" s="12" t="str">
        <f>'[1]OCTOBER 2022'!B160</f>
        <v>LM</v>
      </c>
      <c r="C1050" s="3">
        <f>'[1]OCTOBER 2022'!C160</f>
        <v>0</v>
      </c>
      <c r="D1050" s="3">
        <f>'[1]OCTOBER 2022'!D160</f>
        <v>204</v>
      </c>
      <c r="E1050" s="4">
        <f t="shared" si="65"/>
        <v>0</v>
      </c>
      <c r="F1050" s="6">
        <f>'[1]OCTOBER 2022'!F160</f>
        <v>0</v>
      </c>
      <c r="G1050" s="4"/>
      <c r="H1050" s="4"/>
    </row>
    <row r="1051" spans="1:8" x14ac:dyDescent="0.2">
      <c r="A1051" s="20">
        <f>'[1]OCTOBER 2022'!A161</f>
        <v>44857</v>
      </c>
      <c r="B1051" s="12" t="str">
        <f>'[1]OCTOBER 2022'!B161</f>
        <v>for me</v>
      </c>
      <c r="C1051" s="3">
        <f>'[1]OCTOBER 2022'!C161</f>
        <v>0</v>
      </c>
      <c r="D1051" s="3">
        <f>'[1]OCTOBER 2022'!D161</f>
        <v>2300</v>
      </c>
      <c r="E1051" s="4">
        <f t="shared" si="65"/>
        <v>0</v>
      </c>
      <c r="F1051" s="6">
        <f>'[1]OCTOBER 2022'!F161</f>
        <v>0</v>
      </c>
      <c r="G1051" s="4"/>
      <c r="H1051" s="4"/>
    </row>
    <row r="1052" spans="1:8" x14ac:dyDescent="0.2">
      <c r="A1052" s="20">
        <f>'[1]OCTOBER 2022'!A163</f>
        <v>44858</v>
      </c>
      <c r="B1052" s="12" t="str">
        <f>'[1]OCTOBER 2022'!B163</f>
        <v>Refill</v>
      </c>
      <c r="C1052" s="3">
        <f>'[1]OCTOBER 2022'!C163</f>
        <v>12763</v>
      </c>
      <c r="D1052" s="3">
        <f>'[1]OCTOBER 2022'!D163</f>
        <v>0</v>
      </c>
      <c r="E1052" s="4">
        <f t="shared" si="65"/>
        <v>0</v>
      </c>
      <c r="F1052" s="6">
        <f>'[1]OCTOBER 2022'!F163</f>
        <v>0</v>
      </c>
      <c r="G1052" s="4"/>
      <c r="H1052" s="4"/>
    </row>
    <row r="1053" spans="1:8" x14ac:dyDescent="0.2">
      <c r="A1053" s="23">
        <f>'[1]OCTOBER 2022'!A164</f>
        <v>44858</v>
      </c>
      <c r="B1053" s="12" t="str">
        <f>'[1]OCTOBER 2022'!B164</f>
        <v>VM</v>
      </c>
      <c r="C1053" s="3">
        <f>'[1]OCTOBER 2022'!C164</f>
        <v>0</v>
      </c>
      <c r="D1053" s="3">
        <f>'[1]OCTOBER 2022'!D164</f>
        <v>514</v>
      </c>
      <c r="E1053" s="4">
        <f t="shared" si="65"/>
        <v>0</v>
      </c>
      <c r="F1053" s="6">
        <f>'[1]OCTOBER 2022'!F164</f>
        <v>0</v>
      </c>
      <c r="G1053" s="4"/>
      <c r="H1053" s="4"/>
    </row>
    <row r="1054" spans="1:8" x14ac:dyDescent="0.2">
      <c r="A1054" s="20">
        <f>'[1]OCTOBER 2022'!A165</f>
        <v>44858</v>
      </c>
      <c r="B1054" s="12" t="str">
        <f>'[1]OCTOBER 2022'!B165</f>
        <v>Refill</v>
      </c>
      <c r="C1054" s="3">
        <f>'[1]OCTOBER 2022'!C165</f>
        <v>37953.120000000003</v>
      </c>
      <c r="D1054" s="3">
        <f>'[1]OCTOBER 2022'!D165</f>
        <v>0</v>
      </c>
      <c r="E1054" s="4">
        <f t="shared" si="65"/>
        <v>0</v>
      </c>
      <c r="F1054" s="6">
        <f>'[1]OCTOBER 2022'!F165</f>
        <v>0</v>
      </c>
      <c r="G1054" s="4"/>
      <c r="H1054" s="4"/>
    </row>
    <row r="1055" spans="1:8" x14ac:dyDescent="0.2">
      <c r="A1055" s="23">
        <f>'[1]OCTOBER 2022'!A166</f>
        <v>44858</v>
      </c>
      <c r="B1055" s="12" t="str">
        <f>'[1]OCTOBER 2022'!B166</f>
        <v>LM</v>
      </c>
      <c r="C1055" s="3">
        <f>'[1]OCTOBER 2022'!C166</f>
        <v>0</v>
      </c>
      <c r="D1055" s="3">
        <f>'[1]OCTOBER 2022'!D166</f>
        <v>332</v>
      </c>
      <c r="E1055" s="4">
        <f t="shared" si="65"/>
        <v>0</v>
      </c>
      <c r="F1055" s="6">
        <f>'[1]OCTOBER 2022'!F166</f>
        <v>0</v>
      </c>
      <c r="G1055" s="4"/>
      <c r="H1055" s="4"/>
    </row>
    <row r="1056" spans="1:8" x14ac:dyDescent="0.2">
      <c r="A1056" s="20">
        <f>'[1]OCTOBER 2022'!A167</f>
        <v>44858</v>
      </c>
      <c r="B1056" s="12" t="str">
        <f>'[1]OCTOBER 2022'!B167</f>
        <v>VM</v>
      </c>
      <c r="C1056" s="3">
        <f>'[1]OCTOBER 2022'!C167</f>
        <v>0</v>
      </c>
      <c r="D1056" s="3">
        <f>'[1]OCTOBER 2022'!D167</f>
        <v>51</v>
      </c>
      <c r="E1056" s="4">
        <f t="shared" si="65"/>
        <v>0</v>
      </c>
      <c r="F1056" s="6">
        <f>'[1]OCTOBER 2022'!F167</f>
        <v>0</v>
      </c>
      <c r="G1056" s="4"/>
      <c r="H1056" s="4"/>
    </row>
    <row r="1057" spans="1:8" x14ac:dyDescent="0.2">
      <c r="A1057" s="23">
        <f>'[1]OCTOBER 2022'!A170</f>
        <v>44859</v>
      </c>
      <c r="B1057" s="12" t="str">
        <f>'[1]OCTOBER 2022'!B170</f>
        <v>VM</v>
      </c>
      <c r="C1057" s="3">
        <f>'[1]OCTOBER 2022'!C170</f>
        <v>0</v>
      </c>
      <c r="D1057" s="3">
        <f>'[1]OCTOBER 2022'!D170</f>
        <v>51</v>
      </c>
      <c r="E1057" s="4">
        <f t="shared" si="65"/>
        <v>0</v>
      </c>
      <c r="F1057" s="6">
        <f>'[1]OCTOBER 2022'!F170</f>
        <v>0</v>
      </c>
      <c r="G1057" s="4"/>
      <c r="H1057" s="4"/>
    </row>
    <row r="1058" spans="1:8" x14ac:dyDescent="0.2">
      <c r="A1058" s="20">
        <f>'[1]OCTOBER 2022'!A171</f>
        <v>44859</v>
      </c>
      <c r="B1058" s="12" t="str">
        <f>'[1]OCTOBER 2022'!B171</f>
        <v>LM</v>
      </c>
      <c r="C1058" s="3">
        <f>'[1]OCTOBER 2022'!C171</f>
        <v>0</v>
      </c>
      <c r="D1058" s="3">
        <f>'[1]OCTOBER 2022'!D171</f>
        <v>995.95</v>
      </c>
      <c r="E1058" s="4">
        <f t="shared" si="65"/>
        <v>0</v>
      </c>
      <c r="F1058" s="6">
        <f>'[1]OCTOBER 2022'!F171</f>
        <v>0</v>
      </c>
      <c r="G1058" s="4"/>
      <c r="H1058" s="4"/>
    </row>
    <row r="1059" spans="1:8" x14ac:dyDescent="0.2">
      <c r="A1059" s="20">
        <f>'[1]OCTOBER 2022'!A177</f>
        <v>44860</v>
      </c>
      <c r="B1059" s="12" t="str">
        <f>'[1]OCTOBER 2022'!B177</f>
        <v>LM</v>
      </c>
      <c r="C1059" s="3">
        <f>'[1]OCTOBER 2022'!C177</f>
        <v>0</v>
      </c>
      <c r="D1059" s="3">
        <f>'[1]OCTOBER 2022'!D177</f>
        <v>490</v>
      </c>
      <c r="E1059" s="4">
        <f t="shared" si="65"/>
        <v>0</v>
      </c>
      <c r="F1059" s="6">
        <f>'[1]OCTOBER 2022'!F177</f>
        <v>0</v>
      </c>
      <c r="G1059" s="4"/>
      <c r="H1059" s="4"/>
    </row>
    <row r="1060" spans="1:8" x14ac:dyDescent="0.2">
      <c r="A1060" s="23">
        <f>'[1]OCTOBER 2022'!A178</f>
        <v>44860</v>
      </c>
      <c r="B1060" s="12" t="str">
        <f>'[1]OCTOBER 2022'!B178</f>
        <v>Refill</v>
      </c>
      <c r="C1060" s="3">
        <f>'[1]OCTOBER 2022'!C178</f>
        <v>444.3</v>
      </c>
      <c r="D1060" s="3">
        <f>'[1]OCTOBER 2022'!D178</f>
        <v>0</v>
      </c>
      <c r="E1060" s="4">
        <f t="shared" si="65"/>
        <v>0</v>
      </c>
      <c r="F1060" s="6">
        <f>'[1]OCTOBER 2022'!F178</f>
        <v>0</v>
      </c>
      <c r="G1060" s="4"/>
      <c r="H1060" s="4"/>
    </row>
    <row r="1061" spans="1:8" x14ac:dyDescent="0.2">
      <c r="A1061" s="23">
        <f>'[1]OCTOBER 2022'!A184</f>
        <v>44861</v>
      </c>
      <c r="B1061" s="12" t="str">
        <f>'[1]OCTOBER 2022'!B184</f>
        <v>Rauchen</v>
      </c>
      <c r="C1061" s="3">
        <f>'[1]OCTOBER 2022'!C184</f>
        <v>0</v>
      </c>
      <c r="D1061" s="3">
        <f>'[1]OCTOBER 2022'!D184</f>
        <v>155</v>
      </c>
      <c r="E1061" s="4">
        <f t="shared" si="65"/>
        <v>0</v>
      </c>
      <c r="F1061" s="6">
        <f>'[1]OCTOBER 2022'!F184</f>
        <v>0</v>
      </c>
      <c r="G1061" s="4"/>
      <c r="H1061" s="4"/>
    </row>
    <row r="1062" spans="1:8" x14ac:dyDescent="0.2">
      <c r="A1062" s="20">
        <f>'[1]OCTOBER 2022'!A185</f>
        <v>44861</v>
      </c>
      <c r="B1062" s="12" t="str">
        <f>'[1]OCTOBER 2022'!B185</f>
        <v>LM</v>
      </c>
      <c r="C1062" s="3">
        <f>'[1]OCTOBER 2022'!C185</f>
        <v>0</v>
      </c>
      <c r="D1062" s="3">
        <f>'[1]OCTOBER 2022'!D185</f>
        <v>1048.3699999999999</v>
      </c>
      <c r="E1062" s="4">
        <f t="shared" si="65"/>
        <v>0</v>
      </c>
      <c r="F1062" s="6">
        <f>'[1]OCTOBER 2022'!F185</f>
        <v>0</v>
      </c>
      <c r="G1062" s="4"/>
      <c r="H1062" s="4"/>
    </row>
    <row r="1063" spans="1:8" x14ac:dyDescent="0.2">
      <c r="A1063" s="23">
        <f>'[1]OCTOBER 2022'!A186</f>
        <v>44861</v>
      </c>
      <c r="B1063" s="12" t="str">
        <f>'[1]OCTOBER 2022'!B186</f>
        <v>VM</v>
      </c>
      <c r="C1063" s="3">
        <f>'[1]OCTOBER 2022'!C186</f>
        <v>0</v>
      </c>
      <c r="D1063" s="3">
        <f>'[1]OCTOBER 2022'!D186</f>
        <v>51</v>
      </c>
      <c r="E1063" s="4">
        <f t="shared" si="65"/>
        <v>0</v>
      </c>
      <c r="F1063" s="6">
        <f>'[1]OCTOBER 2022'!F186</f>
        <v>0</v>
      </c>
      <c r="G1063" s="4"/>
      <c r="H1063" s="4"/>
    </row>
    <row r="1064" spans="1:8" x14ac:dyDescent="0.2">
      <c r="A1064" s="23">
        <f>'[1]OCTOBER 2022'!A198</f>
        <v>44863</v>
      </c>
      <c r="B1064" s="12" t="str">
        <f>'[1]OCTOBER 2022'!B198</f>
        <v>LM</v>
      </c>
      <c r="C1064" s="3">
        <f>'[1]OCTOBER 2022'!C198</f>
        <v>0</v>
      </c>
      <c r="D1064" s="3">
        <f>'[1]OCTOBER 2022'!D198</f>
        <v>345</v>
      </c>
      <c r="E1064" s="4">
        <f t="shared" ref="E1064:E1085" si="66">IF(0,0,0)</f>
        <v>0</v>
      </c>
      <c r="F1064" s="6">
        <f>'[1]OCTOBER 2022'!F198</f>
        <v>0</v>
      </c>
      <c r="G1064" s="4"/>
      <c r="H1064" s="4"/>
    </row>
    <row r="1065" spans="1:8" x14ac:dyDescent="0.2">
      <c r="A1065" s="20">
        <f>'[1]OCTOBER 2022'!A199</f>
        <v>44863</v>
      </c>
      <c r="B1065" s="12" t="str">
        <f>'[1]OCTOBER 2022'!B199</f>
        <v>Rauchen</v>
      </c>
      <c r="C1065" s="3">
        <f>'[1]OCTOBER 2022'!C199</f>
        <v>0</v>
      </c>
      <c r="D1065" s="3">
        <f>'[1]OCTOBER 2022'!D199</f>
        <v>140</v>
      </c>
      <c r="E1065" s="4">
        <f t="shared" si="66"/>
        <v>0</v>
      </c>
      <c r="F1065" s="6">
        <f>'[1]OCTOBER 2022'!F199</f>
        <v>0</v>
      </c>
      <c r="G1065" s="4"/>
      <c r="H1065" s="4"/>
    </row>
    <row r="1066" spans="1:8" x14ac:dyDescent="0.2">
      <c r="A1066" s="23">
        <f>'[1]OCTOBER 2022'!A200</f>
        <v>44863</v>
      </c>
      <c r="B1066" s="12" t="str">
        <f>'[1]OCTOBER 2022'!B200</f>
        <v>VM</v>
      </c>
      <c r="C1066" s="3">
        <f>'[1]OCTOBER 2022'!C200</f>
        <v>0</v>
      </c>
      <c r="D1066" s="3">
        <f>'[1]OCTOBER 2022'!D200</f>
        <v>6523</v>
      </c>
      <c r="E1066" s="4">
        <f t="shared" si="66"/>
        <v>0</v>
      </c>
      <c r="F1066" s="6">
        <f>'[1]OCTOBER 2022'!F200</f>
        <v>0</v>
      </c>
      <c r="G1066" s="4"/>
      <c r="H1066" s="4"/>
    </row>
    <row r="1067" spans="1:8" x14ac:dyDescent="0.2">
      <c r="A1067" s="20">
        <f>'[1]OCTOBER 2022'!A205</f>
        <v>44864</v>
      </c>
      <c r="B1067" s="12" t="str">
        <f>'[1]OCTOBER 2022'!B205</f>
        <v>Frauen</v>
      </c>
      <c r="C1067" s="3">
        <f>'[1]OCTOBER 2022'!C205</f>
        <v>0</v>
      </c>
      <c r="D1067" s="3">
        <f>'[1]OCTOBER 2022'!D205</f>
        <v>2260</v>
      </c>
      <c r="E1067" s="4">
        <f t="shared" si="66"/>
        <v>0</v>
      </c>
      <c r="F1067" s="6">
        <f>'[1]OCTOBER 2022'!F205</f>
        <v>0</v>
      </c>
      <c r="G1067" s="4"/>
      <c r="H1067" s="4"/>
    </row>
    <row r="1068" spans="1:8" x14ac:dyDescent="0.2">
      <c r="A1068" s="23">
        <f>'[1]OCTOBER 2022'!A206</f>
        <v>44864</v>
      </c>
      <c r="B1068" s="12" t="str">
        <f>'[1]OCTOBER 2022'!B206</f>
        <v>Party</v>
      </c>
      <c r="C1068" s="3">
        <f>'[1]OCTOBER 2022'!C206</f>
        <v>0</v>
      </c>
      <c r="D1068" s="3">
        <f>'[1]OCTOBER 2022'!D206</f>
        <v>2350</v>
      </c>
      <c r="E1068" s="4">
        <f t="shared" si="66"/>
        <v>0</v>
      </c>
      <c r="F1068" s="6">
        <f>'[1]OCTOBER 2022'!F206</f>
        <v>0</v>
      </c>
      <c r="G1068" s="4"/>
      <c r="H1068" s="4"/>
    </row>
    <row r="1069" spans="1:8" x14ac:dyDescent="0.2">
      <c r="A1069" s="20">
        <f>'[1]OCTOBER 2022'!A207</f>
        <v>44864</v>
      </c>
      <c r="B1069" s="12" t="str">
        <f>'[1]OCTOBER 2022'!B207</f>
        <v>VM</v>
      </c>
      <c r="C1069" s="3">
        <f>'[1]OCTOBER 2022'!C207</f>
        <v>0</v>
      </c>
      <c r="D1069" s="3">
        <f>'[1]OCTOBER 2022'!D207</f>
        <v>1998</v>
      </c>
      <c r="E1069" s="4">
        <f t="shared" si="66"/>
        <v>0</v>
      </c>
      <c r="F1069" s="6">
        <f>'[1]OCTOBER 2022'!F207</f>
        <v>0</v>
      </c>
      <c r="G1069" s="4"/>
      <c r="H1069" s="4"/>
    </row>
    <row r="1070" spans="1:8" x14ac:dyDescent="0.2">
      <c r="A1070" s="23">
        <f>'[1]OCTOBER 2022'!A208</f>
        <v>44864</v>
      </c>
      <c r="B1070" s="12" t="str">
        <f>'[1]OCTOBER 2022'!B208</f>
        <v>VM</v>
      </c>
      <c r="C1070" s="3">
        <f>'[1]OCTOBER 2022'!C208</f>
        <v>0</v>
      </c>
      <c r="D1070" s="3">
        <f>'[1]OCTOBER 2022'!D208</f>
        <v>1060</v>
      </c>
      <c r="E1070" s="4">
        <f t="shared" si="66"/>
        <v>0</v>
      </c>
      <c r="F1070" s="6">
        <f>'[1]OCTOBER 2022'!F208</f>
        <v>0</v>
      </c>
      <c r="G1070" s="4"/>
      <c r="H1070" s="4"/>
    </row>
    <row r="1071" spans="1:8" x14ac:dyDescent="0.2">
      <c r="A1071" s="20">
        <f>'[1]OCTOBER 2022'!A209</f>
        <v>44864</v>
      </c>
      <c r="B1071" s="12" t="str">
        <f>'[1]OCTOBER 2022'!B209</f>
        <v>VM</v>
      </c>
      <c r="C1071" s="3">
        <f>'[1]OCTOBER 2022'!C209</f>
        <v>0</v>
      </c>
      <c r="D1071" s="3">
        <f>'[1]OCTOBER 2022'!D209</f>
        <v>8401</v>
      </c>
      <c r="E1071" s="4">
        <f t="shared" si="66"/>
        <v>0</v>
      </c>
      <c r="F1071" s="6">
        <f>'[1]OCTOBER 2022'!F209</f>
        <v>0</v>
      </c>
      <c r="G1071" s="4"/>
      <c r="H1071" s="4"/>
    </row>
    <row r="1072" spans="1:8" x14ac:dyDescent="0.2">
      <c r="A1072" s="23">
        <f>'[1]OCTOBER 2022'!A210</f>
        <v>44864</v>
      </c>
      <c r="B1072" s="12" t="str">
        <f>'[1]OCTOBER 2022'!B210</f>
        <v>LM</v>
      </c>
      <c r="C1072" s="3">
        <f>'[1]OCTOBER 2022'!C210</f>
        <v>0</v>
      </c>
      <c r="D1072" s="3">
        <f>'[1]OCTOBER 2022'!D210</f>
        <v>501</v>
      </c>
      <c r="E1072" s="4">
        <f t="shared" si="66"/>
        <v>0</v>
      </c>
      <c r="F1072" s="6">
        <f>'[1]OCTOBER 2022'!F210</f>
        <v>0</v>
      </c>
      <c r="G1072" s="4"/>
      <c r="H1072" s="4"/>
    </row>
    <row r="1073" spans="1:8" x14ac:dyDescent="0.2">
      <c r="A1073" s="20">
        <f>'[1]OCTOBER 2022'!A211</f>
        <v>44864</v>
      </c>
      <c r="B1073" s="12" t="str">
        <f>'[1]OCTOBER 2022'!B211</f>
        <v>VM</v>
      </c>
      <c r="C1073" s="3">
        <f>'[1]OCTOBER 2022'!C211</f>
        <v>0</v>
      </c>
      <c r="D1073" s="3">
        <f>'[1]OCTOBER 2022'!D211</f>
        <v>51</v>
      </c>
      <c r="E1073" s="4">
        <f t="shared" si="66"/>
        <v>0</v>
      </c>
      <c r="F1073" s="6">
        <f>'[1]OCTOBER 2022'!F211</f>
        <v>0</v>
      </c>
      <c r="G1073" s="4"/>
      <c r="H1073" s="4"/>
    </row>
    <row r="1074" spans="1:8" x14ac:dyDescent="0.2">
      <c r="A1074" s="23">
        <f>'[1]OCTOBER 2022'!A212</f>
        <v>44865</v>
      </c>
      <c r="B1074" s="12" t="str">
        <f>'[1]OCTOBER 2022'!B212</f>
        <v>Rauchen</v>
      </c>
      <c r="C1074" s="3">
        <f>'[1]OCTOBER 2022'!C212</f>
        <v>0</v>
      </c>
      <c r="D1074" s="3">
        <f>'[1]OCTOBER 2022'!D212</f>
        <v>140</v>
      </c>
      <c r="E1074" s="4">
        <f t="shared" si="66"/>
        <v>0</v>
      </c>
      <c r="F1074" s="6">
        <f>'[1]OCTOBER 2022'!F212</f>
        <v>0</v>
      </c>
      <c r="G1074" s="4"/>
      <c r="H1074" s="4"/>
    </row>
    <row r="1075" spans="1:8" x14ac:dyDescent="0.2">
      <c r="A1075" s="20">
        <f>'[1]OCTOBER 2022'!A213</f>
        <v>44865</v>
      </c>
      <c r="B1075" s="12" t="str">
        <f>'[1]OCTOBER 2022'!B213</f>
        <v>none</v>
      </c>
      <c r="C1075" s="3">
        <f>'[1]OCTOBER 2022'!C213</f>
        <v>0</v>
      </c>
      <c r="D1075" s="3">
        <f>'[1]OCTOBER 2022'!D213</f>
        <v>0</v>
      </c>
      <c r="E1075" s="4">
        <f t="shared" si="66"/>
        <v>0</v>
      </c>
      <c r="F1075" s="6">
        <f>'[1]OCTOBER 2022'!F213</f>
        <v>290.88</v>
      </c>
      <c r="G1075" s="4"/>
      <c r="H1075" s="4"/>
    </row>
    <row r="1076" spans="1:8" x14ac:dyDescent="0.2">
      <c r="A1076" s="20">
        <f>'[1]OCTOBER 2022'!A215</f>
        <v>44865</v>
      </c>
      <c r="B1076" s="12" t="str">
        <f>'[1]OCTOBER 2022'!B215</f>
        <v>none</v>
      </c>
      <c r="C1076" s="3">
        <f>'[1]OCTOBER 2022'!C215</f>
        <v>0</v>
      </c>
      <c r="D1076" s="3">
        <f>'[1]OCTOBER 2022'!D215</f>
        <v>5600</v>
      </c>
      <c r="E1076" s="4">
        <f t="shared" si="66"/>
        <v>0</v>
      </c>
      <c r="F1076" s="6">
        <f>'[1]OCTOBER 2022'!F215</f>
        <v>0</v>
      </c>
      <c r="G1076" s="4"/>
      <c r="H1076" s="4"/>
    </row>
    <row r="1077" spans="1:8" x14ac:dyDescent="0.2">
      <c r="A1077" s="20">
        <f>'[1]NOVEMBER 2022'!A2</f>
        <v>44866</v>
      </c>
      <c r="B1077" s="12" t="str">
        <f>'[1]NOVEMBER 2022'!B2</f>
        <v>Refill</v>
      </c>
      <c r="C1077" s="3">
        <f>'[1]NOVEMBER 2022'!C2</f>
        <v>1465.0700000000002</v>
      </c>
      <c r="D1077" s="3">
        <f>'[1]NOVEMBER 2022'!D2</f>
        <v>0</v>
      </c>
      <c r="E1077" s="4">
        <f t="shared" si="66"/>
        <v>0</v>
      </c>
      <c r="F1077" s="6">
        <f>'[1]NOVEMBER 2022'!F2</f>
        <v>0</v>
      </c>
      <c r="G1077" s="4"/>
      <c r="H1077" s="4"/>
    </row>
    <row r="1078" spans="1:8" x14ac:dyDescent="0.2">
      <c r="A1078" s="20">
        <f>'[1]NOVEMBER 2022'!A16</f>
        <v>44868</v>
      </c>
      <c r="B1078" s="12" t="str">
        <f>'[1]NOVEMBER 2022'!B16</f>
        <v>Andere</v>
      </c>
      <c r="C1078" s="3">
        <f>'[1]NOVEMBER 2022'!C16</f>
        <v>0</v>
      </c>
      <c r="D1078" s="3">
        <f>'[1]NOVEMBER 2022'!D16</f>
        <v>882</v>
      </c>
      <c r="E1078" s="4">
        <f t="shared" si="66"/>
        <v>0</v>
      </c>
      <c r="F1078" s="6">
        <f>'[1]NOVEMBER 2022'!F16</f>
        <v>0</v>
      </c>
      <c r="G1078" s="4"/>
      <c r="H1078" s="4"/>
    </row>
    <row r="1079" spans="1:8" x14ac:dyDescent="0.2">
      <c r="A1079" s="23">
        <f>'[1]NOVEMBER 2022'!A23</f>
        <v>44869</v>
      </c>
      <c r="B1079" s="12" t="str">
        <f>'[1]NOVEMBER 2022'!B23</f>
        <v>LM</v>
      </c>
      <c r="C1079" s="3">
        <f>'[1]NOVEMBER 2022'!C23</f>
        <v>0</v>
      </c>
      <c r="D1079" s="3">
        <f>'[1]NOVEMBER 2022'!D23</f>
        <v>889.99</v>
      </c>
      <c r="E1079" s="4">
        <f t="shared" si="66"/>
        <v>0</v>
      </c>
      <c r="F1079" s="6">
        <f>'[1]NOVEMBER 2022'!F23</f>
        <v>0</v>
      </c>
      <c r="G1079" s="4"/>
      <c r="H1079" s="4"/>
    </row>
    <row r="1080" spans="1:8" x14ac:dyDescent="0.2">
      <c r="A1080" s="20">
        <f>'[1]NOVEMBER 2022'!A24</f>
        <v>44869</v>
      </c>
      <c r="B1080" s="12" t="str">
        <f>'[1]NOVEMBER 2022'!B24</f>
        <v>Andere</v>
      </c>
      <c r="C1080" s="3">
        <f>'[1]NOVEMBER 2022'!C24</f>
        <v>0</v>
      </c>
      <c r="D1080" s="3">
        <f>'[1]NOVEMBER 2022'!D24</f>
        <v>103</v>
      </c>
      <c r="E1080" s="4">
        <f t="shared" si="66"/>
        <v>0</v>
      </c>
      <c r="F1080" s="6">
        <f>'[1]NOVEMBER 2022'!F24</f>
        <v>0</v>
      </c>
      <c r="G1080" s="4"/>
      <c r="H1080" s="4"/>
    </row>
    <row r="1081" spans="1:8" x14ac:dyDescent="0.2">
      <c r="A1081" s="23">
        <f>'[1]NOVEMBER 2022'!A25</f>
        <v>44869</v>
      </c>
      <c r="B1081" s="12" t="str">
        <f>'[1]NOVEMBER 2022'!B25</f>
        <v>Party</v>
      </c>
      <c r="C1081" s="3">
        <f>'[1]NOVEMBER 2022'!C25</f>
        <v>0</v>
      </c>
      <c r="D1081" s="3">
        <f>'[1]NOVEMBER 2022'!D25</f>
        <v>1400</v>
      </c>
      <c r="E1081" s="4">
        <f t="shared" si="66"/>
        <v>0</v>
      </c>
      <c r="F1081" s="6">
        <f>'[1]NOVEMBER 2022'!F25</f>
        <v>0</v>
      </c>
      <c r="G1081" s="4"/>
      <c r="H1081" s="4"/>
    </row>
    <row r="1082" spans="1:8" x14ac:dyDescent="0.2">
      <c r="A1082" s="20">
        <f>'[1]NOVEMBER 2022'!A30</f>
        <v>44870</v>
      </c>
      <c r="B1082" s="12" t="str">
        <f>'[1]NOVEMBER 2022'!B30</f>
        <v>Andere</v>
      </c>
      <c r="C1082" s="3">
        <f>'[1]NOVEMBER 2022'!C30</f>
        <v>0</v>
      </c>
      <c r="D1082" s="3">
        <f>'[1]NOVEMBER 2022'!D30</f>
        <v>1000</v>
      </c>
      <c r="E1082" s="4">
        <f t="shared" si="66"/>
        <v>0</v>
      </c>
      <c r="F1082" s="6">
        <f>'[1]NOVEMBER 2022'!F30</f>
        <v>0</v>
      </c>
      <c r="G1082" s="4"/>
      <c r="H1082" s="4"/>
    </row>
    <row r="1083" spans="1:8" x14ac:dyDescent="0.2">
      <c r="A1083" s="23">
        <f>'[1]NOVEMBER 2022'!A31</f>
        <v>44870</v>
      </c>
      <c r="B1083" s="12" t="str">
        <f>'[1]NOVEMBER 2022'!B31</f>
        <v>LM</v>
      </c>
      <c r="C1083" s="3">
        <f>'[1]NOVEMBER 2022'!C31</f>
        <v>0</v>
      </c>
      <c r="D1083" s="3">
        <f>'[1]NOVEMBER 2022'!D31</f>
        <v>74.989999999999995</v>
      </c>
      <c r="E1083" s="4">
        <f t="shared" si="66"/>
        <v>0</v>
      </c>
      <c r="F1083" s="6">
        <f>'[1]NOVEMBER 2022'!F31</f>
        <v>0</v>
      </c>
      <c r="G1083" s="4"/>
      <c r="H1083" s="4"/>
    </row>
    <row r="1084" spans="1:8" x14ac:dyDescent="0.2">
      <c r="A1084" s="23">
        <f>'[1]NOVEMBER 2022'!A37</f>
        <v>44871</v>
      </c>
      <c r="B1084" s="12" t="str">
        <f>'[1]NOVEMBER 2022'!B37</f>
        <v>LM</v>
      </c>
      <c r="C1084" s="3">
        <f>'[1]NOVEMBER 2022'!C37</f>
        <v>0</v>
      </c>
      <c r="D1084" s="3">
        <f>'[1]NOVEMBER 2022'!D37</f>
        <v>219.99</v>
      </c>
      <c r="E1084" s="4">
        <f t="shared" si="66"/>
        <v>0</v>
      </c>
      <c r="F1084" s="6">
        <f>'[1]NOVEMBER 2022'!F37</f>
        <v>0</v>
      </c>
      <c r="G1084" s="4"/>
      <c r="H1084" s="4"/>
    </row>
    <row r="1085" spans="1:8" x14ac:dyDescent="0.2">
      <c r="A1085" s="20">
        <f>'[1]NOVEMBER 2022'!A38</f>
        <v>44871</v>
      </c>
      <c r="B1085" s="12" t="str">
        <f>'[1]NOVEMBER 2022'!B38</f>
        <v>Andere</v>
      </c>
      <c r="C1085" s="3">
        <f>'[1]NOVEMBER 2022'!C38</f>
        <v>0</v>
      </c>
      <c r="D1085" s="3">
        <f>'[1]NOVEMBER 2022'!D38</f>
        <v>500</v>
      </c>
      <c r="E1085" s="4">
        <f t="shared" si="66"/>
        <v>0</v>
      </c>
      <c r="F1085" s="6">
        <f>'[1]NOVEMBER 2022'!F38</f>
        <v>0</v>
      </c>
      <c r="G1085" s="4"/>
      <c r="H1085" s="4"/>
    </row>
    <row r="1086" spans="1:8" x14ac:dyDescent="0.2">
      <c r="A1086" s="23">
        <f>'[1]NOVEMBER 2022'!A51</f>
        <v>44873</v>
      </c>
      <c r="B1086" s="12" t="str">
        <f>'[1]NOVEMBER 2022'!B51</f>
        <v>Andere</v>
      </c>
      <c r="C1086" s="3">
        <f>'[1]NOVEMBER 2022'!C51</f>
        <v>0</v>
      </c>
      <c r="D1086" s="3">
        <f>'[1]NOVEMBER 2022'!D51</f>
        <v>5640</v>
      </c>
      <c r="E1086" s="4">
        <f t="shared" ref="E1086:E1117" si="67">IF(0,0,0)</f>
        <v>0</v>
      </c>
      <c r="F1086" s="6">
        <f>'[1]NOVEMBER 2022'!F51</f>
        <v>0</v>
      </c>
      <c r="G1086" s="4"/>
      <c r="H1086" s="4"/>
    </row>
    <row r="1087" spans="1:8" x14ac:dyDescent="0.2">
      <c r="A1087" s="20">
        <f>'[1]NOVEMBER 2022'!A58</f>
        <v>44874</v>
      </c>
      <c r="B1087" s="12" t="str">
        <f>'[1]NOVEMBER 2022'!B58</f>
        <v>LM</v>
      </c>
      <c r="C1087" s="3">
        <f>'[1]NOVEMBER 2022'!C58</f>
        <v>0</v>
      </c>
      <c r="D1087" s="3">
        <f>'[1]NOVEMBER 2022'!D58</f>
        <v>617.99</v>
      </c>
      <c r="E1087" s="4">
        <f t="shared" si="67"/>
        <v>0</v>
      </c>
      <c r="F1087" s="6">
        <f>'[1]NOVEMBER 2022'!F58</f>
        <v>0</v>
      </c>
      <c r="G1087" s="4"/>
      <c r="H1087" s="4"/>
    </row>
    <row r="1088" spans="1:8" x14ac:dyDescent="0.2">
      <c r="A1088" s="23">
        <f>'[1]NOVEMBER 2022'!A59</f>
        <v>44874</v>
      </c>
      <c r="B1088" s="12" t="str">
        <f>'[1]NOVEMBER 2022'!B59</f>
        <v>Refill</v>
      </c>
      <c r="C1088" s="3">
        <f>'[1]NOVEMBER 2022'!C59</f>
        <v>63464.01</v>
      </c>
      <c r="D1088" s="3">
        <f>'[1]NOVEMBER 2022'!D59</f>
        <v>0</v>
      </c>
      <c r="E1088" s="4">
        <f t="shared" si="67"/>
        <v>0</v>
      </c>
      <c r="F1088" s="6">
        <f>'[1]NOVEMBER 2022'!F59</f>
        <v>0</v>
      </c>
      <c r="G1088" s="4"/>
      <c r="H1088" s="4"/>
    </row>
    <row r="1089" spans="1:8" x14ac:dyDescent="0.2">
      <c r="A1089" s="20">
        <f>'[1]NOVEMBER 2022'!A60</f>
        <v>44874</v>
      </c>
      <c r="B1089" s="12" t="str">
        <f>'[1]NOVEMBER 2022'!B60</f>
        <v>Rauchen</v>
      </c>
      <c r="C1089" s="3">
        <f>'[1]NOVEMBER 2022'!C60</f>
        <v>0</v>
      </c>
      <c r="D1089" s="3">
        <f>'[1]NOVEMBER 2022'!D60</f>
        <v>140</v>
      </c>
      <c r="E1089" s="4">
        <f t="shared" si="67"/>
        <v>0</v>
      </c>
      <c r="F1089" s="6">
        <f>'[1]NOVEMBER 2022'!F60</f>
        <v>0</v>
      </c>
      <c r="G1089" s="4"/>
      <c r="H1089" s="4"/>
    </row>
    <row r="1090" spans="1:8" x14ac:dyDescent="0.2">
      <c r="A1090" s="23">
        <f>'[1]NOVEMBER 2022'!A61</f>
        <v>44874</v>
      </c>
      <c r="B1090" s="12" t="str">
        <f>'[1]NOVEMBER 2022'!B61</f>
        <v>VM</v>
      </c>
      <c r="C1090" s="3">
        <f>'[1]NOVEMBER 2022'!C61</f>
        <v>0</v>
      </c>
      <c r="D1090" s="3">
        <f>'[1]NOVEMBER 2022'!D61</f>
        <v>40</v>
      </c>
      <c r="E1090" s="4">
        <f t="shared" si="67"/>
        <v>0</v>
      </c>
      <c r="F1090" s="6">
        <f>'[1]NOVEMBER 2022'!F61</f>
        <v>0</v>
      </c>
      <c r="G1090" s="4"/>
      <c r="H1090" s="4"/>
    </row>
    <row r="1091" spans="1:8" x14ac:dyDescent="0.2">
      <c r="A1091" s="20">
        <f>'[1]NOVEMBER 2022'!A62</f>
        <v>44874</v>
      </c>
      <c r="B1091" s="12" t="str">
        <f>'[1]NOVEMBER 2022'!B62</f>
        <v>Refill</v>
      </c>
      <c r="C1091" s="3">
        <f>'[1]NOVEMBER 2022'!C62</f>
        <v>4143</v>
      </c>
      <c r="D1091" s="3">
        <f>'[1]NOVEMBER 2022'!D62</f>
        <v>0</v>
      </c>
      <c r="E1091" s="4">
        <f t="shared" si="67"/>
        <v>0</v>
      </c>
      <c r="F1091" s="6">
        <f>'[1]NOVEMBER 2022'!F62</f>
        <v>0</v>
      </c>
      <c r="G1091" s="4"/>
      <c r="H1091" s="4"/>
    </row>
    <row r="1092" spans="1:8" x14ac:dyDescent="0.2">
      <c r="A1092" s="23">
        <f>'[1]NOVEMBER 2022'!A63</f>
        <v>44874</v>
      </c>
      <c r="B1092" s="12" t="str">
        <f>'[1]NOVEMBER 2022'!B63</f>
        <v>LM</v>
      </c>
      <c r="C1092" s="3">
        <f>'[1]NOVEMBER 2022'!C63</f>
        <v>0</v>
      </c>
      <c r="D1092" s="3">
        <f>'[1]NOVEMBER 2022'!D63</f>
        <v>890</v>
      </c>
      <c r="E1092" s="4">
        <f t="shared" si="67"/>
        <v>0</v>
      </c>
      <c r="F1092" s="6">
        <f>'[1]NOVEMBER 2022'!F63</f>
        <v>0</v>
      </c>
      <c r="G1092" s="4"/>
      <c r="H1092" s="4"/>
    </row>
    <row r="1093" spans="1:8" x14ac:dyDescent="0.2">
      <c r="A1093" s="23">
        <f>'[1]NOVEMBER 2022'!A65</f>
        <v>44875</v>
      </c>
      <c r="B1093" s="12" t="str">
        <f>'[1]NOVEMBER 2022'!B65</f>
        <v>VM</v>
      </c>
      <c r="C1093" s="3">
        <f>'[1]NOVEMBER 2022'!C65</f>
        <v>0</v>
      </c>
      <c r="D1093" s="3">
        <f>'[1]NOVEMBER 2022'!D65</f>
        <v>112</v>
      </c>
      <c r="E1093" s="4">
        <f t="shared" si="67"/>
        <v>0</v>
      </c>
      <c r="F1093" s="6">
        <f>'[1]NOVEMBER 2022'!F65</f>
        <v>0</v>
      </c>
      <c r="G1093" s="4"/>
      <c r="H1093" s="4"/>
    </row>
    <row r="1094" spans="1:8" x14ac:dyDescent="0.2">
      <c r="A1094" s="20">
        <f>'[1]NOVEMBER 2022'!A66</f>
        <v>44875</v>
      </c>
      <c r="B1094" s="12" t="str">
        <f>'[1]NOVEMBER 2022'!B66</f>
        <v>LM</v>
      </c>
      <c r="C1094" s="3">
        <f>'[1]NOVEMBER 2022'!C66</f>
        <v>0</v>
      </c>
      <c r="D1094" s="3">
        <f>'[1]NOVEMBER 2022'!D66</f>
        <v>151</v>
      </c>
      <c r="E1094" s="4">
        <f t="shared" si="67"/>
        <v>0</v>
      </c>
      <c r="F1094" s="6">
        <f>'[1]NOVEMBER 2022'!F66</f>
        <v>0</v>
      </c>
      <c r="G1094" s="4"/>
      <c r="H1094" s="4"/>
    </row>
    <row r="1095" spans="1:8" x14ac:dyDescent="0.2">
      <c r="A1095" s="20">
        <f>'[1]NOVEMBER 2022'!A68</f>
        <v>44875</v>
      </c>
      <c r="B1095" s="12" t="str">
        <f>'[1]NOVEMBER 2022'!B68</f>
        <v>Andere</v>
      </c>
      <c r="C1095" s="3">
        <f>'[1]NOVEMBER 2022'!C68</f>
        <v>0</v>
      </c>
      <c r="D1095" s="3">
        <f>'[1]NOVEMBER 2022'!D68</f>
        <v>444.3</v>
      </c>
      <c r="E1095" s="4">
        <f t="shared" si="67"/>
        <v>0</v>
      </c>
      <c r="F1095" s="6">
        <f>'[1]NOVEMBER 2022'!F68</f>
        <v>0</v>
      </c>
      <c r="G1095" s="4"/>
      <c r="H1095" s="4"/>
    </row>
    <row r="1096" spans="1:8" x14ac:dyDescent="0.2">
      <c r="A1096" s="20">
        <f>'[1]NOVEMBER 2022'!A72</f>
        <v>44876</v>
      </c>
      <c r="B1096" s="12" t="str">
        <f>'[1]NOVEMBER 2022'!B72</f>
        <v>VM</v>
      </c>
      <c r="C1096" s="3">
        <f>'[1]NOVEMBER 2022'!C72</f>
        <v>0</v>
      </c>
      <c r="D1096" s="3">
        <f>'[1]NOVEMBER 2022'!D72</f>
        <v>149</v>
      </c>
      <c r="E1096" s="4">
        <f t="shared" si="67"/>
        <v>0</v>
      </c>
      <c r="F1096" s="6">
        <f>'[1]NOVEMBER 2022'!F72</f>
        <v>0</v>
      </c>
      <c r="G1096" s="4"/>
      <c r="H1096" s="4"/>
    </row>
    <row r="1097" spans="1:8" x14ac:dyDescent="0.2">
      <c r="A1097" s="23">
        <f>'[1]NOVEMBER 2022'!A73</f>
        <v>44876</v>
      </c>
      <c r="B1097" s="12" t="str">
        <f>'[1]NOVEMBER 2022'!B73</f>
        <v>LM</v>
      </c>
      <c r="C1097" s="3">
        <f>'[1]NOVEMBER 2022'!C73</f>
        <v>0</v>
      </c>
      <c r="D1097" s="3">
        <f>'[1]NOVEMBER 2022'!D73</f>
        <v>1908</v>
      </c>
      <c r="E1097" s="4">
        <f t="shared" si="67"/>
        <v>0</v>
      </c>
      <c r="F1097" s="6">
        <f>'[1]NOVEMBER 2022'!F73</f>
        <v>0</v>
      </c>
      <c r="G1097" s="4"/>
      <c r="H1097" s="4"/>
    </row>
    <row r="1098" spans="1:8" x14ac:dyDescent="0.2">
      <c r="A1098" s="20">
        <f>'[1]NOVEMBER 2022'!A74</f>
        <v>44876</v>
      </c>
      <c r="B1098" s="12" t="str">
        <f>'[1]NOVEMBER 2022'!B74</f>
        <v>none</v>
      </c>
      <c r="C1098" s="3">
        <f>'[1]NOVEMBER 2022'!C74</f>
        <v>1000</v>
      </c>
      <c r="D1098" s="3">
        <f>'[1]NOVEMBER 2022'!D74</f>
        <v>1000</v>
      </c>
      <c r="E1098" s="4">
        <f t="shared" si="67"/>
        <v>0</v>
      </c>
      <c r="F1098" s="6">
        <f>'[1]NOVEMBER 2022'!F74</f>
        <v>0</v>
      </c>
      <c r="G1098" s="4"/>
      <c r="H1098" s="4"/>
    </row>
    <row r="1099" spans="1:8" x14ac:dyDescent="0.2">
      <c r="A1099" s="23">
        <f>'[1]NOVEMBER 2022'!A79</f>
        <v>44877</v>
      </c>
      <c r="B1099" s="12" t="str">
        <f>'[1]NOVEMBER 2022'!B79</f>
        <v>VM</v>
      </c>
      <c r="C1099" s="3">
        <f>'[1]NOVEMBER 2022'!C79</f>
        <v>0</v>
      </c>
      <c r="D1099" s="3">
        <f>'[1]NOVEMBER 2022'!D79</f>
        <v>79</v>
      </c>
      <c r="E1099" s="4">
        <f t="shared" si="67"/>
        <v>0</v>
      </c>
      <c r="F1099" s="6">
        <f>'[1]NOVEMBER 2022'!F79</f>
        <v>0</v>
      </c>
      <c r="G1099" s="4"/>
      <c r="H1099" s="4"/>
    </row>
    <row r="1100" spans="1:8" x14ac:dyDescent="0.2">
      <c r="A1100" s="20">
        <f>'[1]NOVEMBER 2022'!A80</f>
        <v>44877</v>
      </c>
      <c r="B1100" s="12" t="str">
        <f>'[1]NOVEMBER 2022'!B80</f>
        <v>Rauchen</v>
      </c>
      <c r="C1100" s="3">
        <f>'[1]NOVEMBER 2022'!C80</f>
        <v>0</v>
      </c>
      <c r="D1100" s="3">
        <f>'[1]NOVEMBER 2022'!D80</f>
        <v>139</v>
      </c>
      <c r="E1100" s="4">
        <f t="shared" si="67"/>
        <v>0</v>
      </c>
      <c r="F1100" s="6">
        <f>'[1]NOVEMBER 2022'!F80</f>
        <v>0</v>
      </c>
      <c r="G1100" s="4"/>
      <c r="H1100" s="4"/>
    </row>
    <row r="1101" spans="1:8" x14ac:dyDescent="0.2">
      <c r="A1101" s="23">
        <f>'[1]NOVEMBER 2022'!A81</f>
        <v>44877</v>
      </c>
      <c r="B1101" s="12" t="str">
        <f>'[1]NOVEMBER 2022'!B81</f>
        <v>Andere</v>
      </c>
      <c r="C1101" s="3">
        <f>'[1]NOVEMBER 2022'!C81</f>
        <v>0</v>
      </c>
      <c r="D1101" s="3">
        <f>'[1]NOVEMBER 2022'!D81</f>
        <v>130</v>
      </c>
      <c r="E1101" s="4">
        <f t="shared" si="67"/>
        <v>0</v>
      </c>
      <c r="F1101" s="6">
        <f>'[1]NOVEMBER 2022'!F81</f>
        <v>0</v>
      </c>
      <c r="G1101" s="4"/>
      <c r="H1101" s="4"/>
    </row>
    <row r="1102" spans="1:8" x14ac:dyDescent="0.2">
      <c r="A1102" s="20">
        <f>'[1]NOVEMBER 2022'!A82</f>
        <v>44877</v>
      </c>
      <c r="B1102" s="12" t="str">
        <f>'[1]NOVEMBER 2022'!B82</f>
        <v>for me</v>
      </c>
      <c r="C1102" s="3">
        <f>'[1]NOVEMBER 2022'!C82</f>
        <v>0</v>
      </c>
      <c r="D1102" s="3">
        <f>'[1]NOVEMBER 2022'!D82</f>
        <v>600</v>
      </c>
      <c r="E1102" s="4">
        <f t="shared" si="67"/>
        <v>0</v>
      </c>
      <c r="F1102" s="6">
        <f>'[1]NOVEMBER 2022'!F82</f>
        <v>0</v>
      </c>
      <c r="G1102" s="4"/>
      <c r="H1102" s="4"/>
    </row>
    <row r="1103" spans="1:8" x14ac:dyDescent="0.2">
      <c r="A1103" s="23">
        <f>'[1]NOVEMBER 2022'!A83</f>
        <v>44877</v>
      </c>
      <c r="B1103" s="12" t="str">
        <f>'[1]NOVEMBER 2022'!B83</f>
        <v>Kleidung</v>
      </c>
      <c r="C1103" s="3">
        <f>'[1]NOVEMBER 2022'!C83</f>
        <v>0</v>
      </c>
      <c r="D1103" s="3">
        <f>'[1]NOVEMBER 2022'!D83</f>
        <v>2999</v>
      </c>
      <c r="E1103" s="4">
        <f t="shared" si="67"/>
        <v>0</v>
      </c>
      <c r="F1103" s="6">
        <f>'[1]NOVEMBER 2022'!F83</f>
        <v>0</v>
      </c>
      <c r="G1103" s="4"/>
      <c r="H1103" s="4"/>
    </row>
    <row r="1104" spans="1:8" x14ac:dyDescent="0.2">
      <c r="A1104" s="20">
        <f>'[1]NOVEMBER 2022'!A84</f>
        <v>44877</v>
      </c>
      <c r="B1104" s="12" t="str">
        <f>'[1]NOVEMBER 2022'!B84</f>
        <v>LM</v>
      </c>
      <c r="C1104" s="3">
        <f>'[1]NOVEMBER 2022'!C84</f>
        <v>0</v>
      </c>
      <c r="D1104" s="3">
        <f>'[1]NOVEMBER 2022'!D84</f>
        <v>0</v>
      </c>
      <c r="E1104" s="4">
        <f t="shared" si="67"/>
        <v>0</v>
      </c>
      <c r="F1104" s="6">
        <f>'[1]NOVEMBER 2022'!F84</f>
        <v>190</v>
      </c>
      <c r="G1104" s="4"/>
      <c r="H1104" s="4"/>
    </row>
    <row r="1105" spans="1:8" x14ac:dyDescent="0.2">
      <c r="A1105" s="20">
        <f>'[1]NOVEMBER 2022'!A86</f>
        <v>44878</v>
      </c>
      <c r="B1105" s="12" t="str">
        <f>'[1]NOVEMBER 2022'!B86</f>
        <v>Andere</v>
      </c>
      <c r="C1105" s="3">
        <f>'[1]NOVEMBER 2022'!C86</f>
        <v>0</v>
      </c>
      <c r="D1105" s="3">
        <f>'[1]NOVEMBER 2022'!D86</f>
        <v>509.75</v>
      </c>
      <c r="E1105" s="4">
        <f t="shared" si="67"/>
        <v>0</v>
      </c>
      <c r="F1105" s="6">
        <f>'[1]NOVEMBER 2022'!F86</f>
        <v>0</v>
      </c>
      <c r="G1105" s="4"/>
      <c r="H1105" s="4"/>
    </row>
    <row r="1106" spans="1:8" x14ac:dyDescent="0.2">
      <c r="A1106" s="23">
        <f>'[1]NOVEMBER 2022'!A87</f>
        <v>44878</v>
      </c>
      <c r="B1106" s="12" t="str">
        <f>'[1]NOVEMBER 2022'!B87</f>
        <v>VM</v>
      </c>
      <c r="C1106" s="3">
        <f>'[1]NOVEMBER 2022'!C87</f>
        <v>0</v>
      </c>
      <c r="D1106" s="3">
        <f>'[1]NOVEMBER 2022'!D87</f>
        <v>426</v>
      </c>
      <c r="E1106" s="4">
        <f t="shared" si="67"/>
        <v>0</v>
      </c>
      <c r="F1106" s="6">
        <f>'[1]NOVEMBER 2022'!F87</f>
        <v>0</v>
      </c>
      <c r="G1106" s="4"/>
      <c r="H1106" s="4"/>
    </row>
    <row r="1107" spans="1:8" x14ac:dyDescent="0.2">
      <c r="A1107" s="20">
        <f>'[1]NOVEMBER 2022'!A88</f>
        <v>44878</v>
      </c>
      <c r="B1107" s="12" t="str">
        <f>'[1]NOVEMBER 2022'!B88</f>
        <v>Kleidung</v>
      </c>
      <c r="C1107" s="3">
        <f>'[1]NOVEMBER 2022'!C88</f>
        <v>0</v>
      </c>
      <c r="D1107" s="3">
        <f>'[1]NOVEMBER 2022'!D88</f>
        <v>14259</v>
      </c>
      <c r="E1107" s="4">
        <f t="shared" si="67"/>
        <v>0</v>
      </c>
      <c r="F1107" s="6">
        <f>'[1]NOVEMBER 2022'!F88</f>
        <v>0</v>
      </c>
      <c r="G1107" s="4"/>
      <c r="H1107" s="4"/>
    </row>
    <row r="1108" spans="1:8" x14ac:dyDescent="0.2">
      <c r="A1108" s="23">
        <f>'[1]NOVEMBER 2022'!A89</f>
        <v>44878</v>
      </c>
      <c r="B1108" s="12" t="str">
        <f>'[1]NOVEMBER 2022'!B89</f>
        <v>VM</v>
      </c>
      <c r="C1108" s="3">
        <f>'[1]NOVEMBER 2022'!C89</f>
        <v>0</v>
      </c>
      <c r="D1108" s="3">
        <f>'[1]NOVEMBER 2022'!D89</f>
        <v>102</v>
      </c>
      <c r="E1108" s="4">
        <f t="shared" si="67"/>
        <v>0</v>
      </c>
      <c r="F1108" s="6">
        <f>'[1]NOVEMBER 2022'!F89</f>
        <v>0</v>
      </c>
      <c r="G1108" s="4"/>
      <c r="H1108" s="4"/>
    </row>
    <row r="1109" spans="1:8" x14ac:dyDescent="0.2">
      <c r="A1109" s="20">
        <f>'[1]NOVEMBER 2022'!A90</f>
        <v>44878</v>
      </c>
      <c r="B1109" s="12" t="str">
        <f>'[1]NOVEMBER 2022'!B90</f>
        <v>Refill</v>
      </c>
      <c r="C1109" s="3">
        <f>'[1]NOVEMBER 2022'!C90</f>
        <v>12209</v>
      </c>
      <c r="D1109" s="3">
        <f>'[1]NOVEMBER 2022'!D90</f>
        <v>0</v>
      </c>
      <c r="E1109" s="4">
        <f t="shared" si="67"/>
        <v>0</v>
      </c>
      <c r="F1109" s="6">
        <f>'[1]NOVEMBER 2022'!F90</f>
        <v>0</v>
      </c>
      <c r="G1109" s="4"/>
      <c r="H1109" s="4"/>
    </row>
    <row r="1110" spans="1:8" x14ac:dyDescent="0.2">
      <c r="A1110" s="23">
        <f>'[1]NOVEMBER 2022'!A93</f>
        <v>44879</v>
      </c>
      <c r="B1110" s="12" t="str">
        <f>'[1]NOVEMBER 2022'!B93</f>
        <v>LM</v>
      </c>
      <c r="C1110" s="3">
        <f>'[1]NOVEMBER 2022'!C93</f>
        <v>0</v>
      </c>
      <c r="D1110" s="3">
        <f>'[1]NOVEMBER 2022'!D93</f>
        <v>806</v>
      </c>
      <c r="E1110" s="4">
        <f t="shared" si="67"/>
        <v>0</v>
      </c>
      <c r="F1110" s="6">
        <f>'[1]NOVEMBER 2022'!F93</f>
        <v>0</v>
      </c>
      <c r="G1110" s="4"/>
      <c r="H1110" s="4"/>
    </row>
    <row r="1111" spans="1:8" x14ac:dyDescent="0.2">
      <c r="A1111" s="20">
        <f>'[1]NOVEMBER 2022'!A94</f>
        <v>44879</v>
      </c>
      <c r="B1111" s="12" t="str">
        <f>'[1]NOVEMBER 2022'!B94</f>
        <v>VM</v>
      </c>
      <c r="C1111" s="3">
        <f>'[1]NOVEMBER 2022'!C94</f>
        <v>0</v>
      </c>
      <c r="D1111" s="3">
        <f>'[1]NOVEMBER 2022'!D94</f>
        <v>404</v>
      </c>
      <c r="E1111" s="4">
        <f t="shared" si="67"/>
        <v>0</v>
      </c>
      <c r="F1111" s="6">
        <f>'[1]NOVEMBER 2022'!F94</f>
        <v>0</v>
      </c>
      <c r="G1111" s="4"/>
      <c r="H1111" s="4"/>
    </row>
    <row r="1112" spans="1:8" x14ac:dyDescent="0.2">
      <c r="A1112" s="23">
        <f>'[1]NOVEMBER 2022'!A95</f>
        <v>44879</v>
      </c>
      <c r="B1112" s="12" t="str">
        <f>'[1]NOVEMBER 2022'!B95</f>
        <v>Andere</v>
      </c>
      <c r="C1112" s="3">
        <f>'[1]NOVEMBER 2022'!C95</f>
        <v>0</v>
      </c>
      <c r="D1112" s="3">
        <f>'[1]NOVEMBER 2022'!D95</f>
        <v>1500</v>
      </c>
      <c r="E1112" s="4">
        <f t="shared" si="67"/>
        <v>0</v>
      </c>
      <c r="F1112" s="6">
        <f>'[1]NOVEMBER 2022'!F95</f>
        <v>0</v>
      </c>
      <c r="G1112" s="4"/>
      <c r="H1112" s="4"/>
    </row>
    <row r="1113" spans="1:8" x14ac:dyDescent="0.2">
      <c r="A1113" s="20">
        <f>'[1]NOVEMBER 2022'!A96</f>
        <v>44879</v>
      </c>
      <c r="B1113" s="12" t="str">
        <f>'[1]NOVEMBER 2022'!B96</f>
        <v>none</v>
      </c>
      <c r="C1113" s="3">
        <f>'[1]NOVEMBER 2022'!C96</f>
        <v>10000</v>
      </c>
      <c r="D1113" s="3">
        <f>'[1]NOVEMBER 2022'!D96</f>
        <v>0</v>
      </c>
      <c r="E1113" s="4">
        <f t="shared" si="67"/>
        <v>0</v>
      </c>
      <c r="F1113" s="6">
        <f>'[1]NOVEMBER 2022'!F96</f>
        <v>0</v>
      </c>
      <c r="G1113" s="4"/>
      <c r="H1113" s="4"/>
    </row>
    <row r="1114" spans="1:8" x14ac:dyDescent="0.2">
      <c r="A1114" s="23">
        <f>'[1]NOVEMBER 2022'!A97</f>
        <v>44879</v>
      </c>
      <c r="B1114" s="12" t="str">
        <f>'[1]NOVEMBER 2022'!B97</f>
        <v>none</v>
      </c>
      <c r="C1114" s="3">
        <f>'[1]NOVEMBER 2022'!C97</f>
        <v>0</v>
      </c>
      <c r="D1114" s="3">
        <f>'[1]NOVEMBER 2022'!D97</f>
        <v>1000</v>
      </c>
      <c r="E1114" s="4">
        <f t="shared" si="67"/>
        <v>0</v>
      </c>
      <c r="F1114" s="6">
        <f>'[1]NOVEMBER 2022'!F97</f>
        <v>0</v>
      </c>
      <c r="G1114" s="4"/>
      <c r="H1114" s="4"/>
    </row>
    <row r="1115" spans="1:8" x14ac:dyDescent="0.2">
      <c r="A1115" s="20">
        <f>'[1]NOVEMBER 2022'!A100</f>
        <v>44880</v>
      </c>
      <c r="B1115" s="12" t="str">
        <f>'[1]NOVEMBER 2022'!B100</f>
        <v>LM</v>
      </c>
      <c r="C1115" s="3">
        <f>'[1]NOVEMBER 2022'!C100</f>
        <v>0</v>
      </c>
      <c r="D1115" s="3">
        <f>'[1]NOVEMBER 2022'!D100</f>
        <v>882</v>
      </c>
      <c r="E1115" s="4">
        <f t="shared" si="67"/>
        <v>0</v>
      </c>
      <c r="F1115" s="6">
        <f>'[1]NOVEMBER 2022'!F100</f>
        <v>0</v>
      </c>
      <c r="G1115" s="4"/>
      <c r="H1115" s="4"/>
    </row>
    <row r="1116" spans="1:8" x14ac:dyDescent="0.2">
      <c r="A1116" s="23">
        <f>'[1]NOVEMBER 2022'!A101</f>
        <v>44880</v>
      </c>
      <c r="B1116" s="12" t="str">
        <f>'[1]NOVEMBER 2022'!B101</f>
        <v>Rauchen</v>
      </c>
      <c r="C1116" s="3">
        <f>'[1]NOVEMBER 2022'!C101</f>
        <v>0</v>
      </c>
      <c r="D1116" s="3">
        <f>'[1]NOVEMBER 2022'!D101</f>
        <v>150</v>
      </c>
      <c r="E1116" s="4">
        <f t="shared" si="67"/>
        <v>0</v>
      </c>
      <c r="F1116" s="6">
        <f>'[1]NOVEMBER 2022'!F101</f>
        <v>0</v>
      </c>
      <c r="G1116" s="4"/>
      <c r="H1116" s="4"/>
    </row>
    <row r="1117" spans="1:8" x14ac:dyDescent="0.2">
      <c r="A1117" s="20">
        <f>'[1]NOVEMBER 2022'!A102</f>
        <v>44880</v>
      </c>
      <c r="B1117" s="12" t="str">
        <f>'[1]NOVEMBER 2022'!B102</f>
        <v>none</v>
      </c>
      <c r="C1117" s="3">
        <f>'[1]NOVEMBER 2022'!C102</f>
        <v>0</v>
      </c>
      <c r="D1117" s="3">
        <f>'[1]NOVEMBER 2022'!D102</f>
        <v>500</v>
      </c>
      <c r="E1117" s="4">
        <f t="shared" si="67"/>
        <v>0</v>
      </c>
      <c r="F1117" s="6">
        <f>'[1]NOVEMBER 2022'!F102</f>
        <v>0</v>
      </c>
      <c r="G1117" s="4"/>
      <c r="H1117" s="4"/>
    </row>
    <row r="1118" spans="1:8" x14ac:dyDescent="0.2">
      <c r="A1118" s="23">
        <f>'[1]NOVEMBER 2022'!A107</f>
        <v>44881</v>
      </c>
      <c r="B1118" s="12" t="str">
        <f>'[1]NOVEMBER 2022'!B107</f>
        <v>LM</v>
      </c>
      <c r="C1118" s="3">
        <f>'[1]NOVEMBER 2022'!C107</f>
        <v>0</v>
      </c>
      <c r="D1118" s="3">
        <f>'[1]NOVEMBER 2022'!D107</f>
        <v>1584</v>
      </c>
      <c r="E1118" s="4">
        <f t="shared" ref="E1118:E1132" si="68">IF(0,0,0)</f>
        <v>0</v>
      </c>
      <c r="F1118" s="6">
        <f>'[1]NOVEMBER 2022'!F107</f>
        <v>0</v>
      </c>
      <c r="G1118" s="4"/>
      <c r="H1118" s="4"/>
    </row>
    <row r="1119" spans="1:8" x14ac:dyDescent="0.2">
      <c r="A1119" s="20">
        <f>'[1]NOVEMBER 2022'!A114</f>
        <v>44882</v>
      </c>
      <c r="B1119" s="12" t="str">
        <f>'[1]NOVEMBER 2022'!B114</f>
        <v>LM</v>
      </c>
      <c r="C1119" s="3">
        <f>'[1]NOVEMBER 2022'!C114</f>
        <v>0</v>
      </c>
      <c r="D1119" s="3">
        <f>'[1]NOVEMBER 2022'!D114</f>
        <v>1124</v>
      </c>
      <c r="E1119" s="4">
        <f t="shared" si="68"/>
        <v>0</v>
      </c>
      <c r="F1119" s="6">
        <f>'[1]NOVEMBER 2022'!F114</f>
        <v>0</v>
      </c>
      <c r="G1119" s="4"/>
      <c r="H1119" s="4"/>
    </row>
    <row r="1120" spans="1:8" x14ac:dyDescent="0.2">
      <c r="A1120" s="23">
        <f>'[1]NOVEMBER 2022'!A121</f>
        <v>44883</v>
      </c>
      <c r="B1120" s="12" t="str">
        <f>'[1]NOVEMBER 2022'!B121</f>
        <v>Andere</v>
      </c>
      <c r="C1120" s="3">
        <f>'[1]NOVEMBER 2022'!C121</f>
        <v>0</v>
      </c>
      <c r="D1120" s="3">
        <f>'[1]NOVEMBER 2022'!D121</f>
        <v>4000</v>
      </c>
      <c r="E1120" s="4">
        <f t="shared" si="68"/>
        <v>0</v>
      </c>
      <c r="F1120" s="6">
        <f>'[1]NOVEMBER 2022'!F121</f>
        <v>0</v>
      </c>
      <c r="G1120" s="4"/>
      <c r="H1120" s="4"/>
    </row>
    <row r="1121" spans="1:8" x14ac:dyDescent="0.2">
      <c r="A1121" s="23">
        <f>'[1]NOVEMBER 2022'!A135</f>
        <v>44885</v>
      </c>
      <c r="B1121" s="12" t="str">
        <f>'[1]NOVEMBER 2022'!B135</f>
        <v>VM</v>
      </c>
      <c r="C1121" s="3">
        <f>'[1]NOVEMBER 2022'!C135</f>
        <v>0</v>
      </c>
      <c r="D1121" s="3">
        <f>'[1]NOVEMBER 2022'!D135</f>
        <v>934</v>
      </c>
      <c r="E1121" s="4">
        <f t="shared" si="68"/>
        <v>0</v>
      </c>
      <c r="F1121" s="6">
        <f>'[1]NOVEMBER 2022'!F135</f>
        <v>0</v>
      </c>
      <c r="G1121" s="4"/>
      <c r="H1121" s="4"/>
    </row>
    <row r="1122" spans="1:8" x14ac:dyDescent="0.2">
      <c r="A1122" s="20">
        <f>'[1]NOVEMBER 2022'!A136</f>
        <v>44885</v>
      </c>
      <c r="B1122" s="12" t="str">
        <f>'[1]NOVEMBER 2022'!B136</f>
        <v>Party</v>
      </c>
      <c r="C1122" s="3">
        <f>'[1]NOVEMBER 2022'!C136</f>
        <v>0</v>
      </c>
      <c r="D1122" s="3">
        <f>'[1]NOVEMBER 2022'!D136</f>
        <v>1600</v>
      </c>
      <c r="E1122" s="4">
        <f t="shared" si="68"/>
        <v>0</v>
      </c>
      <c r="F1122" s="6">
        <f>'[1]NOVEMBER 2022'!F136</f>
        <v>0</v>
      </c>
      <c r="G1122" s="4"/>
      <c r="H1122" s="4"/>
    </row>
    <row r="1123" spans="1:8" x14ac:dyDescent="0.2">
      <c r="A1123" s="23">
        <f>'[1]NOVEMBER 2022'!A137</f>
        <v>44885</v>
      </c>
      <c r="B1123" s="12" t="str">
        <f>'[1]NOVEMBER 2022'!B137</f>
        <v>Rauchen</v>
      </c>
      <c r="C1123" s="3">
        <f>'[1]NOVEMBER 2022'!C137</f>
        <v>0</v>
      </c>
      <c r="D1123" s="3">
        <f>'[1]NOVEMBER 2022'!D137</f>
        <v>150</v>
      </c>
      <c r="E1123" s="4">
        <f t="shared" si="68"/>
        <v>0</v>
      </c>
      <c r="F1123" s="6">
        <f>'[1]NOVEMBER 2022'!F137</f>
        <v>0</v>
      </c>
      <c r="G1123" s="4"/>
      <c r="H1123" s="4"/>
    </row>
    <row r="1124" spans="1:8" x14ac:dyDescent="0.2">
      <c r="A1124" s="20">
        <f>'[1]NOVEMBER 2022'!A142</f>
        <v>44886</v>
      </c>
      <c r="B1124" s="12" t="str">
        <f>'[1]NOVEMBER 2022'!B142</f>
        <v>LM</v>
      </c>
      <c r="C1124" s="3">
        <f>'[1]NOVEMBER 2022'!C142</f>
        <v>0</v>
      </c>
      <c r="D1124" s="3">
        <f>'[1]NOVEMBER 2022'!D142</f>
        <v>1104.08</v>
      </c>
      <c r="E1124" s="4">
        <f t="shared" si="68"/>
        <v>0</v>
      </c>
      <c r="F1124" s="6">
        <f>'[1]NOVEMBER 2022'!F142</f>
        <v>0</v>
      </c>
      <c r="G1124" s="4"/>
      <c r="H1124" s="4"/>
    </row>
    <row r="1125" spans="1:8" x14ac:dyDescent="0.2">
      <c r="A1125" s="23">
        <f>'[1]NOVEMBER 2022'!A149</f>
        <v>44887</v>
      </c>
      <c r="B1125" s="12" t="str">
        <f>'[1]NOVEMBER 2022'!B149</f>
        <v>Andere</v>
      </c>
      <c r="C1125" s="3">
        <f>'[1]NOVEMBER 2022'!C149</f>
        <v>0</v>
      </c>
      <c r="D1125" s="3">
        <f>'[1]NOVEMBER 2022'!D149</f>
        <v>50</v>
      </c>
      <c r="E1125" s="4">
        <f t="shared" si="68"/>
        <v>0</v>
      </c>
      <c r="F1125" s="6">
        <f>'[1]NOVEMBER 2022'!F149</f>
        <v>0</v>
      </c>
      <c r="G1125" s="4"/>
      <c r="H1125" s="4"/>
    </row>
    <row r="1126" spans="1:8" x14ac:dyDescent="0.2">
      <c r="A1126" s="20">
        <f>'[1]NOVEMBER 2022'!A150</f>
        <v>44887</v>
      </c>
      <c r="B1126" s="12" t="str">
        <f>'[1]NOVEMBER 2022'!B150</f>
        <v>VM</v>
      </c>
      <c r="C1126" s="3">
        <f>'[1]NOVEMBER 2022'!C150</f>
        <v>0</v>
      </c>
      <c r="D1126" s="3">
        <f>'[1]NOVEMBER 2022'!D150</f>
        <v>102</v>
      </c>
      <c r="E1126" s="4">
        <f t="shared" si="68"/>
        <v>0</v>
      </c>
      <c r="F1126" s="6">
        <f>'[1]NOVEMBER 2022'!F150</f>
        <v>0</v>
      </c>
      <c r="G1126" s="4"/>
      <c r="H1126" s="4"/>
    </row>
    <row r="1127" spans="1:8" x14ac:dyDescent="0.2">
      <c r="A1127" s="23">
        <f>'[1]NOVEMBER 2022'!A151</f>
        <v>44887</v>
      </c>
      <c r="B1127" s="12" t="str">
        <f>'[1]NOVEMBER 2022'!B151</f>
        <v>Rauchen</v>
      </c>
      <c r="C1127" s="3">
        <f>'[1]NOVEMBER 2022'!C151</f>
        <v>0</v>
      </c>
      <c r="D1127" s="3">
        <f>'[1]NOVEMBER 2022'!D151</f>
        <v>165</v>
      </c>
      <c r="E1127" s="4">
        <f t="shared" si="68"/>
        <v>0</v>
      </c>
      <c r="F1127" s="6">
        <f>'[1]NOVEMBER 2022'!F151</f>
        <v>0</v>
      </c>
      <c r="G1127" s="4"/>
      <c r="H1127" s="4"/>
    </row>
    <row r="1128" spans="1:8" x14ac:dyDescent="0.2">
      <c r="A1128" s="20">
        <f>'[1]NOVEMBER 2022'!A156</f>
        <v>44888</v>
      </c>
      <c r="B1128" s="12" t="str">
        <f>'[1]NOVEMBER 2022'!B156</f>
        <v>VM</v>
      </c>
      <c r="C1128" s="3">
        <f>'[1]NOVEMBER 2022'!C156</f>
        <v>0</v>
      </c>
      <c r="D1128" s="3">
        <f>'[1]NOVEMBER 2022'!D156</f>
        <v>770</v>
      </c>
      <c r="E1128" s="4">
        <f t="shared" si="68"/>
        <v>0</v>
      </c>
      <c r="F1128" s="6">
        <f>'[1]NOVEMBER 2022'!F156</f>
        <v>0</v>
      </c>
      <c r="G1128" s="4"/>
      <c r="H1128" s="4"/>
    </row>
    <row r="1129" spans="1:8" x14ac:dyDescent="0.2">
      <c r="A1129" s="23">
        <f>'[1]NOVEMBER 2022'!A157</f>
        <v>44888</v>
      </c>
      <c r="B1129" s="12" t="str">
        <f>'[1]NOVEMBER 2022'!B157</f>
        <v>LM</v>
      </c>
      <c r="C1129" s="3">
        <f>'[1]NOVEMBER 2022'!C157</f>
        <v>0</v>
      </c>
      <c r="D1129" s="3">
        <f>'[1]NOVEMBER 2022'!D157</f>
        <v>335</v>
      </c>
      <c r="E1129" s="4">
        <f t="shared" si="68"/>
        <v>0</v>
      </c>
      <c r="F1129" s="6">
        <f>'[1]NOVEMBER 2022'!F157</f>
        <v>0</v>
      </c>
      <c r="G1129" s="4"/>
      <c r="H1129" s="4"/>
    </row>
    <row r="1130" spans="1:8" x14ac:dyDescent="0.2">
      <c r="A1130" s="23">
        <f>'[1]NOVEMBER 2022'!A163</f>
        <v>44889</v>
      </c>
      <c r="B1130" s="12" t="str">
        <f>'[1]NOVEMBER 2022'!B163</f>
        <v>LM</v>
      </c>
      <c r="C1130" s="3">
        <f>'[1]NOVEMBER 2022'!C163</f>
        <v>0</v>
      </c>
      <c r="D1130" s="3">
        <f>'[1]NOVEMBER 2022'!D163</f>
        <v>390</v>
      </c>
      <c r="E1130" s="4">
        <f t="shared" si="68"/>
        <v>0</v>
      </c>
      <c r="F1130" s="6">
        <f>'[1]NOVEMBER 2022'!F163</f>
        <v>0</v>
      </c>
      <c r="G1130" s="4"/>
      <c r="H1130" s="4"/>
    </row>
    <row r="1131" spans="1:8" x14ac:dyDescent="0.2">
      <c r="A1131" s="20">
        <f>'[1]NOVEMBER 2022'!A164</f>
        <v>44889</v>
      </c>
      <c r="B1131" s="12" t="str">
        <f>'[1]NOVEMBER 2022'!B164</f>
        <v>Refill</v>
      </c>
      <c r="C1131" s="3">
        <f>'[1]NOVEMBER 2022'!C164</f>
        <v>37639.199999999997</v>
      </c>
      <c r="D1131" s="3">
        <f>'[1]NOVEMBER 2022'!D164</f>
        <v>0</v>
      </c>
      <c r="E1131" s="4">
        <f t="shared" si="68"/>
        <v>0</v>
      </c>
      <c r="F1131" s="6">
        <f>'[1]NOVEMBER 2022'!F164</f>
        <v>0</v>
      </c>
      <c r="G1131" s="4"/>
      <c r="H1131" s="4"/>
    </row>
    <row r="1132" spans="1:8" x14ac:dyDescent="0.2">
      <c r="A1132" s="23">
        <f>'[1]NOVEMBER 2022'!A165</f>
        <v>44889</v>
      </c>
      <c r="B1132" s="12" t="str">
        <f>'[1]NOVEMBER 2022'!B165</f>
        <v>Party</v>
      </c>
      <c r="C1132" s="3">
        <f>'[1]NOVEMBER 2022'!C165</f>
        <v>0</v>
      </c>
      <c r="D1132" s="3">
        <f>'[1]NOVEMBER 2022'!D165</f>
        <v>0</v>
      </c>
      <c r="E1132" s="4">
        <f t="shared" si="68"/>
        <v>0</v>
      </c>
      <c r="F1132" s="6">
        <f>'[1]NOVEMBER 2022'!F165</f>
        <v>780</v>
      </c>
      <c r="G1132" s="4"/>
      <c r="H1132" s="4"/>
    </row>
    <row r="1133" spans="1:8" x14ac:dyDescent="0.2">
      <c r="A1133" s="20">
        <f>'[1]NOVEMBER 2022'!A170</f>
        <v>44890</v>
      </c>
      <c r="B1133" s="12" t="str">
        <f>'[1]NOVEMBER 2022'!B170</f>
        <v>LM</v>
      </c>
      <c r="C1133" s="3">
        <f>'[1]NOVEMBER 2022'!C170</f>
        <v>0</v>
      </c>
      <c r="D1133" s="3">
        <f>'[1]NOVEMBER 2022'!D170</f>
        <v>346.88</v>
      </c>
      <c r="E1133" s="4">
        <f t="shared" ref="E1133:E1149" si="69">IF(0,0,0)</f>
        <v>0</v>
      </c>
      <c r="F1133" s="6">
        <f>'[1]NOVEMBER 2022'!F170</f>
        <v>0</v>
      </c>
      <c r="G1133" s="4"/>
      <c r="H1133" s="4"/>
    </row>
    <row r="1134" spans="1:8" x14ac:dyDescent="0.2">
      <c r="A1134" s="23">
        <f>'[1]NOVEMBER 2022'!A171</f>
        <v>44890</v>
      </c>
      <c r="B1134" s="12" t="str">
        <f>'[1]NOVEMBER 2022'!B171</f>
        <v>Rauchen</v>
      </c>
      <c r="C1134" s="3">
        <f>'[1]NOVEMBER 2022'!C171</f>
        <v>0</v>
      </c>
      <c r="D1134" s="3">
        <f>'[1]NOVEMBER 2022'!D171</f>
        <v>140</v>
      </c>
      <c r="E1134" s="4">
        <f t="shared" si="69"/>
        <v>0</v>
      </c>
      <c r="F1134" s="6">
        <f>'[1]NOVEMBER 2022'!F171</f>
        <v>0</v>
      </c>
      <c r="G1134" s="4"/>
      <c r="H1134" s="4"/>
    </row>
    <row r="1135" spans="1:8" x14ac:dyDescent="0.2">
      <c r="A1135" s="20">
        <f>'[1]NOVEMBER 2022'!A172</f>
        <v>44890</v>
      </c>
      <c r="B1135" s="12" t="str">
        <f>'[1]NOVEMBER 2022'!B172</f>
        <v>VM</v>
      </c>
      <c r="C1135" s="3">
        <f>'[1]NOVEMBER 2022'!C172</f>
        <v>0</v>
      </c>
      <c r="D1135" s="3">
        <f>'[1]NOVEMBER 2022'!D172</f>
        <v>102</v>
      </c>
      <c r="E1135" s="4">
        <f t="shared" si="69"/>
        <v>0</v>
      </c>
      <c r="F1135" s="6">
        <f>'[1]NOVEMBER 2022'!F172</f>
        <v>0</v>
      </c>
      <c r="G1135" s="4"/>
      <c r="H1135" s="4"/>
    </row>
    <row r="1136" spans="1:8" x14ac:dyDescent="0.2">
      <c r="A1136" s="23">
        <f>'[1]NOVEMBER 2022'!A173</f>
        <v>44890</v>
      </c>
      <c r="B1136" s="12" t="str">
        <f>'[1]NOVEMBER 2022'!B173</f>
        <v>Andere</v>
      </c>
      <c r="C1136" s="3">
        <f>'[1]NOVEMBER 2022'!C173</f>
        <v>0</v>
      </c>
      <c r="D1136" s="3">
        <f>'[1]NOVEMBER 2022'!D173</f>
        <v>500</v>
      </c>
      <c r="E1136" s="4">
        <f t="shared" si="69"/>
        <v>0</v>
      </c>
      <c r="F1136" s="6">
        <f>'[1]NOVEMBER 2022'!F173</f>
        <v>0</v>
      </c>
      <c r="G1136" s="4"/>
      <c r="H1136" s="4"/>
    </row>
    <row r="1137" spans="1:8" x14ac:dyDescent="0.2">
      <c r="A1137" s="23">
        <f>'[1]NOVEMBER 2022'!A177</f>
        <v>44891</v>
      </c>
      <c r="B1137" s="12" t="str">
        <f>'[1]NOVEMBER 2022'!B177</f>
        <v>VM</v>
      </c>
      <c r="C1137" s="3">
        <f>'[1]NOVEMBER 2022'!C177</f>
        <v>0</v>
      </c>
      <c r="D1137" s="3">
        <f>'[1]NOVEMBER 2022'!D177</f>
        <v>667</v>
      </c>
      <c r="E1137" s="4">
        <f t="shared" si="69"/>
        <v>0</v>
      </c>
      <c r="F1137" s="6">
        <f>'[1]NOVEMBER 2022'!F177</f>
        <v>0</v>
      </c>
      <c r="G1137" s="4"/>
      <c r="H1137" s="4"/>
    </row>
    <row r="1138" spans="1:8" x14ac:dyDescent="0.2">
      <c r="A1138" s="20">
        <f>'[1]NOVEMBER 2022'!A178</f>
        <v>44891</v>
      </c>
      <c r="B1138" s="12" t="str">
        <f>'[1]NOVEMBER 2022'!B178</f>
        <v>LM</v>
      </c>
      <c r="C1138" s="3">
        <f>'[1]NOVEMBER 2022'!C178</f>
        <v>0</v>
      </c>
      <c r="D1138" s="3">
        <f>'[1]NOVEMBER 2022'!D178</f>
        <v>1234</v>
      </c>
      <c r="E1138" s="4">
        <f t="shared" si="69"/>
        <v>0</v>
      </c>
      <c r="F1138" s="6">
        <f>'[1]NOVEMBER 2022'!F178</f>
        <v>0</v>
      </c>
      <c r="G1138" s="4"/>
      <c r="H1138" s="4"/>
    </row>
    <row r="1139" spans="1:8" x14ac:dyDescent="0.2">
      <c r="A1139" s="23">
        <f>'[1]NOVEMBER 2022'!A179</f>
        <v>44891</v>
      </c>
      <c r="B1139" s="12" t="str">
        <f>'[1]NOVEMBER 2022'!B179</f>
        <v>for me</v>
      </c>
      <c r="C1139" s="3">
        <f>'[1]NOVEMBER 2022'!C179</f>
        <v>0</v>
      </c>
      <c r="D1139" s="3">
        <f>'[1]NOVEMBER 2022'!D179</f>
        <v>900</v>
      </c>
      <c r="E1139" s="4">
        <f t="shared" si="69"/>
        <v>0</v>
      </c>
      <c r="F1139" s="6">
        <f>'[1]NOVEMBER 2022'!F179</f>
        <v>0</v>
      </c>
      <c r="G1139" s="4"/>
      <c r="H1139" s="4"/>
    </row>
    <row r="1140" spans="1:8" x14ac:dyDescent="0.2">
      <c r="A1140" s="20">
        <f>'[1]NOVEMBER 2022'!A184</f>
        <v>44892</v>
      </c>
      <c r="B1140" s="12" t="str">
        <f>'[1]NOVEMBER 2022'!B184</f>
        <v>LM</v>
      </c>
      <c r="C1140" s="3">
        <f>'[1]NOVEMBER 2022'!C184</f>
        <v>0</v>
      </c>
      <c r="D1140" s="3">
        <f>'[1]NOVEMBER 2022'!D184</f>
        <v>1257.31</v>
      </c>
      <c r="E1140" s="4">
        <f t="shared" si="69"/>
        <v>0</v>
      </c>
      <c r="F1140" s="6">
        <f>'[1]NOVEMBER 2022'!F184</f>
        <v>1700</v>
      </c>
      <c r="G1140" s="4"/>
      <c r="H1140" s="4"/>
    </row>
    <row r="1141" spans="1:8" x14ac:dyDescent="0.2">
      <c r="A1141" s="23">
        <f>'[1]NOVEMBER 2022'!A185</f>
        <v>44892</v>
      </c>
      <c r="B1141" s="12" t="str">
        <f>'[1]NOVEMBER 2022'!B185</f>
        <v>VM</v>
      </c>
      <c r="C1141" s="3">
        <f>'[1]NOVEMBER 2022'!C185</f>
        <v>0</v>
      </c>
      <c r="D1141" s="3">
        <f>'[1]NOVEMBER 2022'!D185</f>
        <v>311</v>
      </c>
      <c r="E1141" s="4">
        <f t="shared" si="69"/>
        <v>0</v>
      </c>
      <c r="F1141" s="6">
        <f>'[1]NOVEMBER 2022'!F185</f>
        <v>0</v>
      </c>
      <c r="G1141" s="4"/>
      <c r="H1141" s="4"/>
    </row>
    <row r="1142" spans="1:8" x14ac:dyDescent="0.2">
      <c r="A1142" s="20">
        <f>'[1]NOVEMBER 2022'!A186</f>
        <v>44892</v>
      </c>
      <c r="B1142" s="12" t="str">
        <f>'[1]NOVEMBER 2022'!B186</f>
        <v>Party</v>
      </c>
      <c r="C1142" s="3">
        <f>'[1]NOVEMBER 2022'!C186</f>
        <v>0</v>
      </c>
      <c r="D1142" s="3">
        <f>'[1]NOVEMBER 2022'!D186</f>
        <v>0</v>
      </c>
      <c r="E1142" s="4">
        <f t="shared" si="69"/>
        <v>0</v>
      </c>
      <c r="F1142" s="6">
        <f>'[1]NOVEMBER 2022'!F186</f>
        <v>2700</v>
      </c>
      <c r="G1142" s="4"/>
      <c r="H1142" s="4"/>
    </row>
    <row r="1143" spans="1:8" x14ac:dyDescent="0.2">
      <c r="A1143" s="23">
        <f>'[1]NOVEMBER 2022'!A191</f>
        <v>44893</v>
      </c>
      <c r="B1143" s="12" t="str">
        <f>'[1]NOVEMBER 2022'!B191</f>
        <v>Rauchen</v>
      </c>
      <c r="C1143" s="3">
        <f>'[1]NOVEMBER 2022'!C191</f>
        <v>0</v>
      </c>
      <c r="D1143" s="3">
        <f>'[1]NOVEMBER 2022'!D191</f>
        <v>155</v>
      </c>
      <c r="E1143" s="4">
        <f t="shared" si="69"/>
        <v>0</v>
      </c>
      <c r="F1143" s="6">
        <f>'[1]NOVEMBER 2022'!F191</f>
        <v>0</v>
      </c>
      <c r="G1143" s="4"/>
      <c r="H1143" s="4"/>
    </row>
    <row r="1144" spans="1:8" x14ac:dyDescent="0.2">
      <c r="A1144" s="20">
        <f>'[1]NOVEMBER 2022'!A192</f>
        <v>44893</v>
      </c>
      <c r="B1144" s="12" t="str">
        <f>'[1]NOVEMBER 2022'!B192</f>
        <v>Andere</v>
      </c>
      <c r="C1144" s="3">
        <f>'[1]NOVEMBER 2022'!C192</f>
        <v>0</v>
      </c>
      <c r="D1144" s="3">
        <f>'[1]NOVEMBER 2022'!D192</f>
        <v>2200</v>
      </c>
      <c r="E1144" s="4">
        <f t="shared" si="69"/>
        <v>0</v>
      </c>
      <c r="F1144" s="6">
        <f>'[1]NOVEMBER 2022'!F192</f>
        <v>0</v>
      </c>
      <c r="G1144" s="4"/>
      <c r="H1144" s="4"/>
    </row>
    <row r="1145" spans="1:8" x14ac:dyDescent="0.2">
      <c r="A1145" s="23">
        <f>'[1]NOVEMBER 2022'!A193</f>
        <v>44893</v>
      </c>
      <c r="B1145" s="12" t="str">
        <f>'[1]NOVEMBER 2022'!B193</f>
        <v>VM</v>
      </c>
      <c r="C1145" s="3">
        <f>'[1]NOVEMBER 2022'!C193</f>
        <v>0</v>
      </c>
      <c r="D1145" s="3">
        <f>'[1]NOVEMBER 2022'!D193</f>
        <v>5775</v>
      </c>
      <c r="E1145" s="4">
        <f t="shared" si="69"/>
        <v>0</v>
      </c>
      <c r="F1145" s="6">
        <f>'[1]NOVEMBER 2022'!F193</f>
        <v>0</v>
      </c>
      <c r="G1145" s="4"/>
      <c r="H1145" s="4"/>
    </row>
    <row r="1146" spans="1:8" x14ac:dyDescent="0.2">
      <c r="A1146" s="20">
        <f>'[1]NOVEMBER 2022'!A194</f>
        <v>44893</v>
      </c>
      <c r="B1146" s="12" t="str">
        <f>'[1]NOVEMBER 2022'!B194</f>
        <v>none</v>
      </c>
      <c r="C1146" s="3">
        <f>'[1]NOVEMBER 2022'!C194</f>
        <v>0</v>
      </c>
      <c r="D1146" s="3">
        <f>'[1]NOVEMBER 2022'!D194</f>
        <v>1500</v>
      </c>
      <c r="E1146" s="4">
        <f t="shared" si="69"/>
        <v>0</v>
      </c>
      <c r="F1146" s="6">
        <f>'[1]NOVEMBER 2022'!F194</f>
        <v>0</v>
      </c>
      <c r="G1146" s="4"/>
      <c r="H1146" s="4"/>
    </row>
    <row r="1147" spans="1:8" x14ac:dyDescent="0.2">
      <c r="A1147" s="20">
        <f>'[1]NOVEMBER 2022'!A198</f>
        <v>44894</v>
      </c>
      <c r="B1147" s="12" t="str">
        <f>'[1]NOVEMBER 2022'!B198</f>
        <v>VM</v>
      </c>
      <c r="C1147" s="3">
        <f>'[1]NOVEMBER 2022'!C198</f>
        <v>0</v>
      </c>
      <c r="D1147" s="3">
        <f>'[1]NOVEMBER 2022'!D198</f>
        <v>102</v>
      </c>
      <c r="E1147" s="4">
        <f t="shared" si="69"/>
        <v>0</v>
      </c>
      <c r="F1147" s="6">
        <f>'[1]NOVEMBER 2022'!F198</f>
        <v>0</v>
      </c>
      <c r="G1147" s="4"/>
      <c r="H1147" s="4"/>
    </row>
    <row r="1148" spans="1:8" x14ac:dyDescent="0.2">
      <c r="A1148" s="23">
        <f>'[1]NOVEMBER 2022'!A199</f>
        <v>44894</v>
      </c>
      <c r="B1148" s="12" t="str">
        <f>'[1]NOVEMBER 2022'!B199</f>
        <v>LM</v>
      </c>
      <c r="C1148" s="3">
        <f>'[1]NOVEMBER 2022'!C199</f>
        <v>0</v>
      </c>
      <c r="D1148" s="3">
        <f>'[1]NOVEMBER 2022'!D199</f>
        <v>609.44000000000005</v>
      </c>
      <c r="E1148" s="4">
        <f t="shared" si="69"/>
        <v>0</v>
      </c>
      <c r="F1148" s="6">
        <f>'[1]NOVEMBER 2022'!F199</f>
        <v>0</v>
      </c>
      <c r="G1148" s="4"/>
      <c r="H1148" s="4"/>
    </row>
    <row r="1149" spans="1:8" x14ac:dyDescent="0.2">
      <c r="A1149" s="23">
        <f>'[1]NOVEMBER 2022'!A205</f>
        <v>44895</v>
      </c>
      <c r="B1149" s="12" t="str">
        <f>'[1]NOVEMBER 2022'!B205</f>
        <v>Refill</v>
      </c>
      <c r="C1149" s="3">
        <f>'[1]NOVEMBER 2022'!C205</f>
        <v>1602.74</v>
      </c>
      <c r="D1149" s="3">
        <f>'[1]NOVEMBER 2022'!D205</f>
        <v>0</v>
      </c>
      <c r="E1149" s="4">
        <f t="shared" si="69"/>
        <v>0</v>
      </c>
      <c r="F1149" s="6">
        <f>'[1]NOVEMBER 2022'!F205</f>
        <v>0</v>
      </c>
      <c r="G1149" s="4"/>
      <c r="H1149" s="4"/>
    </row>
    <row r="1150" spans="1:8" x14ac:dyDescent="0.2">
      <c r="A1150" s="20">
        <f>'[1]DECEMBER 2022'!A2</f>
        <v>44896</v>
      </c>
      <c r="B1150" s="12" t="str">
        <f>'[1]DECEMBER 2022'!B2</f>
        <v>Party</v>
      </c>
      <c r="C1150" s="3">
        <f>'[1]DECEMBER 2022'!C2</f>
        <v>0</v>
      </c>
      <c r="D1150" s="3">
        <f>'[1]DECEMBER 2022'!D2</f>
        <v>2000</v>
      </c>
      <c r="E1150" s="3">
        <f>'[1]DECEMBER 2022'!E2</f>
        <v>0</v>
      </c>
      <c r="F1150" s="6">
        <f>'[1]DECEMBER 2022'!F2</f>
        <v>0</v>
      </c>
      <c r="G1150" s="4"/>
      <c r="H1150" s="4"/>
    </row>
    <row r="1151" spans="1:8" x14ac:dyDescent="0.2">
      <c r="A1151" s="23">
        <f>'[1]DECEMBER 2022'!A9</f>
        <v>44897</v>
      </c>
      <c r="B1151" s="12" t="str">
        <f>'[1]DECEMBER 2022'!B9</f>
        <v>LM</v>
      </c>
      <c r="C1151" s="3">
        <f>'[1]DECEMBER 2022'!C9</f>
        <v>0</v>
      </c>
      <c r="D1151" s="3">
        <f>'[1]DECEMBER 2022'!D9</f>
        <v>757.6</v>
      </c>
      <c r="E1151" s="3">
        <f>'[1]DECEMBER 2022'!E9</f>
        <v>0</v>
      </c>
      <c r="F1151" s="6">
        <f>'[1]DECEMBER 2022'!F9</f>
        <v>0</v>
      </c>
      <c r="G1151" s="4"/>
      <c r="H1151" s="4"/>
    </row>
    <row r="1152" spans="1:8" x14ac:dyDescent="0.2">
      <c r="A1152" s="20">
        <f>'[1]DECEMBER 2022'!A16</f>
        <v>44898</v>
      </c>
      <c r="B1152" s="12" t="str">
        <f>'[1]DECEMBER 2022'!B16</f>
        <v>for me</v>
      </c>
      <c r="C1152" s="3">
        <f>'[1]DECEMBER 2022'!C16</f>
        <v>0</v>
      </c>
      <c r="D1152" s="3">
        <f>'[1]DECEMBER 2022'!D16</f>
        <v>550</v>
      </c>
      <c r="E1152" s="3">
        <f>'[1]DECEMBER 2022'!E16</f>
        <v>0</v>
      </c>
      <c r="F1152" s="6">
        <f>'[1]DECEMBER 2022'!F16</f>
        <v>0</v>
      </c>
      <c r="G1152" s="4"/>
      <c r="H1152" s="4"/>
    </row>
    <row r="1153" spans="1:8" x14ac:dyDescent="0.2">
      <c r="A1153" s="23">
        <f>'[1]DECEMBER 2022'!A17</f>
        <v>44898</v>
      </c>
      <c r="B1153" s="12" t="str">
        <f>'[1]DECEMBER 2022'!B17</f>
        <v>Frauen</v>
      </c>
      <c r="C1153" s="3">
        <f>'[1]DECEMBER 2022'!C17</f>
        <v>0</v>
      </c>
      <c r="D1153" s="3">
        <f>'[1]DECEMBER 2022'!D17</f>
        <v>999</v>
      </c>
      <c r="E1153" s="3">
        <f>'[1]DECEMBER 2022'!E17</f>
        <v>0</v>
      </c>
      <c r="F1153" s="6">
        <f>'[1]DECEMBER 2022'!F17</f>
        <v>0</v>
      </c>
      <c r="G1153" s="4"/>
      <c r="H1153" s="4"/>
    </row>
    <row r="1154" spans="1:8" x14ac:dyDescent="0.2">
      <c r="A1154" s="20">
        <f>'[1]DECEMBER 2022'!A18</f>
        <v>44898</v>
      </c>
      <c r="B1154" s="12" t="str">
        <f>'[1]DECEMBER 2022'!B18</f>
        <v>Party</v>
      </c>
      <c r="C1154" s="3">
        <f>'[1]DECEMBER 2022'!C18</f>
        <v>0</v>
      </c>
      <c r="D1154" s="3">
        <f>'[1]DECEMBER 2022'!D18</f>
        <v>3690</v>
      </c>
      <c r="E1154" s="3">
        <f>'[1]DECEMBER 2022'!E18</f>
        <v>0</v>
      </c>
      <c r="F1154" s="6">
        <f>'[1]DECEMBER 2022'!F18</f>
        <v>0</v>
      </c>
      <c r="G1154" s="4"/>
      <c r="H1154" s="4"/>
    </row>
    <row r="1155" spans="1:8" x14ac:dyDescent="0.2">
      <c r="A1155" s="23">
        <f>'[1]DECEMBER 2022'!A23</f>
        <v>44899</v>
      </c>
      <c r="B1155" s="12" t="str">
        <f>'[1]DECEMBER 2022'!B23</f>
        <v>VM</v>
      </c>
      <c r="C1155" s="3">
        <f>'[1]DECEMBER 2022'!C23</f>
        <v>0</v>
      </c>
      <c r="D1155" s="3">
        <f>'[1]DECEMBER 2022'!D23</f>
        <v>102</v>
      </c>
      <c r="E1155" s="3">
        <f>'[1]DECEMBER 2022'!E23</f>
        <v>0</v>
      </c>
      <c r="F1155" s="6">
        <f>'[1]DECEMBER 2022'!F23</f>
        <v>0</v>
      </c>
      <c r="G1155" s="4"/>
      <c r="H1155" s="4"/>
    </row>
    <row r="1156" spans="1:8" x14ac:dyDescent="0.2">
      <c r="A1156" s="20">
        <f>'[1]DECEMBER 2022'!A24</f>
        <v>44899</v>
      </c>
      <c r="B1156" s="12" t="str">
        <f>'[1]DECEMBER 2022'!B24</f>
        <v>LM</v>
      </c>
      <c r="C1156" s="3">
        <f>'[1]DECEMBER 2022'!C24</f>
        <v>0</v>
      </c>
      <c r="D1156" s="3">
        <f>'[1]DECEMBER 2022'!D24</f>
        <v>768</v>
      </c>
      <c r="E1156" s="3">
        <f>'[1]DECEMBER 2022'!E24</f>
        <v>0</v>
      </c>
      <c r="F1156" s="6">
        <f>'[1]DECEMBER 2022'!F24</f>
        <v>300</v>
      </c>
      <c r="G1156" s="4"/>
      <c r="H1156" s="4"/>
    </row>
    <row r="1157" spans="1:8" x14ac:dyDescent="0.2">
      <c r="A1157" s="23">
        <f>'[1]DECEMBER 2022'!A25</f>
        <v>44899</v>
      </c>
      <c r="B1157" s="12" t="str">
        <f>'[1]DECEMBER 2022'!B25</f>
        <v>Andere</v>
      </c>
      <c r="C1157" s="3">
        <f>'[1]DECEMBER 2022'!C25</f>
        <v>0</v>
      </c>
      <c r="D1157" s="3">
        <f>'[1]DECEMBER 2022'!D25</f>
        <v>999</v>
      </c>
      <c r="E1157" s="3">
        <f>'[1]DECEMBER 2022'!E25</f>
        <v>0</v>
      </c>
      <c r="F1157" s="6">
        <f>'[1]DECEMBER 2022'!F25</f>
        <v>0</v>
      </c>
      <c r="G1157" s="4"/>
      <c r="H1157" s="4"/>
    </row>
    <row r="1158" spans="1:8" x14ac:dyDescent="0.2">
      <c r="A1158" s="20">
        <f>'[1]DECEMBER 2022'!A30</f>
        <v>44900</v>
      </c>
      <c r="B1158" s="12" t="str">
        <f>'[1]DECEMBER 2022'!B30</f>
        <v>VM</v>
      </c>
      <c r="C1158" s="3">
        <f>'[1]DECEMBER 2022'!C30</f>
        <v>0</v>
      </c>
      <c r="D1158" s="3">
        <f>'[1]DECEMBER 2022'!D30</f>
        <v>102</v>
      </c>
      <c r="E1158" s="3">
        <f>'[1]DECEMBER 2022'!E30</f>
        <v>0</v>
      </c>
      <c r="F1158" s="6">
        <f>'[1]DECEMBER 2022'!F30</f>
        <v>0</v>
      </c>
      <c r="G1158" s="4"/>
      <c r="H1158" s="4"/>
    </row>
    <row r="1159" spans="1:8" x14ac:dyDescent="0.2">
      <c r="A1159" s="23">
        <f>'[1]DECEMBER 2022'!A37</f>
        <v>44901</v>
      </c>
      <c r="B1159" s="12" t="str">
        <f>'[1]DECEMBER 2022'!B37</f>
        <v>LM</v>
      </c>
      <c r="C1159" s="3">
        <f>'[1]DECEMBER 2022'!C37</f>
        <v>0</v>
      </c>
      <c r="D1159" s="3">
        <f>'[1]DECEMBER 2022'!D37</f>
        <v>1019.6700000000001</v>
      </c>
      <c r="E1159" s="3">
        <f>'[1]DECEMBER 2022'!E37</f>
        <v>0</v>
      </c>
      <c r="F1159" s="6">
        <f>'[1]DECEMBER 2022'!F37</f>
        <v>0</v>
      </c>
      <c r="G1159" s="4"/>
      <c r="H1159" s="4"/>
    </row>
    <row r="1160" spans="1:8" x14ac:dyDescent="0.2">
      <c r="A1160" s="20">
        <f>'[1]DECEMBER 2022'!A38</f>
        <v>44901</v>
      </c>
      <c r="B1160" s="12" t="str">
        <f>'[1]DECEMBER 2022'!B38</f>
        <v>Rauchen</v>
      </c>
      <c r="C1160" s="3">
        <f>'[1]DECEMBER 2022'!C38</f>
        <v>0</v>
      </c>
      <c r="D1160" s="3">
        <f>'[1]DECEMBER 2022'!D38</f>
        <v>140</v>
      </c>
      <c r="E1160" s="3">
        <f>'[1]DECEMBER 2022'!E38</f>
        <v>0</v>
      </c>
      <c r="F1160" s="6">
        <f>'[1]DECEMBER 2022'!F38</f>
        <v>0</v>
      </c>
      <c r="G1160" s="4"/>
      <c r="H1160" s="4"/>
    </row>
    <row r="1161" spans="1:8" x14ac:dyDescent="0.2">
      <c r="A1161" s="20">
        <f>'[1]DECEMBER 2022'!A44</f>
        <v>44902</v>
      </c>
      <c r="B1161" s="12" t="str">
        <f>'[1]DECEMBER 2022'!B44</f>
        <v>LM</v>
      </c>
      <c r="C1161" s="3">
        <f>'[1]DECEMBER 2022'!C44</f>
        <v>0</v>
      </c>
      <c r="D1161" s="3">
        <f>'[1]DECEMBER 2022'!D44</f>
        <v>381</v>
      </c>
      <c r="E1161" s="3">
        <f>'[1]DECEMBER 2022'!E44</f>
        <v>0</v>
      </c>
      <c r="F1161" s="6">
        <f>'[1]DECEMBER 2022'!F44</f>
        <v>0</v>
      </c>
      <c r="G1161" s="4"/>
      <c r="H1161" s="4"/>
    </row>
    <row r="1162" spans="1:8" x14ac:dyDescent="0.2">
      <c r="A1162" s="23">
        <f>'[1]DECEMBER 2022'!A45</f>
        <v>44902</v>
      </c>
      <c r="B1162" s="12" t="str">
        <f>'[1]DECEMBER 2022'!B45</f>
        <v>Andere</v>
      </c>
      <c r="C1162" s="3">
        <f>'[1]DECEMBER 2022'!C45</f>
        <v>0</v>
      </c>
      <c r="D1162" s="3">
        <f>'[1]DECEMBER 2022'!D45</f>
        <v>10000</v>
      </c>
      <c r="E1162" s="3">
        <f>'[1]DECEMBER 2022'!E45</f>
        <v>0</v>
      </c>
      <c r="F1162" s="6">
        <f>'[1]DECEMBER 2022'!F45</f>
        <v>0</v>
      </c>
      <c r="G1162" s="4"/>
      <c r="H1162" s="4"/>
    </row>
    <row r="1163" spans="1:8" x14ac:dyDescent="0.2">
      <c r="A1163" s="23">
        <f>'[1]DECEMBER 2022'!A51</f>
        <v>44903</v>
      </c>
      <c r="B1163" s="12" t="str">
        <f>'[1]DECEMBER 2022'!B51</f>
        <v>LM</v>
      </c>
      <c r="C1163" s="3">
        <f>'[1]DECEMBER 2022'!C51</f>
        <v>0</v>
      </c>
      <c r="D1163" s="3">
        <f>'[1]DECEMBER 2022'!D51</f>
        <v>99.8</v>
      </c>
      <c r="E1163" s="3">
        <f>'[1]DECEMBER 2022'!E51</f>
        <v>0</v>
      </c>
      <c r="F1163" s="6">
        <f>'[1]DECEMBER 2022'!F51</f>
        <v>345</v>
      </c>
      <c r="G1163" s="4"/>
      <c r="H1163" s="4"/>
    </row>
    <row r="1164" spans="1:8" x14ac:dyDescent="0.2">
      <c r="A1164" s="20">
        <f>'[1]DECEMBER 2022'!A52</f>
        <v>44903</v>
      </c>
      <c r="B1164" s="12" t="str">
        <f>'[1]DECEMBER 2022'!B52</f>
        <v>VM</v>
      </c>
      <c r="C1164" s="3">
        <f>'[1]DECEMBER 2022'!C52</f>
        <v>0</v>
      </c>
      <c r="D1164" s="3">
        <f>'[1]DECEMBER 2022'!D52</f>
        <v>51</v>
      </c>
      <c r="E1164" s="3">
        <f>'[1]DECEMBER 2022'!E52</f>
        <v>0</v>
      </c>
      <c r="F1164" s="6">
        <f>'[1]DECEMBER 2022'!F52</f>
        <v>0</v>
      </c>
      <c r="G1164" s="4"/>
      <c r="H1164" s="4"/>
    </row>
    <row r="1165" spans="1:8" x14ac:dyDescent="0.2">
      <c r="A1165" s="20">
        <f>'[1]DECEMBER 2022'!A58</f>
        <v>44904</v>
      </c>
      <c r="B1165" s="12" t="str">
        <f>'[1]DECEMBER 2022'!B58</f>
        <v>LM</v>
      </c>
      <c r="C1165" s="3">
        <f>'[1]DECEMBER 2022'!C58</f>
        <v>0</v>
      </c>
      <c r="D1165" s="3">
        <f>'[1]DECEMBER 2022'!D58</f>
        <v>264</v>
      </c>
      <c r="E1165" s="3">
        <f>'[1]DECEMBER 2022'!E58</f>
        <v>0</v>
      </c>
      <c r="F1165" s="6">
        <f>'[1]DECEMBER 2022'!F58</f>
        <v>0</v>
      </c>
      <c r="G1165" s="4"/>
      <c r="H1165" s="4"/>
    </row>
    <row r="1166" spans="1:8" x14ac:dyDescent="0.2">
      <c r="A1166" s="23">
        <f>'[1]DECEMBER 2022'!A59</f>
        <v>44904</v>
      </c>
      <c r="B1166" s="12" t="str">
        <f>'[1]DECEMBER 2022'!B59</f>
        <v>Rauchen</v>
      </c>
      <c r="C1166" s="3">
        <f>'[1]DECEMBER 2022'!C59</f>
        <v>0</v>
      </c>
      <c r="D1166" s="3">
        <f>'[1]DECEMBER 2022'!D59</f>
        <v>155</v>
      </c>
      <c r="E1166" s="3">
        <f>'[1]DECEMBER 2022'!E59</f>
        <v>0</v>
      </c>
      <c r="F1166" s="6">
        <f>'[1]DECEMBER 2022'!F59</f>
        <v>0</v>
      </c>
      <c r="G1166" s="4"/>
      <c r="H1166" s="4"/>
    </row>
    <row r="1167" spans="1:8" x14ac:dyDescent="0.2">
      <c r="A1167" s="20">
        <f>'[1]DECEMBER 2022'!A60</f>
        <v>44904</v>
      </c>
      <c r="B1167" s="12" t="str">
        <f>'[1]DECEMBER 2022'!B60</f>
        <v>Refill</v>
      </c>
      <c r="C1167" s="3">
        <f>'[1]DECEMBER 2022'!C60</f>
        <v>65464.38</v>
      </c>
      <c r="D1167" s="3">
        <f>'[1]DECEMBER 2022'!D60</f>
        <v>0</v>
      </c>
      <c r="E1167" s="3">
        <f>'[1]DECEMBER 2022'!E60</f>
        <v>0</v>
      </c>
      <c r="F1167" s="6">
        <f>'[1]DECEMBER 2022'!F60</f>
        <v>0</v>
      </c>
      <c r="G1167" s="4"/>
      <c r="H1167" s="4"/>
    </row>
    <row r="1168" spans="1:8" x14ac:dyDescent="0.2">
      <c r="A1168" s="23">
        <f>'[1]DECEMBER 2022'!A65</f>
        <v>44905</v>
      </c>
      <c r="B1168" s="12" t="str">
        <f>'[1]DECEMBER 2022'!B65</f>
        <v>VM</v>
      </c>
      <c r="C1168" s="3">
        <f>'[1]DECEMBER 2022'!C65</f>
        <v>0</v>
      </c>
      <c r="D1168" s="3">
        <f>'[1]DECEMBER 2022'!D65</f>
        <v>102</v>
      </c>
      <c r="E1168" s="3">
        <f>'[1]DECEMBER 2022'!E65</f>
        <v>0</v>
      </c>
      <c r="F1168" s="6">
        <f>'[1]DECEMBER 2022'!F65</f>
        <v>0</v>
      </c>
      <c r="G1168" s="4"/>
      <c r="H1168" s="4"/>
    </row>
    <row r="1169" spans="1:8" x14ac:dyDescent="0.2">
      <c r="A1169" s="20">
        <f>'[1]DECEMBER 2022'!A66</f>
        <v>44905</v>
      </c>
      <c r="B1169" s="12" t="str">
        <f>'[1]DECEMBER 2022'!B66</f>
        <v>Rauchen</v>
      </c>
      <c r="C1169" s="3">
        <f>'[1]DECEMBER 2022'!C66</f>
        <v>0</v>
      </c>
      <c r="D1169" s="3">
        <f>'[1]DECEMBER 2022'!D66</f>
        <v>0</v>
      </c>
      <c r="E1169" s="3">
        <f>'[1]DECEMBER 2022'!E66</f>
        <v>0</v>
      </c>
      <c r="F1169" s="6">
        <f>'[1]DECEMBER 2022'!F66</f>
        <v>0</v>
      </c>
      <c r="G1169" s="4"/>
      <c r="H1169" s="4"/>
    </row>
    <row r="1170" spans="1:8" x14ac:dyDescent="0.2">
      <c r="A1170" s="23">
        <f>'[1]DECEMBER 2022'!A67</f>
        <v>44905</v>
      </c>
      <c r="B1170" s="12" t="str">
        <f>'[1]DECEMBER 2022'!B67</f>
        <v>LM</v>
      </c>
      <c r="C1170" s="3">
        <f>'[1]DECEMBER 2022'!C67</f>
        <v>0</v>
      </c>
      <c r="D1170" s="3">
        <f>'[1]DECEMBER 2022'!D67</f>
        <v>0</v>
      </c>
      <c r="E1170" s="3">
        <f>'[1]DECEMBER 2022'!E67</f>
        <v>0</v>
      </c>
      <c r="F1170" s="6">
        <f>'[1]DECEMBER 2022'!F67</f>
        <v>445</v>
      </c>
      <c r="G1170" s="4"/>
      <c r="H1170" s="4"/>
    </row>
    <row r="1171" spans="1:8" x14ac:dyDescent="0.2">
      <c r="A1171" s="20">
        <f>'[1]DECEMBER 2022'!A72</f>
        <v>44906</v>
      </c>
      <c r="B1171" s="12" t="str">
        <f>'[1]DECEMBER 2022'!B72</f>
        <v>Rauchen</v>
      </c>
      <c r="C1171" s="3">
        <f>'[1]DECEMBER 2022'!C72</f>
        <v>0</v>
      </c>
      <c r="D1171" s="3">
        <f>'[1]DECEMBER 2022'!D72</f>
        <v>145</v>
      </c>
      <c r="E1171" s="3">
        <f>'[1]DECEMBER 2022'!E72</f>
        <v>0</v>
      </c>
      <c r="F1171" s="6">
        <f>'[1]DECEMBER 2022'!F72</f>
        <v>0</v>
      </c>
      <c r="G1171" s="4"/>
      <c r="H1171" s="4"/>
    </row>
    <row r="1172" spans="1:8" x14ac:dyDescent="0.2">
      <c r="A1172" s="23">
        <f>'[1]DECEMBER 2022'!A73</f>
        <v>44906</v>
      </c>
      <c r="B1172" s="12" t="str">
        <f>'[1]DECEMBER 2022'!B73</f>
        <v>LM</v>
      </c>
      <c r="C1172" s="3">
        <f>'[1]DECEMBER 2022'!C73</f>
        <v>0</v>
      </c>
      <c r="D1172" s="3">
        <f>'[1]DECEMBER 2022'!D73</f>
        <v>0</v>
      </c>
      <c r="E1172" s="3">
        <f>'[1]DECEMBER 2022'!E73</f>
        <v>0</v>
      </c>
      <c r="F1172" s="6">
        <f>'[1]DECEMBER 2022'!F73</f>
        <v>240</v>
      </c>
      <c r="G1172" s="4"/>
      <c r="H1172" s="4"/>
    </row>
    <row r="1173" spans="1:8" x14ac:dyDescent="0.2">
      <c r="A1173" s="23">
        <f>'[1]DECEMBER 2022'!A79</f>
        <v>44907</v>
      </c>
      <c r="B1173" s="12" t="str">
        <f>'[1]DECEMBER 2022'!B79</f>
        <v>none</v>
      </c>
      <c r="C1173" s="3">
        <f>'[1]DECEMBER 2022'!C79</f>
        <v>12326</v>
      </c>
      <c r="D1173" s="3">
        <f>'[1]DECEMBER 2022'!D79</f>
        <v>0</v>
      </c>
      <c r="E1173" s="3">
        <f>'[1]DECEMBER 2022'!E79</f>
        <v>0</v>
      </c>
      <c r="F1173" s="6">
        <f>'[1]DECEMBER 2022'!F79</f>
        <v>0</v>
      </c>
      <c r="G1173" s="4"/>
      <c r="H1173" s="4"/>
    </row>
    <row r="1174" spans="1:8" x14ac:dyDescent="0.2">
      <c r="A1174" s="20">
        <f>'[1]DECEMBER 2022'!A80</f>
        <v>44907</v>
      </c>
      <c r="B1174" s="12" t="str">
        <f>'[1]DECEMBER 2022'!B80</f>
        <v>LM</v>
      </c>
      <c r="C1174" s="3">
        <f>'[1]DECEMBER 2022'!C80</f>
        <v>0</v>
      </c>
      <c r="D1174" s="3">
        <f>'[1]DECEMBER 2022'!D80</f>
        <v>756</v>
      </c>
      <c r="E1174" s="3">
        <f>'[1]DECEMBER 2022'!E80</f>
        <v>0</v>
      </c>
      <c r="F1174" s="6">
        <f>'[1]DECEMBER 2022'!F80</f>
        <v>0</v>
      </c>
      <c r="G1174" s="4"/>
      <c r="H1174" s="4"/>
    </row>
    <row r="1175" spans="1:8" x14ac:dyDescent="0.2">
      <c r="A1175" s="23">
        <f>'[1]DECEMBER 2022'!A81</f>
        <v>44907</v>
      </c>
      <c r="B1175" s="12" t="str">
        <f>'[1]DECEMBER 2022'!B81</f>
        <v>Andere</v>
      </c>
      <c r="C1175" s="3">
        <f>'[1]DECEMBER 2022'!C81</f>
        <v>0</v>
      </c>
      <c r="D1175" s="3">
        <f>'[1]DECEMBER 2022'!D81</f>
        <v>0</v>
      </c>
      <c r="E1175" s="3">
        <f>'[1]DECEMBER 2022'!E81</f>
        <v>0</v>
      </c>
      <c r="F1175" s="6">
        <f>'[1]DECEMBER 2022'!F81</f>
        <v>219.17</v>
      </c>
      <c r="G1175" s="4"/>
      <c r="H1175" s="4"/>
    </row>
    <row r="1176" spans="1:8" x14ac:dyDescent="0.2">
      <c r="A1176" s="20">
        <f>'[1]DECEMBER 2022'!A86</f>
        <v>44908</v>
      </c>
      <c r="B1176" s="12" t="str">
        <f>'[1]DECEMBER 2022'!B86</f>
        <v>LM</v>
      </c>
      <c r="C1176" s="3">
        <f>'[1]DECEMBER 2022'!C86</f>
        <v>0</v>
      </c>
      <c r="D1176" s="3">
        <f>'[1]DECEMBER 2022'!D86</f>
        <v>724</v>
      </c>
      <c r="E1176" s="3">
        <f>'[1]DECEMBER 2022'!E86</f>
        <v>0</v>
      </c>
      <c r="F1176" s="6">
        <f>'[1]DECEMBER 2022'!F86</f>
        <v>0</v>
      </c>
      <c r="G1176" s="4"/>
      <c r="H1176" s="4"/>
    </row>
    <row r="1177" spans="1:8" x14ac:dyDescent="0.2">
      <c r="A1177" s="23">
        <f>'[1]DECEMBER 2022'!A93</f>
        <v>44909</v>
      </c>
      <c r="B1177" s="12" t="str">
        <f>'[1]DECEMBER 2022'!B93</f>
        <v>Rauchen</v>
      </c>
      <c r="C1177" s="3">
        <f>'[1]DECEMBER 2022'!C93</f>
        <v>0</v>
      </c>
      <c r="D1177" s="3">
        <f>'[1]DECEMBER 2022'!D93</f>
        <v>130</v>
      </c>
      <c r="E1177" s="3">
        <f>'[1]DECEMBER 2022'!E93</f>
        <v>0</v>
      </c>
      <c r="F1177" s="6">
        <f>'[1]DECEMBER 2022'!F93</f>
        <v>0</v>
      </c>
      <c r="G1177" s="4"/>
      <c r="H1177" s="4"/>
    </row>
    <row r="1178" spans="1:8" x14ac:dyDescent="0.2">
      <c r="A1178" s="20">
        <f>'[1]DECEMBER 2022'!A94</f>
        <v>44909</v>
      </c>
      <c r="B1178" s="12" t="str">
        <f>'[1]DECEMBER 2022'!B94</f>
        <v>LM</v>
      </c>
      <c r="C1178" s="3">
        <f>'[1]DECEMBER 2022'!C94</f>
        <v>0</v>
      </c>
      <c r="D1178" s="3">
        <f>'[1]DECEMBER 2022'!D94</f>
        <v>967.5</v>
      </c>
      <c r="E1178" s="3">
        <f>'[1]DECEMBER 2022'!E94</f>
        <v>0</v>
      </c>
      <c r="F1178" s="6">
        <f>'[1]DECEMBER 2022'!F94</f>
        <v>0</v>
      </c>
      <c r="G1178" s="4"/>
      <c r="H1178" s="4"/>
    </row>
    <row r="1179" spans="1:8" x14ac:dyDescent="0.2">
      <c r="A1179" s="20">
        <f>'[1]DECEMBER 2022'!A100</f>
        <v>44910</v>
      </c>
      <c r="B1179" s="12" t="str">
        <f>'[1]DECEMBER 2022'!B100</f>
        <v>LM</v>
      </c>
      <c r="C1179" s="3">
        <f>'[1]DECEMBER 2022'!C100</f>
        <v>0</v>
      </c>
      <c r="D1179" s="3">
        <f>'[1]DECEMBER 2022'!D100</f>
        <v>920.5</v>
      </c>
      <c r="E1179" s="3">
        <f>'[1]DECEMBER 2022'!E100</f>
        <v>0</v>
      </c>
      <c r="F1179" s="6">
        <f>'[1]DECEMBER 2022'!F100</f>
        <v>0</v>
      </c>
      <c r="G1179" s="4"/>
      <c r="H1179" s="4"/>
    </row>
    <row r="1180" spans="1:8" x14ac:dyDescent="0.2">
      <c r="A1180" s="23">
        <f>'[1]DECEMBER 2022'!A107</f>
        <v>44911</v>
      </c>
      <c r="B1180" s="12" t="str">
        <f>'[1]DECEMBER 2022'!B107</f>
        <v>LM</v>
      </c>
      <c r="C1180" s="3">
        <f>'[1]DECEMBER 2022'!C107</f>
        <v>0</v>
      </c>
      <c r="D1180" s="3">
        <f>'[1]DECEMBER 2022'!D107</f>
        <v>127</v>
      </c>
      <c r="E1180" s="3">
        <f>'[1]DECEMBER 2022'!E107</f>
        <v>0</v>
      </c>
      <c r="F1180" s="6">
        <f>'[1]DECEMBER 2022'!F107</f>
        <v>0</v>
      </c>
      <c r="G1180" s="4"/>
      <c r="H1180" s="4"/>
    </row>
    <row r="1181" spans="1:8" x14ac:dyDescent="0.2">
      <c r="A1181" s="20">
        <f>'[1]DECEMBER 2022'!A108</f>
        <v>44911</v>
      </c>
      <c r="B1181" s="12" t="str">
        <f>'[1]DECEMBER 2022'!B108</f>
        <v>Refill</v>
      </c>
      <c r="C1181" s="3">
        <f>'[1]DECEMBER 2022'!C108</f>
        <v>0</v>
      </c>
      <c r="D1181" s="3">
        <f>'[1]DECEMBER 2022'!D108</f>
        <v>0</v>
      </c>
      <c r="E1181" s="3">
        <f>'[1]DECEMBER 2022'!E108</f>
        <v>0</v>
      </c>
      <c r="F1181" s="6">
        <f>'[1]DECEMBER 2022'!F108</f>
        <v>0</v>
      </c>
      <c r="G1181" s="4"/>
      <c r="H1181" s="4"/>
    </row>
    <row r="1182" spans="1:8" x14ac:dyDescent="0.2">
      <c r="A1182" s="20">
        <f>'[1]DECEMBER 2022'!A114</f>
        <v>44912</v>
      </c>
      <c r="B1182" s="12" t="str">
        <f>'[1]DECEMBER 2022'!B114</f>
        <v>LM</v>
      </c>
      <c r="C1182" s="3">
        <f>'[1]DECEMBER 2022'!C114</f>
        <v>0</v>
      </c>
      <c r="D1182" s="3">
        <f>'[1]DECEMBER 2022'!D114</f>
        <v>1866.59</v>
      </c>
      <c r="E1182" s="3">
        <f>'[1]DECEMBER 2022'!E114</f>
        <v>0</v>
      </c>
      <c r="F1182" s="6">
        <f>'[1]DECEMBER 2022'!F114</f>
        <v>545</v>
      </c>
      <c r="G1182" s="4"/>
      <c r="H1182" s="4"/>
    </row>
    <row r="1183" spans="1:8" x14ac:dyDescent="0.2">
      <c r="A1183" s="23">
        <f>'[1]DECEMBER 2022'!A115</f>
        <v>44912</v>
      </c>
      <c r="B1183" s="12" t="str">
        <f>'[1]DECEMBER 2022'!B115</f>
        <v>Andere</v>
      </c>
      <c r="C1183" s="3">
        <f>'[1]DECEMBER 2022'!C115</f>
        <v>0</v>
      </c>
      <c r="D1183" s="3">
        <f>'[1]DECEMBER 2022'!D115</f>
        <v>3330</v>
      </c>
      <c r="E1183" s="3">
        <f>'[1]DECEMBER 2022'!E115</f>
        <v>0</v>
      </c>
      <c r="F1183" s="6">
        <f>'[1]DECEMBER 2022'!F115</f>
        <v>0</v>
      </c>
      <c r="G1183" s="4"/>
      <c r="H1183" s="4"/>
    </row>
    <row r="1184" spans="1:8" x14ac:dyDescent="0.2">
      <c r="A1184" s="20">
        <f>'[1]DECEMBER 2022'!A128</f>
        <v>44914</v>
      </c>
      <c r="B1184" s="12" t="str">
        <f>'[1]DECEMBER 2022'!B128</f>
        <v>LM</v>
      </c>
      <c r="C1184" s="3">
        <f>'[1]DECEMBER 2022'!C128</f>
        <v>0</v>
      </c>
      <c r="D1184" s="3">
        <f>'[1]DECEMBER 2022'!D128</f>
        <v>558</v>
      </c>
      <c r="E1184" s="3">
        <f>'[1]DECEMBER 2022'!E128</f>
        <v>0</v>
      </c>
      <c r="F1184" s="6">
        <f>'[1]DECEMBER 2022'!F128</f>
        <v>0</v>
      </c>
      <c r="G1184" s="4"/>
      <c r="H1184" s="4"/>
    </row>
    <row r="1185" spans="1:8" x14ac:dyDescent="0.2">
      <c r="A1185" s="23">
        <f>'[1]DECEMBER 2022'!A129</f>
        <v>44914</v>
      </c>
      <c r="B1185" s="12" t="str">
        <f>'[1]DECEMBER 2022'!B129</f>
        <v>Andere</v>
      </c>
      <c r="C1185" s="3">
        <f>'[1]DECEMBER 2022'!C129</f>
        <v>0</v>
      </c>
      <c r="D1185" s="3">
        <f>'[1]DECEMBER 2022'!D129</f>
        <v>490</v>
      </c>
      <c r="E1185" s="3">
        <f>'[1]DECEMBER 2022'!E129</f>
        <v>0</v>
      </c>
      <c r="F1185" s="6">
        <f>'[1]DECEMBER 2022'!F129</f>
        <v>0</v>
      </c>
      <c r="G1185" s="4"/>
      <c r="H1185" s="4"/>
    </row>
    <row r="1186" spans="1:8" x14ac:dyDescent="0.2">
      <c r="A1186" s="20">
        <f>'[1]DECEMBER 2022'!A130</f>
        <v>44914</v>
      </c>
      <c r="B1186" s="12" t="str">
        <f>'[1]DECEMBER 2022'!B130</f>
        <v>Refill</v>
      </c>
      <c r="C1186" s="3">
        <f>'[1]DECEMBER 2022'!C130</f>
        <v>2200</v>
      </c>
      <c r="D1186" s="3">
        <f>'[1]DECEMBER 2022'!D130</f>
        <v>0</v>
      </c>
      <c r="E1186" s="3">
        <f>'[1]DECEMBER 2022'!E130</f>
        <v>4500</v>
      </c>
      <c r="F1186" s="6">
        <f>'[1]DECEMBER 2022'!F130</f>
        <v>0</v>
      </c>
      <c r="G1186" s="4"/>
      <c r="H1186" s="4"/>
    </row>
    <row r="1187" spans="1:8" x14ac:dyDescent="0.2">
      <c r="A1187" s="23">
        <f>'[1]DECEMBER 2022'!A131</f>
        <v>44914</v>
      </c>
      <c r="B1187" s="12" t="str">
        <f>'[1]DECEMBER 2022'!B131</f>
        <v>none</v>
      </c>
      <c r="C1187" s="3">
        <f>'[1]DECEMBER 2022'!C131</f>
        <v>0</v>
      </c>
      <c r="D1187" s="3">
        <f>'[1]DECEMBER 2022'!D131</f>
        <v>8325</v>
      </c>
      <c r="E1187" s="3">
        <f>'[1]DECEMBER 2022'!E131</f>
        <v>0</v>
      </c>
      <c r="F1187" s="6">
        <f>'[1]DECEMBER 2022'!F131</f>
        <v>0</v>
      </c>
      <c r="G1187" s="4"/>
      <c r="H1187" s="4"/>
    </row>
    <row r="1188" spans="1:8" x14ac:dyDescent="0.2">
      <c r="A1188" s="23">
        <f>'[1]DECEMBER 2022'!A135</f>
        <v>44915</v>
      </c>
      <c r="B1188" s="12" t="str">
        <f>'[1]DECEMBER 2022'!B135</f>
        <v>VM</v>
      </c>
      <c r="C1188" s="3">
        <f>'[1]DECEMBER 2022'!C135</f>
        <v>0</v>
      </c>
      <c r="D1188" s="3">
        <f>'[1]DECEMBER 2022'!D135</f>
        <v>102</v>
      </c>
      <c r="E1188" s="3">
        <f>'[1]DECEMBER 2022'!E135</f>
        <v>0</v>
      </c>
      <c r="F1188" s="6">
        <f>'[1]DECEMBER 2022'!F135</f>
        <v>0</v>
      </c>
      <c r="G1188" s="4"/>
      <c r="H1188" s="4"/>
    </row>
    <row r="1189" spans="1:8" x14ac:dyDescent="0.2">
      <c r="A1189" s="20">
        <f>'[1]DECEMBER 2022'!A136</f>
        <v>44915</v>
      </c>
      <c r="B1189" s="12" t="str">
        <f>'[1]DECEMBER 2022'!B136</f>
        <v>Andere</v>
      </c>
      <c r="C1189" s="3">
        <f>'[1]DECEMBER 2022'!C136</f>
        <v>0</v>
      </c>
      <c r="D1189" s="3">
        <f>'[1]DECEMBER 2022'!D136</f>
        <v>0</v>
      </c>
      <c r="E1189" s="3">
        <f>'[1]DECEMBER 2022'!E136</f>
        <v>0</v>
      </c>
      <c r="F1189" s="6">
        <f>'[1]DECEMBER 2022'!F136</f>
        <v>150</v>
      </c>
      <c r="G1189" s="4"/>
      <c r="H1189" s="4"/>
    </row>
    <row r="1190" spans="1:8" x14ac:dyDescent="0.2">
      <c r="A1190" s="20">
        <f>'[1]DECEMBER 2022'!A142</f>
        <v>44916</v>
      </c>
      <c r="B1190" s="12" t="str">
        <f>'[1]DECEMBER 2022'!B142</f>
        <v>Andere</v>
      </c>
      <c r="C1190" s="3">
        <f>'[1]DECEMBER 2022'!C142</f>
        <v>0</v>
      </c>
      <c r="D1190" s="3">
        <f>'[1]DECEMBER 2022'!D142</f>
        <v>1000</v>
      </c>
      <c r="E1190" s="3">
        <f>'[1]DECEMBER 2022'!E142</f>
        <v>0</v>
      </c>
      <c r="F1190" s="6">
        <f>'[1]DECEMBER 2022'!F142</f>
        <v>0</v>
      </c>
      <c r="G1190" s="4"/>
      <c r="H1190" s="4"/>
    </row>
    <row r="1191" spans="1:8" x14ac:dyDescent="0.2">
      <c r="A1191" s="23">
        <f>'[1]DECEMBER 2022'!A143</f>
        <v>44916</v>
      </c>
      <c r="B1191" s="12" t="str">
        <f>'[1]DECEMBER 2022'!B143</f>
        <v>LM</v>
      </c>
      <c r="C1191" s="3">
        <f>'[1]DECEMBER 2022'!C143</f>
        <v>0</v>
      </c>
      <c r="D1191" s="3">
        <f>'[1]DECEMBER 2022'!D143</f>
        <v>0</v>
      </c>
      <c r="E1191" s="3">
        <f>'[1]DECEMBER 2022'!E143</f>
        <v>0</v>
      </c>
      <c r="F1191" s="6">
        <f>'[1]DECEMBER 2022'!F143</f>
        <v>350</v>
      </c>
      <c r="G1191" s="4"/>
      <c r="H1191" s="4"/>
    </row>
    <row r="1192" spans="1:8" x14ac:dyDescent="0.2">
      <c r="A1192" s="20">
        <f>'[1]DECEMBER 2022'!A144</f>
        <v>44916</v>
      </c>
      <c r="B1192" s="12" t="str">
        <f>'[1]DECEMBER 2022'!B144</f>
        <v>VM</v>
      </c>
      <c r="C1192" s="3">
        <f>'[1]DECEMBER 2022'!C144</f>
        <v>0</v>
      </c>
      <c r="D1192" s="3">
        <f>'[1]DECEMBER 2022'!D144</f>
        <v>741</v>
      </c>
      <c r="E1192" s="3">
        <f>'[1]DECEMBER 2022'!E144</f>
        <v>0</v>
      </c>
      <c r="F1192" s="6">
        <f>'[1]DECEMBER 2022'!F144</f>
        <v>0</v>
      </c>
      <c r="G1192" s="4"/>
      <c r="H1192" s="4"/>
    </row>
    <row r="1193" spans="1:8" x14ac:dyDescent="0.2">
      <c r="A1193" s="23">
        <f>'[1]DECEMBER 2022'!A149</f>
        <v>44917</v>
      </c>
      <c r="B1193" s="12" t="str">
        <f>'[1]DECEMBER 2022'!B149</f>
        <v>LM</v>
      </c>
      <c r="C1193" s="3">
        <f>'[1]DECEMBER 2022'!C149</f>
        <v>0</v>
      </c>
      <c r="D1193" s="3">
        <f>'[1]DECEMBER 2022'!D149</f>
        <v>1290.3600000000001</v>
      </c>
      <c r="E1193" s="3">
        <f>'[1]DECEMBER 2022'!E149</f>
        <v>0</v>
      </c>
      <c r="F1193" s="6">
        <f>'[1]DECEMBER 2022'!F149</f>
        <v>0</v>
      </c>
      <c r="G1193" s="4"/>
      <c r="H1193" s="4"/>
    </row>
    <row r="1194" spans="1:8" x14ac:dyDescent="0.2">
      <c r="A1194" s="20">
        <f>'[1]DECEMBER 2022'!A150</f>
        <v>44917</v>
      </c>
      <c r="B1194" s="12" t="str">
        <f>'[1]DECEMBER 2022'!B150</f>
        <v>for me</v>
      </c>
      <c r="C1194" s="3">
        <f>'[1]DECEMBER 2022'!C150</f>
        <v>0</v>
      </c>
      <c r="D1194" s="3">
        <f>'[1]DECEMBER 2022'!D150</f>
        <v>700</v>
      </c>
      <c r="E1194" s="3">
        <f>'[1]DECEMBER 2022'!E150</f>
        <v>0</v>
      </c>
      <c r="F1194" s="6">
        <f>'[1]DECEMBER 2022'!F150</f>
        <v>500</v>
      </c>
      <c r="G1194" s="4"/>
      <c r="H1194" s="4"/>
    </row>
    <row r="1195" spans="1:8" x14ac:dyDescent="0.2">
      <c r="A1195" s="20">
        <f>'[1]DECEMBER 2022'!A156</f>
        <v>44918</v>
      </c>
      <c r="B1195" s="12" t="str">
        <f>'[1]DECEMBER 2022'!B156</f>
        <v>Refill</v>
      </c>
      <c r="C1195" s="3">
        <f>'[1]DECEMBER 2022'!C156</f>
        <v>38908.99</v>
      </c>
      <c r="D1195" s="3">
        <f>'[1]DECEMBER 2022'!D156</f>
        <v>0</v>
      </c>
      <c r="E1195" s="3">
        <f>'[1]DECEMBER 2022'!E156</f>
        <v>0</v>
      </c>
      <c r="F1195" s="6">
        <f>'[1]DECEMBER 2022'!F156</f>
        <v>0</v>
      </c>
      <c r="G1195" s="4"/>
      <c r="H1195" s="4"/>
    </row>
    <row r="1196" spans="1:8" x14ac:dyDescent="0.2">
      <c r="A1196" s="23">
        <f>'[1]DECEMBER 2022'!A157</f>
        <v>44918</v>
      </c>
      <c r="B1196" s="12" t="str">
        <f>'[1]DECEMBER 2022'!B157</f>
        <v>VM</v>
      </c>
      <c r="C1196" s="3">
        <f>'[1]DECEMBER 2022'!C157</f>
        <v>0</v>
      </c>
      <c r="D1196" s="3">
        <f>'[1]DECEMBER 2022'!D157</f>
        <v>102</v>
      </c>
      <c r="E1196" s="3">
        <f>'[1]DECEMBER 2022'!E157</f>
        <v>0</v>
      </c>
      <c r="F1196" s="6">
        <f>'[1]DECEMBER 2022'!F157</f>
        <v>0</v>
      </c>
      <c r="G1196" s="4"/>
      <c r="H1196" s="4"/>
    </row>
    <row r="1197" spans="1:8" x14ac:dyDescent="0.2">
      <c r="A1197" s="23">
        <f>'[1]DECEMBER 2022'!A163</f>
        <v>44919</v>
      </c>
      <c r="B1197" s="12" t="str">
        <f>'[1]DECEMBER 2022'!B163</f>
        <v>VM</v>
      </c>
      <c r="C1197" s="3">
        <f>'[1]DECEMBER 2022'!C163</f>
        <v>0</v>
      </c>
      <c r="D1197" s="3">
        <f>'[1]DECEMBER 2022'!D163</f>
        <v>2120</v>
      </c>
      <c r="E1197" s="3">
        <f>'[1]DECEMBER 2022'!E163</f>
        <v>0</v>
      </c>
      <c r="F1197" s="6">
        <f>'[1]DECEMBER 2022'!F163</f>
        <v>0</v>
      </c>
      <c r="G1197" s="4"/>
      <c r="H1197" s="4"/>
    </row>
    <row r="1198" spans="1:8" x14ac:dyDescent="0.2">
      <c r="A1198" s="20">
        <f>'[1]DECEMBER 2022'!A164</f>
        <v>44919</v>
      </c>
      <c r="B1198" s="12" t="str">
        <f>'[1]DECEMBER 2022'!B164</f>
        <v>Refill</v>
      </c>
      <c r="C1198" s="3">
        <f>'[1]DECEMBER 2022'!C164</f>
        <v>1000</v>
      </c>
      <c r="D1198" s="3">
        <f>'[1]DECEMBER 2022'!D164</f>
        <v>0</v>
      </c>
      <c r="E1198" s="3">
        <f>'[1]DECEMBER 2022'!E164</f>
        <v>0</v>
      </c>
      <c r="F1198" s="6">
        <f>'[1]DECEMBER 2022'!F164</f>
        <v>0</v>
      </c>
      <c r="G1198" s="4"/>
      <c r="H1198" s="4"/>
    </row>
    <row r="1199" spans="1:8" x14ac:dyDescent="0.2">
      <c r="A1199" s="23">
        <f>'[1]DECEMBER 2022'!A165</f>
        <v>44919</v>
      </c>
      <c r="B1199" s="12" t="str">
        <f>'[1]DECEMBER 2022'!B165</f>
        <v>LM</v>
      </c>
      <c r="C1199" s="3">
        <f>'[1]DECEMBER 2022'!C165</f>
        <v>0</v>
      </c>
      <c r="D1199" s="3">
        <f>'[1]DECEMBER 2022'!D165</f>
        <v>824.98</v>
      </c>
      <c r="E1199" s="3">
        <f>'[1]DECEMBER 2022'!E165</f>
        <v>0</v>
      </c>
      <c r="F1199" s="6">
        <f>'[1]DECEMBER 2022'!F165</f>
        <v>0</v>
      </c>
      <c r="G1199" s="4"/>
      <c r="H1199" s="4"/>
    </row>
    <row r="1200" spans="1:8" x14ac:dyDescent="0.2">
      <c r="A1200" s="20">
        <f>'[1]DECEMBER 2022'!A166</f>
        <v>44919</v>
      </c>
      <c r="B1200" s="12" t="str">
        <f>'[1]DECEMBER 2022'!B166</f>
        <v>Party</v>
      </c>
      <c r="C1200" s="3">
        <f>'[1]DECEMBER 2022'!C166</f>
        <v>0</v>
      </c>
      <c r="D1200" s="3">
        <f>'[1]DECEMBER 2022'!D166</f>
        <v>500</v>
      </c>
      <c r="E1200" s="3">
        <f>'[1]DECEMBER 2022'!E166</f>
        <v>0</v>
      </c>
      <c r="F1200" s="6">
        <f>'[1]DECEMBER 2022'!F166</f>
        <v>4200</v>
      </c>
      <c r="G1200" s="4"/>
      <c r="H1200" s="4"/>
    </row>
    <row r="1201" spans="1:8" x14ac:dyDescent="0.2">
      <c r="A1201" s="23">
        <f>'[1]DECEMBER 2022'!A167</f>
        <v>44919</v>
      </c>
      <c r="B1201" s="12" t="str">
        <f>'[1]DECEMBER 2022'!B167</f>
        <v>Education</v>
      </c>
      <c r="C1201" s="3">
        <f>'[1]DECEMBER 2022'!C167</f>
        <v>0</v>
      </c>
      <c r="D1201" s="3">
        <f>'[1]DECEMBER 2022'!D167</f>
        <v>2300</v>
      </c>
      <c r="E1201" s="3">
        <f>'[1]DECEMBER 2022'!E167</f>
        <v>0</v>
      </c>
      <c r="F1201" s="6">
        <f>'[1]DECEMBER 2022'!F167</f>
        <v>0</v>
      </c>
      <c r="G1201" s="4"/>
      <c r="H1201" s="4"/>
    </row>
    <row r="1202" spans="1:8" x14ac:dyDescent="0.2">
      <c r="A1202" s="20">
        <f>'[1]DECEMBER 2022'!A170</f>
        <v>44920</v>
      </c>
      <c r="B1202" s="12" t="str">
        <f>'[1]DECEMBER 2022'!B170</f>
        <v>Andere</v>
      </c>
      <c r="C1202" s="3">
        <f>'[1]DECEMBER 2022'!C170</f>
        <v>0</v>
      </c>
      <c r="D1202" s="3">
        <f>'[1]DECEMBER 2022'!D170</f>
        <v>100</v>
      </c>
      <c r="E1202" s="3">
        <f>'[1]DECEMBER 2022'!E170</f>
        <v>0</v>
      </c>
      <c r="F1202" s="6">
        <f>'[1]DECEMBER 2022'!F170</f>
        <v>0</v>
      </c>
      <c r="G1202" s="4"/>
      <c r="H1202" s="4"/>
    </row>
    <row r="1203" spans="1:8" x14ac:dyDescent="0.2">
      <c r="A1203" s="23">
        <f>'[1]DECEMBER 2022'!A171</f>
        <v>44920</v>
      </c>
      <c r="B1203" s="12" t="str">
        <f>'[1]DECEMBER 2022'!B171</f>
        <v>VM</v>
      </c>
      <c r="C1203" s="3">
        <f>'[1]DECEMBER 2022'!C171</f>
        <v>0</v>
      </c>
      <c r="D1203" s="3">
        <f>'[1]DECEMBER 2022'!D171</f>
        <v>102</v>
      </c>
      <c r="E1203" s="3">
        <f>'[1]DECEMBER 2022'!E171</f>
        <v>0</v>
      </c>
      <c r="F1203" s="6">
        <f>'[1]DECEMBER 2022'!F171</f>
        <v>0</v>
      </c>
      <c r="G1203" s="4"/>
      <c r="H1203" s="4"/>
    </row>
    <row r="1204" spans="1:8" x14ac:dyDescent="0.2">
      <c r="A1204" s="20">
        <f>'[1]DECEMBER 2022'!A172</f>
        <v>44920</v>
      </c>
      <c r="B1204" s="12" t="str">
        <f>'[1]DECEMBER 2022'!B172</f>
        <v>LM</v>
      </c>
      <c r="C1204" s="3">
        <f>'[1]DECEMBER 2022'!C172</f>
        <v>0</v>
      </c>
      <c r="D1204" s="3">
        <f>'[1]DECEMBER 2022'!D172</f>
        <v>360</v>
      </c>
      <c r="E1204" s="3">
        <f>'[1]DECEMBER 2022'!E172</f>
        <v>0</v>
      </c>
      <c r="F1204" s="6">
        <f>'[1]DECEMBER 2022'!F172</f>
        <v>0</v>
      </c>
      <c r="G1204" s="4"/>
      <c r="H1204" s="4"/>
    </row>
    <row r="1205" spans="1:8" x14ac:dyDescent="0.2">
      <c r="A1205" s="23">
        <f>'[1]DECEMBER 2022'!A173</f>
        <v>44920</v>
      </c>
      <c r="B1205" s="12" t="str">
        <f>'[1]DECEMBER 2022'!B173</f>
        <v>Party</v>
      </c>
      <c r="C1205" s="3">
        <f>'[1]DECEMBER 2022'!C173</f>
        <v>0</v>
      </c>
      <c r="D1205" s="3">
        <f>'[1]DECEMBER 2022'!D173</f>
        <v>624</v>
      </c>
      <c r="E1205" s="3">
        <f>'[1]DECEMBER 2022'!E173</f>
        <v>0</v>
      </c>
      <c r="F1205" s="6">
        <f>'[1]DECEMBER 2022'!F173</f>
        <v>0</v>
      </c>
      <c r="G1205" s="4"/>
      <c r="H1205" s="4"/>
    </row>
    <row r="1206" spans="1:8" x14ac:dyDescent="0.2">
      <c r="A1206" s="20">
        <f>'[1]DECEMBER 2022'!A174</f>
        <v>44920</v>
      </c>
      <c r="B1206" s="12" t="str">
        <f>'[1]DECEMBER 2022'!B174</f>
        <v>none</v>
      </c>
      <c r="C1206" s="3">
        <f>'[1]DECEMBER 2022'!C174</f>
        <v>0</v>
      </c>
      <c r="D1206" s="3">
        <f>'[1]DECEMBER 2022'!D174</f>
        <v>2000</v>
      </c>
      <c r="E1206" s="3">
        <f>'[1]DECEMBER 2022'!E174</f>
        <v>0</v>
      </c>
      <c r="F1206" s="6">
        <f>'[1]DECEMBER 2022'!F174</f>
        <v>0</v>
      </c>
      <c r="G1206" s="4"/>
      <c r="H1206" s="4"/>
    </row>
    <row r="1207" spans="1:8" x14ac:dyDescent="0.2">
      <c r="A1207" s="23">
        <f>'[1]DECEMBER 2022'!A177</f>
        <v>44921</v>
      </c>
      <c r="B1207" s="12" t="str">
        <f>'[1]DECEMBER 2022'!B177</f>
        <v>LM</v>
      </c>
      <c r="C1207" s="3">
        <f>'[1]DECEMBER 2022'!C177</f>
        <v>0</v>
      </c>
      <c r="D1207" s="3">
        <f>'[1]DECEMBER 2022'!D177</f>
        <v>592</v>
      </c>
      <c r="E1207" s="3">
        <f>'[1]DECEMBER 2022'!E177</f>
        <v>0</v>
      </c>
      <c r="F1207" s="6">
        <f>'[1]DECEMBER 2022'!F177</f>
        <v>0</v>
      </c>
      <c r="G1207" s="4"/>
      <c r="H1207" s="4"/>
    </row>
    <row r="1208" spans="1:8" x14ac:dyDescent="0.2">
      <c r="A1208" s="20">
        <f>'[1]DECEMBER 2022'!A178</f>
        <v>44921</v>
      </c>
      <c r="B1208" s="12" t="str">
        <f>'[1]DECEMBER 2022'!B178</f>
        <v>Rauchen</v>
      </c>
      <c r="C1208" s="3">
        <f>'[1]DECEMBER 2022'!C178</f>
        <v>0</v>
      </c>
      <c r="D1208" s="3">
        <f>'[1]DECEMBER 2022'!D178</f>
        <v>140</v>
      </c>
      <c r="E1208" s="3">
        <f>'[1]DECEMBER 2022'!E178</f>
        <v>0</v>
      </c>
      <c r="F1208" s="6">
        <f>'[1]DECEMBER 2022'!F178</f>
        <v>0</v>
      </c>
      <c r="G1208" s="4"/>
      <c r="H1208" s="4"/>
    </row>
    <row r="1209" spans="1:8" x14ac:dyDescent="0.2">
      <c r="A1209" s="20">
        <f>'[1]DECEMBER 2022'!A184</f>
        <v>44922</v>
      </c>
      <c r="B1209" s="12" t="str">
        <f>'[1]DECEMBER 2022'!B184</f>
        <v>LM</v>
      </c>
      <c r="C1209" s="3">
        <f>'[1]DECEMBER 2022'!C184</f>
        <v>0</v>
      </c>
      <c r="D1209" s="3">
        <f>'[1]DECEMBER 2022'!D184</f>
        <v>995.97</v>
      </c>
      <c r="E1209" s="3">
        <f>'[1]DECEMBER 2022'!E184</f>
        <v>0</v>
      </c>
      <c r="F1209" s="6">
        <f>'[1]DECEMBER 2022'!F184</f>
        <v>0</v>
      </c>
      <c r="G1209" s="4"/>
      <c r="H1209" s="4"/>
    </row>
    <row r="1210" spans="1:8" x14ac:dyDescent="0.2">
      <c r="A1210" s="23">
        <f>'[1]DECEMBER 2022'!A185</f>
        <v>44922</v>
      </c>
      <c r="B1210" s="12" t="str">
        <f>'[1]DECEMBER 2022'!B185</f>
        <v>Andere</v>
      </c>
      <c r="C1210" s="3">
        <f>'[1]DECEMBER 2022'!C185</f>
        <v>0</v>
      </c>
      <c r="D1210" s="3">
        <f>'[1]DECEMBER 2022'!D185</f>
        <v>12800</v>
      </c>
      <c r="E1210" s="3">
        <f>'[1]DECEMBER 2022'!E185</f>
        <v>0</v>
      </c>
      <c r="F1210" s="6">
        <f>'[1]DECEMBER 2022'!F185</f>
        <v>0</v>
      </c>
      <c r="G1210" s="4"/>
      <c r="H1210" s="4"/>
    </row>
    <row r="1211" spans="1:8" x14ac:dyDescent="0.2">
      <c r="A1211" s="23">
        <f>'[1]DECEMBER 2022'!A191</f>
        <v>44923</v>
      </c>
      <c r="B1211" s="12" t="str">
        <f>'[1]DECEMBER 2022'!B191</f>
        <v>LM</v>
      </c>
      <c r="C1211" s="3">
        <f>'[1]DECEMBER 2022'!C191</f>
        <v>0</v>
      </c>
      <c r="D1211" s="3">
        <f>'[1]DECEMBER 2022'!D191</f>
        <v>398</v>
      </c>
      <c r="E1211" s="3">
        <f>'[1]DECEMBER 2022'!E191</f>
        <v>0</v>
      </c>
      <c r="F1211" s="6">
        <f>'[1]DECEMBER 2022'!F191</f>
        <v>0</v>
      </c>
      <c r="G1211" s="4"/>
      <c r="H1211" s="4"/>
    </row>
    <row r="1212" spans="1:8" x14ac:dyDescent="0.2">
      <c r="A1212" s="20">
        <f>'[1]DECEMBER 2022'!A192</f>
        <v>44923</v>
      </c>
      <c r="B1212" s="12" t="str">
        <f>'[1]DECEMBER 2022'!B192</f>
        <v>Refill</v>
      </c>
      <c r="C1212" s="3">
        <f>'[1]DECEMBER 2022'!C192</f>
        <v>467</v>
      </c>
      <c r="D1212" s="3">
        <f>'[1]DECEMBER 2022'!D192</f>
        <v>0</v>
      </c>
      <c r="E1212" s="3">
        <f>'[1]DECEMBER 2022'!E192</f>
        <v>0</v>
      </c>
      <c r="F1212" s="6">
        <f>'[1]DECEMBER 2022'!F192</f>
        <v>0</v>
      </c>
      <c r="G1212" s="4"/>
      <c r="H1212" s="4"/>
    </row>
    <row r="1213" spans="1:8" x14ac:dyDescent="0.2">
      <c r="A1213" s="23">
        <f>'[1]DECEMBER 2022'!A193</f>
        <v>44923</v>
      </c>
      <c r="B1213" s="12" t="str">
        <f>'[1]DECEMBER 2022'!B193</f>
        <v>VM</v>
      </c>
      <c r="C1213" s="3">
        <f>'[1]DECEMBER 2022'!C193</f>
        <v>0</v>
      </c>
      <c r="D1213" s="3">
        <f>'[1]DECEMBER 2022'!D193</f>
        <v>102</v>
      </c>
      <c r="E1213" s="3">
        <f>'[1]DECEMBER 2022'!E193</f>
        <v>0</v>
      </c>
      <c r="F1213" s="6">
        <f>'[1]DECEMBER 2022'!F193</f>
        <v>0</v>
      </c>
      <c r="G1213" s="4"/>
      <c r="H1213" s="4"/>
    </row>
    <row r="1214" spans="1:8" x14ac:dyDescent="0.2">
      <c r="A1214" s="20">
        <f>'[1]DECEMBER 2022'!A194</f>
        <v>44923</v>
      </c>
      <c r="B1214" s="12" t="str">
        <f>'[1]DECEMBER 2022'!B194</f>
        <v>Frauen</v>
      </c>
      <c r="C1214" s="3">
        <f>'[1]DECEMBER 2022'!C194</f>
        <v>0</v>
      </c>
      <c r="D1214" s="3">
        <f>'[1]DECEMBER 2022'!D194</f>
        <v>3740</v>
      </c>
      <c r="E1214" s="3">
        <f>'[1]DECEMBER 2022'!E194</f>
        <v>0</v>
      </c>
      <c r="F1214" s="6">
        <f>'[1]DECEMBER 2022'!F194</f>
        <v>0</v>
      </c>
      <c r="G1214" s="4"/>
      <c r="H1214" s="4"/>
    </row>
    <row r="1215" spans="1:8" x14ac:dyDescent="0.2">
      <c r="A1215" s="20">
        <f>'[1]DECEMBER 2022'!A198</f>
        <v>44924</v>
      </c>
      <c r="B1215" s="12" t="str">
        <f>'[1]DECEMBER 2022'!B198</f>
        <v>Andere</v>
      </c>
      <c r="C1215" s="3">
        <f>'[1]DECEMBER 2022'!C198</f>
        <v>0</v>
      </c>
      <c r="D1215" s="3">
        <f>'[1]DECEMBER 2022'!D198</f>
        <v>550</v>
      </c>
      <c r="E1215" s="3">
        <f>'[1]DECEMBER 2022'!E198</f>
        <v>0</v>
      </c>
      <c r="F1215" s="6">
        <f>'[1]DECEMBER 2022'!F198</f>
        <v>0</v>
      </c>
      <c r="G1215" s="4"/>
      <c r="H1215" s="4"/>
    </row>
    <row r="1216" spans="1:8" x14ac:dyDescent="0.2">
      <c r="A1216" s="23">
        <f>'[1]DECEMBER 2022'!A199</f>
        <v>44924</v>
      </c>
      <c r="B1216" s="12" t="str">
        <f>'[1]DECEMBER 2022'!B199</f>
        <v>Rauchen</v>
      </c>
      <c r="C1216" s="3">
        <f>'[1]DECEMBER 2022'!C199</f>
        <v>0</v>
      </c>
      <c r="D1216" s="3">
        <f>'[1]DECEMBER 2022'!D199</f>
        <v>140</v>
      </c>
      <c r="E1216" s="3">
        <f>'[1]DECEMBER 2022'!E199</f>
        <v>0</v>
      </c>
      <c r="F1216" s="6">
        <f>'[1]DECEMBER 2022'!F199</f>
        <v>0</v>
      </c>
      <c r="G1216" s="4"/>
      <c r="H1216" s="4"/>
    </row>
    <row r="1217" spans="1:8" x14ac:dyDescent="0.2">
      <c r="A1217" s="20">
        <f>'[1]DECEMBER 2022'!A200</f>
        <v>44924</v>
      </c>
      <c r="B1217" s="12" t="str">
        <f>'[1]DECEMBER 2022'!B200</f>
        <v>Refill</v>
      </c>
      <c r="C1217" s="3">
        <f>'[1]DECEMBER 2022'!C200</f>
        <v>223</v>
      </c>
      <c r="D1217" s="3">
        <f>'[1]DECEMBER 2022'!D200</f>
        <v>0</v>
      </c>
      <c r="E1217" s="3">
        <f>'[1]DECEMBER 2022'!E200</f>
        <v>0</v>
      </c>
      <c r="F1217" s="6">
        <f>'[1]DECEMBER 2022'!F200</f>
        <v>0</v>
      </c>
      <c r="G1217" s="4"/>
      <c r="H1217" s="4"/>
    </row>
    <row r="1218" spans="1:8" x14ac:dyDescent="0.2">
      <c r="A1218" s="23">
        <f>'[1]DECEMBER 2022'!A201</f>
        <v>44924</v>
      </c>
      <c r="B1218" s="12" t="str">
        <f>'[1]DECEMBER 2022'!B201</f>
        <v>LM</v>
      </c>
      <c r="C1218" s="3">
        <f>'[1]DECEMBER 2022'!C201</f>
        <v>0</v>
      </c>
      <c r="D1218" s="3">
        <f>'[1]DECEMBER 2022'!D201</f>
        <v>0</v>
      </c>
      <c r="E1218" s="3">
        <f>'[1]DECEMBER 2022'!E201</f>
        <v>0</v>
      </c>
      <c r="F1218" s="6">
        <f>'[1]DECEMBER 2022'!F201</f>
        <v>240</v>
      </c>
      <c r="G1218" s="4"/>
      <c r="H1218" s="4"/>
    </row>
    <row r="1219" spans="1:8" x14ac:dyDescent="0.2">
      <c r="A1219" s="20">
        <f>'[1]DECEMBER 2022'!A202</f>
        <v>44924</v>
      </c>
      <c r="B1219" s="12" t="str">
        <f>'[1]DECEMBER 2022'!B202</f>
        <v>Refill</v>
      </c>
      <c r="C1219" s="3">
        <f>'[1]DECEMBER 2022'!C202</f>
        <v>136355.01</v>
      </c>
      <c r="D1219" s="3">
        <f>'[1]DECEMBER 2022'!D202</f>
        <v>0</v>
      </c>
      <c r="E1219" s="3">
        <f>'[1]DECEMBER 2022'!E202</f>
        <v>0</v>
      </c>
      <c r="F1219" s="6">
        <f>'[1]DECEMBER 2022'!F202</f>
        <v>0</v>
      </c>
      <c r="G1219" s="4"/>
      <c r="H1219" s="4"/>
    </row>
    <row r="1220" spans="1:8" x14ac:dyDescent="0.2">
      <c r="A1220" s="23">
        <f>'[1]DECEMBER 2022'!A203</f>
        <v>44924</v>
      </c>
      <c r="B1220" s="12" t="str">
        <f>'[1]DECEMBER 2022'!B203</f>
        <v>LM</v>
      </c>
      <c r="C1220" s="3">
        <f>'[1]DECEMBER 2022'!C203</f>
        <v>0</v>
      </c>
      <c r="D1220" s="3">
        <f>'[1]DECEMBER 2022'!D203</f>
        <v>2023</v>
      </c>
      <c r="E1220" s="3">
        <f>'[1]DECEMBER 2022'!E203</f>
        <v>0</v>
      </c>
      <c r="F1220" s="6">
        <f>'[1]DECEMBER 2022'!F203</f>
        <v>0</v>
      </c>
      <c r="G1220" s="4"/>
      <c r="H1220" s="4"/>
    </row>
    <row r="1221" spans="1:8" x14ac:dyDescent="0.2">
      <c r="A1221" s="20">
        <f>'[1]DECEMBER 2022'!A204</f>
        <v>44924</v>
      </c>
      <c r="B1221" s="12" t="str">
        <f>'[1]DECEMBER 2022'!B204</f>
        <v>VM</v>
      </c>
      <c r="C1221" s="3">
        <f>'[1]DECEMBER 2022'!C204</f>
        <v>0</v>
      </c>
      <c r="D1221" s="3">
        <f>'[1]DECEMBER 2022'!D204</f>
        <v>102</v>
      </c>
      <c r="E1221" s="3">
        <f>'[1]DECEMBER 2022'!E204</f>
        <v>0</v>
      </c>
      <c r="F1221" s="6">
        <f>'[1]DECEMBER 2022'!F204</f>
        <v>0</v>
      </c>
      <c r="G1221" s="4"/>
      <c r="H1221" s="4"/>
    </row>
    <row r="1222" spans="1:8" x14ac:dyDescent="0.2">
      <c r="A1222" s="20">
        <f>'[1]DECEMBER 2022'!A206</f>
        <v>44925</v>
      </c>
      <c r="B1222" s="12" t="str">
        <f>'[1]DECEMBER 2022'!B206</f>
        <v>Kleidung</v>
      </c>
      <c r="C1222" s="3">
        <f>'[1]DECEMBER 2022'!C206</f>
        <v>0</v>
      </c>
      <c r="D1222" s="3">
        <f>'[1]DECEMBER 2022'!D206</f>
        <v>5643</v>
      </c>
      <c r="E1222" s="3">
        <f>'[1]DECEMBER 2022'!E206</f>
        <v>0</v>
      </c>
      <c r="F1222" s="6">
        <f>'[1]DECEMBER 2022'!F206</f>
        <v>0</v>
      </c>
      <c r="G1222" s="4"/>
      <c r="H1222" s="4"/>
    </row>
    <row r="1223" spans="1:8" x14ac:dyDescent="0.2">
      <c r="A1223" s="23">
        <f>'[1]DECEMBER 2022'!A207</f>
        <v>44925</v>
      </c>
      <c r="B1223" s="12" t="str">
        <f>'[1]DECEMBER 2022'!B207</f>
        <v>LM</v>
      </c>
      <c r="C1223" s="3">
        <f>'[1]DECEMBER 2022'!C207</f>
        <v>0</v>
      </c>
      <c r="D1223" s="3">
        <f>'[1]DECEMBER 2022'!D207</f>
        <v>0</v>
      </c>
      <c r="E1223" s="3">
        <f>'[1]DECEMBER 2022'!E207</f>
        <v>0</v>
      </c>
      <c r="F1223" s="6">
        <f>'[1]DECEMBER 2022'!F207</f>
        <v>0</v>
      </c>
      <c r="G1223" s="4"/>
      <c r="H1223" s="4"/>
    </row>
    <row r="1224" spans="1:8" x14ac:dyDescent="0.2">
      <c r="A1224" s="20">
        <f>'[1]DECEMBER 2022'!A212</f>
        <v>44926</v>
      </c>
      <c r="B1224" s="12" t="str">
        <f>'[1]DECEMBER 2022'!B212</f>
        <v>VM</v>
      </c>
      <c r="C1224" s="3">
        <f>'[1]DECEMBER 2022'!C212</f>
        <v>0</v>
      </c>
      <c r="D1224" s="3">
        <f>'[1]DECEMBER 2022'!D212</f>
        <v>153</v>
      </c>
      <c r="E1224" s="3">
        <f>'[1]DECEMBER 2022'!E212</f>
        <v>0</v>
      </c>
      <c r="F1224" s="6">
        <f>'[1]DECEMBER 2022'!F212</f>
        <v>0</v>
      </c>
      <c r="G1224" s="4"/>
      <c r="H1224" s="4"/>
    </row>
    <row r="1225" spans="1:8" x14ac:dyDescent="0.2">
      <c r="A1225" s="23">
        <f>'[1]DECEMBER 2022'!A213</f>
        <v>44926</v>
      </c>
      <c r="B1225" s="12" t="str">
        <f>'[1]DECEMBER 2022'!B213</f>
        <v>LM</v>
      </c>
      <c r="C1225" s="3">
        <f>'[1]DECEMBER 2022'!C213</f>
        <v>0</v>
      </c>
      <c r="D1225" s="3">
        <f>'[1]DECEMBER 2022'!D213</f>
        <v>696</v>
      </c>
      <c r="E1225" s="3">
        <f>'[1]DECEMBER 2022'!E213</f>
        <v>0</v>
      </c>
      <c r="F1225" s="6">
        <f>'[1]DECEMBER 2022'!F213</f>
        <v>0</v>
      </c>
      <c r="G1225" s="4"/>
      <c r="H1225" s="4"/>
    </row>
    <row r="1226" spans="1:8" x14ac:dyDescent="0.2">
      <c r="A1226" s="20">
        <f>'[1]DECEMBER 2022'!A214</f>
        <v>44926</v>
      </c>
      <c r="B1226" s="12" t="str">
        <f>'[1]DECEMBER 2022'!B214</f>
        <v>Party</v>
      </c>
      <c r="C1226" s="3">
        <f>'[1]DECEMBER 2022'!C214</f>
        <v>0</v>
      </c>
      <c r="D1226" s="3">
        <f>'[1]DECEMBER 2022'!D214</f>
        <v>1600</v>
      </c>
      <c r="E1226" s="3">
        <f>'[1]DECEMBER 2022'!E214</f>
        <v>0</v>
      </c>
      <c r="F1226" s="6">
        <f>'[1]DECEMBER 2022'!F214</f>
        <v>0</v>
      </c>
      <c r="G1226" s="4"/>
      <c r="H1226" s="4"/>
    </row>
    <row r="1227" spans="1:8" x14ac:dyDescent="0.2">
      <c r="A1227" s="23">
        <f>'[1]DECEMBER 2022'!A215</f>
        <v>44926</v>
      </c>
      <c r="B1227" s="12" t="str">
        <f>'[1]DECEMBER 2022'!B215</f>
        <v>Refill</v>
      </c>
      <c r="C1227" s="3">
        <f>'[1]DECEMBER 2022'!C215</f>
        <v>1921.1699999999998</v>
      </c>
      <c r="D1227" s="3">
        <f>'[1]DECEMBER 2022'!D215</f>
        <v>0</v>
      </c>
      <c r="E1227" s="3">
        <f>'[1]DECEMBER 2022'!E215</f>
        <v>0</v>
      </c>
      <c r="F1227" s="6">
        <f>'[1]DECEMBER 2022'!F215</f>
        <v>0</v>
      </c>
      <c r="G1227" s="4"/>
      <c r="H1227" s="4"/>
    </row>
    <row r="1228" spans="1:8" x14ac:dyDescent="0.2">
      <c r="A1228" s="23">
        <f>'[1]JANUARY 2023'!A2</f>
        <v>44927</v>
      </c>
      <c r="B1228" s="12" t="str">
        <f>'[1]JANUARY 2023'!B2</f>
        <v>VM</v>
      </c>
      <c r="C1228" s="3">
        <f>'[1]JANUARY 2023'!C2</f>
        <v>0</v>
      </c>
      <c r="D1228" s="3">
        <f>'[1]JANUARY 2023'!D2</f>
        <v>1368</v>
      </c>
      <c r="E1228" s="4">
        <f>'[1]JANUARY 2023'!E2</f>
        <v>0</v>
      </c>
      <c r="F1228" s="6">
        <f>'[1]JANUARY 2023'!F2</f>
        <v>0</v>
      </c>
      <c r="G1228" s="4"/>
      <c r="H1228" s="4"/>
    </row>
    <row r="1229" spans="1:8" x14ac:dyDescent="0.2">
      <c r="A1229" s="20">
        <f>'[1]JANUARY 2023'!A3</f>
        <v>44927</v>
      </c>
      <c r="B1229" s="12" t="str">
        <f>'[1]JANUARY 2023'!B3</f>
        <v>none</v>
      </c>
      <c r="C1229" s="3">
        <f>'[1]JANUARY 2023'!C3</f>
        <v>0</v>
      </c>
      <c r="D1229" s="3">
        <f>'[1]JANUARY 2023'!D3</f>
        <v>1000</v>
      </c>
      <c r="E1229" s="4">
        <f>'[1]JANUARY 2023'!E3</f>
        <v>1000</v>
      </c>
      <c r="F1229" s="6">
        <f>'[1]JANUARY 2023'!F3</f>
        <v>0</v>
      </c>
      <c r="G1229" s="4"/>
      <c r="H1229" s="4"/>
    </row>
    <row r="1230" spans="1:8" x14ac:dyDescent="0.2">
      <c r="A1230" s="20">
        <f>'[1]JANUARY 2023'!A9</f>
        <v>44928</v>
      </c>
      <c r="B1230" s="12" t="str">
        <f>'[1]JANUARY 2023'!B9</f>
        <v>Party</v>
      </c>
      <c r="C1230" s="3">
        <f>'[1]JANUARY 2023'!C9</f>
        <v>0</v>
      </c>
      <c r="D1230" s="3">
        <f>'[1]JANUARY 2023'!D9</f>
        <v>1800</v>
      </c>
      <c r="E1230" s="4">
        <f>'[1]JANUARY 2023'!E9</f>
        <v>0</v>
      </c>
      <c r="F1230" s="6">
        <f>'[1]JANUARY 2023'!F9</f>
        <v>0</v>
      </c>
      <c r="G1230" s="4"/>
      <c r="H1230" s="4"/>
    </row>
    <row r="1231" spans="1:8" x14ac:dyDescent="0.2">
      <c r="A1231" s="23">
        <f>'[1]JANUARY 2023'!A10</f>
        <v>44928</v>
      </c>
      <c r="B1231" s="12" t="str">
        <f>'[1]JANUARY 2023'!B10</f>
        <v>VM</v>
      </c>
      <c r="C1231" s="3">
        <f>'[1]JANUARY 2023'!C10</f>
        <v>0</v>
      </c>
      <c r="D1231" s="3">
        <f>'[1]JANUARY 2023'!D10</f>
        <v>51</v>
      </c>
      <c r="E1231" s="4">
        <f>'[1]JANUARY 2023'!E10</f>
        <v>0</v>
      </c>
      <c r="F1231" s="6">
        <f>'[1]JANUARY 2023'!F10</f>
        <v>0</v>
      </c>
      <c r="G1231" s="4"/>
      <c r="H1231" s="4"/>
    </row>
    <row r="1232" spans="1:8" x14ac:dyDescent="0.2">
      <c r="A1232" s="20">
        <f>'[1]JANUARY 2023'!A11</f>
        <v>44928</v>
      </c>
      <c r="B1232" s="12" t="str">
        <f>'[1]JANUARY 2023'!B11</f>
        <v>VM</v>
      </c>
      <c r="C1232" s="3">
        <f>'[1]JANUARY 2023'!C11</f>
        <v>0</v>
      </c>
      <c r="D1232" s="3">
        <f>'[1]JANUARY 2023'!D11</f>
        <v>1800</v>
      </c>
      <c r="E1232" s="4">
        <f>'[1]JANUARY 2023'!E11</f>
        <v>0</v>
      </c>
      <c r="F1232" s="6">
        <f>'[1]JANUARY 2023'!F11</f>
        <v>0</v>
      </c>
      <c r="G1232" s="4"/>
      <c r="H1232" s="4"/>
    </row>
    <row r="1233" spans="1:8" x14ac:dyDescent="0.2">
      <c r="A1233" s="23">
        <f>'[1]JANUARY 2023'!A12</f>
        <v>44928</v>
      </c>
      <c r="B1233" s="12" t="str">
        <f>'[1]JANUARY 2023'!B12</f>
        <v>LM</v>
      </c>
      <c r="C1233" s="3">
        <f>'[1]JANUARY 2023'!C12</f>
        <v>0</v>
      </c>
      <c r="D1233" s="3">
        <f>'[1]JANUARY 2023'!D12</f>
        <v>1470</v>
      </c>
      <c r="E1233" s="4">
        <f>'[1]JANUARY 2023'!E12</f>
        <v>0</v>
      </c>
      <c r="F1233" s="6">
        <f>'[1]JANUARY 2023'!F12</f>
        <v>0</v>
      </c>
      <c r="G1233" s="4"/>
      <c r="H1233" s="4"/>
    </row>
    <row r="1234" spans="1:8" x14ac:dyDescent="0.2">
      <c r="A1234" s="23">
        <f>'[1]JANUARY 2023'!A16</f>
        <v>44929</v>
      </c>
      <c r="B1234" s="12" t="str">
        <f>'[1]JANUARY 2023'!B16</f>
        <v>Andere</v>
      </c>
      <c r="C1234" s="3">
        <f>'[1]JANUARY 2023'!C16</f>
        <v>0</v>
      </c>
      <c r="D1234" s="3">
        <f>'[1]JANUARY 2023'!D16</f>
        <v>299</v>
      </c>
      <c r="E1234" s="4">
        <f>'[1]JANUARY 2023'!E16</f>
        <v>0</v>
      </c>
      <c r="F1234" s="6">
        <f>'[1]JANUARY 2023'!F16</f>
        <v>0</v>
      </c>
      <c r="G1234" s="4"/>
      <c r="H1234" s="4"/>
    </row>
    <row r="1235" spans="1:8" x14ac:dyDescent="0.2">
      <c r="A1235" s="20">
        <f>'[1]JANUARY 2023'!A17</f>
        <v>44929</v>
      </c>
      <c r="B1235" s="12" t="str">
        <f>'[1]JANUARY 2023'!B17</f>
        <v>Rauchen</v>
      </c>
      <c r="C1235" s="3">
        <f>'[1]JANUARY 2023'!C17</f>
        <v>0</v>
      </c>
      <c r="D1235" s="3">
        <f>'[1]JANUARY 2023'!D17</f>
        <v>140</v>
      </c>
      <c r="E1235" s="4">
        <f>'[1]JANUARY 2023'!E17</f>
        <v>0</v>
      </c>
      <c r="F1235" s="6">
        <f>'[1]JANUARY 2023'!F17</f>
        <v>0</v>
      </c>
      <c r="G1235" s="4"/>
      <c r="H1235" s="4"/>
    </row>
    <row r="1236" spans="1:8" x14ac:dyDescent="0.2">
      <c r="A1236" s="23">
        <f>'[1]JANUARY 2023'!A18</f>
        <v>44929</v>
      </c>
      <c r="B1236" s="12" t="str">
        <f>'[1]JANUARY 2023'!B18</f>
        <v>Kleidung</v>
      </c>
      <c r="C1236" s="3">
        <f>'[1]JANUARY 2023'!C18</f>
        <v>0</v>
      </c>
      <c r="D1236" s="3">
        <f>'[1]JANUARY 2023'!D18</f>
        <v>4198</v>
      </c>
      <c r="E1236" s="4">
        <f>'[1]JANUARY 2023'!E18</f>
        <v>0</v>
      </c>
      <c r="F1236" s="6">
        <f>'[1]JANUARY 2023'!F18</f>
        <v>0</v>
      </c>
      <c r="G1236" s="4"/>
      <c r="H1236" s="4"/>
    </row>
    <row r="1237" spans="1:8" x14ac:dyDescent="0.2">
      <c r="A1237" s="20">
        <f>'[1]JANUARY 2023'!A23</f>
        <v>44930</v>
      </c>
      <c r="B1237" s="12" t="str">
        <f>'[1]JANUARY 2023'!B23</f>
        <v>Party</v>
      </c>
      <c r="C1237" s="3">
        <f>'[1]JANUARY 2023'!C23</f>
        <v>0</v>
      </c>
      <c r="D1237" s="3">
        <f>'[1]JANUARY 2023'!D23</f>
        <v>600</v>
      </c>
      <c r="E1237" s="4">
        <f>'[1]JANUARY 2023'!E23</f>
        <v>0</v>
      </c>
      <c r="F1237" s="6">
        <f>'[1]JANUARY 2023'!F23</f>
        <v>0</v>
      </c>
      <c r="G1237" s="4"/>
      <c r="H1237" s="4"/>
    </row>
    <row r="1238" spans="1:8" x14ac:dyDescent="0.2">
      <c r="A1238" s="23">
        <f>'[1]JANUARY 2023'!A24</f>
        <v>44930</v>
      </c>
      <c r="B1238" s="12" t="str">
        <f>'[1]JANUARY 2023'!B24</f>
        <v>Andere</v>
      </c>
      <c r="C1238" s="3">
        <f>'[1]JANUARY 2023'!C24</f>
        <v>0</v>
      </c>
      <c r="D1238" s="3">
        <f>'[1]JANUARY 2023'!D24</f>
        <v>550</v>
      </c>
      <c r="E1238" s="4">
        <f>'[1]JANUARY 2023'!E24</f>
        <v>0</v>
      </c>
      <c r="F1238" s="6">
        <f>'[1]JANUARY 2023'!F24</f>
        <v>0</v>
      </c>
      <c r="G1238" s="4"/>
      <c r="H1238" s="4"/>
    </row>
    <row r="1239" spans="1:8" x14ac:dyDescent="0.2">
      <c r="A1239" s="20">
        <f>'[1]JANUARY 2023'!A25</f>
        <v>44930</v>
      </c>
      <c r="B1239" s="12" t="str">
        <f>'[1]JANUARY 2023'!B25</f>
        <v>Andere</v>
      </c>
      <c r="C1239" s="3">
        <f>'[1]JANUARY 2023'!C25</f>
        <v>0</v>
      </c>
      <c r="D1239" s="3">
        <f>'[1]JANUARY 2023'!D25</f>
        <v>600</v>
      </c>
      <c r="E1239" s="4">
        <f>'[1]JANUARY 2023'!E25</f>
        <v>0</v>
      </c>
      <c r="F1239" s="6">
        <f>'[1]JANUARY 2023'!F25</f>
        <v>0</v>
      </c>
      <c r="G1239" s="4"/>
      <c r="H1239" s="4"/>
    </row>
    <row r="1240" spans="1:8" x14ac:dyDescent="0.2">
      <c r="A1240" s="23">
        <f>'[1]JANUARY 2023'!A26</f>
        <v>44930</v>
      </c>
      <c r="B1240" s="12" t="str">
        <f>'[1]JANUARY 2023'!B26</f>
        <v>Andere</v>
      </c>
      <c r="C1240" s="3">
        <f>'[1]JANUARY 2023'!C26</f>
        <v>0</v>
      </c>
      <c r="D1240" s="3">
        <f>'[1]JANUARY 2023'!D26</f>
        <v>370.2</v>
      </c>
      <c r="E1240" s="4">
        <f>'[1]JANUARY 2023'!E26</f>
        <v>0</v>
      </c>
      <c r="F1240" s="6">
        <f>'[1]JANUARY 2023'!F26</f>
        <v>0</v>
      </c>
      <c r="G1240" s="4"/>
      <c r="H1240" s="4"/>
    </row>
    <row r="1241" spans="1:8" x14ac:dyDescent="0.2">
      <c r="A1241" s="20">
        <f>'[1]JANUARY 2023'!A27</f>
        <v>44930</v>
      </c>
      <c r="B1241" s="12" t="str">
        <f>'[1]JANUARY 2023'!B27</f>
        <v>Andere</v>
      </c>
      <c r="C1241" s="3">
        <f>'[1]JANUARY 2023'!C27</f>
        <v>0</v>
      </c>
      <c r="D1241" s="3">
        <f>'[1]JANUARY 2023'!D27</f>
        <v>500</v>
      </c>
      <c r="E1241" s="4">
        <f>'[1]JANUARY 2023'!E27</f>
        <v>0</v>
      </c>
      <c r="F1241" s="6">
        <f>'[1]JANUARY 2023'!F27</f>
        <v>0</v>
      </c>
      <c r="G1241" s="4"/>
      <c r="H1241" s="4"/>
    </row>
    <row r="1242" spans="1:8" x14ac:dyDescent="0.2">
      <c r="A1242" s="23">
        <f>'[1]JANUARY 2023'!A28</f>
        <v>44930</v>
      </c>
      <c r="B1242" s="12" t="str">
        <f>'[1]JANUARY 2023'!B28</f>
        <v>Party</v>
      </c>
      <c r="C1242" s="3">
        <f>'[1]JANUARY 2023'!C28</f>
        <v>0</v>
      </c>
      <c r="D1242" s="3">
        <f>'[1]JANUARY 2023'!D28</f>
        <v>3990</v>
      </c>
      <c r="E1242" s="4">
        <f>'[1]JANUARY 2023'!E28</f>
        <v>0</v>
      </c>
      <c r="F1242" s="6">
        <f>'[1]JANUARY 2023'!F28</f>
        <v>600</v>
      </c>
      <c r="G1242" s="4"/>
      <c r="H1242" s="4"/>
    </row>
    <row r="1243" spans="1:8" x14ac:dyDescent="0.2">
      <c r="A1243" s="20">
        <f>'[1]JANUARY 2023'!A29</f>
        <v>44930</v>
      </c>
      <c r="B1243" s="12" t="str">
        <f>'[1]JANUARY 2023'!B29</f>
        <v>none</v>
      </c>
      <c r="C1243" s="3">
        <f>'[1]JANUARY 2023'!C29</f>
        <v>0</v>
      </c>
      <c r="D1243" s="3">
        <f>'[1]JANUARY 2023'!D29</f>
        <v>5500</v>
      </c>
      <c r="E1243" s="4">
        <f>'[1]JANUARY 2023'!E29</f>
        <v>5500</v>
      </c>
      <c r="F1243" s="6">
        <f>'[1]JANUARY 2023'!F29</f>
        <v>0</v>
      </c>
      <c r="G1243" s="4"/>
      <c r="H1243" s="4"/>
    </row>
    <row r="1244" spans="1:8" x14ac:dyDescent="0.2">
      <c r="A1244" s="23">
        <f>'[1]JANUARY 2023'!A30</f>
        <v>44931</v>
      </c>
      <c r="B1244" s="12" t="str">
        <f>'[1]JANUARY 2023'!B30</f>
        <v>VM</v>
      </c>
      <c r="C1244" s="3">
        <f>'[1]JANUARY 2023'!C30</f>
        <v>0</v>
      </c>
      <c r="D1244" s="3">
        <f>'[1]JANUARY 2023'!D30</f>
        <v>918</v>
      </c>
      <c r="E1244" s="4">
        <f>'[1]JANUARY 2023'!E30</f>
        <v>0</v>
      </c>
      <c r="F1244" s="6">
        <f>'[1]JANUARY 2023'!F30</f>
        <v>0</v>
      </c>
      <c r="G1244" s="4"/>
      <c r="H1244" s="4"/>
    </row>
    <row r="1245" spans="1:8" x14ac:dyDescent="0.2">
      <c r="A1245" s="20">
        <f>'[1]JANUARY 2023'!A31</f>
        <v>44931</v>
      </c>
      <c r="B1245" s="12" t="str">
        <f>'[1]JANUARY 2023'!B31</f>
        <v>LM</v>
      </c>
      <c r="C1245" s="3">
        <f>'[1]JANUARY 2023'!C31</f>
        <v>0</v>
      </c>
      <c r="D1245" s="3">
        <f>'[1]JANUARY 2023'!D31</f>
        <v>790.99</v>
      </c>
      <c r="E1245" s="4">
        <f>'[1]JANUARY 2023'!E31</f>
        <v>0</v>
      </c>
      <c r="F1245" s="6">
        <f>'[1]JANUARY 2023'!F31</f>
        <v>0</v>
      </c>
      <c r="G1245" s="4"/>
      <c r="H1245" s="4"/>
    </row>
    <row r="1246" spans="1:8" x14ac:dyDescent="0.2">
      <c r="A1246" s="23">
        <f>'[1]JANUARY 2023'!A32</f>
        <v>44931</v>
      </c>
      <c r="B1246" s="12" t="str">
        <f>'[1]JANUARY 2023'!B32</f>
        <v>Andere</v>
      </c>
      <c r="C1246" s="3">
        <f>'[1]JANUARY 2023'!C32</f>
        <v>0</v>
      </c>
      <c r="D1246" s="3">
        <f>'[1]JANUARY 2023'!D32</f>
        <v>337.8</v>
      </c>
      <c r="E1246" s="4">
        <f>'[1]JANUARY 2023'!E32</f>
        <v>0</v>
      </c>
      <c r="F1246" s="6">
        <f>'[1]JANUARY 2023'!F32</f>
        <v>0</v>
      </c>
      <c r="G1246" s="4"/>
      <c r="H1246" s="4"/>
    </row>
    <row r="1247" spans="1:8" x14ac:dyDescent="0.2">
      <c r="A1247" s="20">
        <f>'[1]JANUARY 2023'!A33</f>
        <v>44931</v>
      </c>
      <c r="B1247" s="12" t="str">
        <f>'[1]JANUARY 2023'!B33</f>
        <v>Frauen</v>
      </c>
      <c r="C1247" s="3">
        <f>'[1]JANUARY 2023'!C33</f>
        <v>0</v>
      </c>
      <c r="D1247" s="3">
        <f>'[1]JANUARY 2023'!D33</f>
        <v>1500</v>
      </c>
      <c r="E1247" s="4">
        <f>'[1]JANUARY 2023'!E33</f>
        <v>0</v>
      </c>
      <c r="F1247" s="6">
        <f>'[1]JANUARY 2023'!F33</f>
        <v>0</v>
      </c>
      <c r="G1247" s="4"/>
      <c r="H1247" s="4"/>
    </row>
    <row r="1248" spans="1:8" x14ac:dyDescent="0.2">
      <c r="A1248" s="23">
        <f>'[1]JANUARY 2023'!A34</f>
        <v>44931</v>
      </c>
      <c r="B1248" s="12" t="str">
        <f>'[1]JANUARY 2023'!B34</f>
        <v>Frauen</v>
      </c>
      <c r="C1248" s="3">
        <f>'[1]JANUARY 2023'!C34</f>
        <v>0</v>
      </c>
      <c r="D1248" s="3">
        <f>'[1]JANUARY 2023'!D34</f>
        <v>5000</v>
      </c>
      <c r="E1248" s="4">
        <f>'[1]JANUARY 2023'!E34</f>
        <v>0</v>
      </c>
      <c r="F1248" s="6">
        <f>'[1]JANUARY 2023'!F34</f>
        <v>0</v>
      </c>
      <c r="G1248" s="4"/>
      <c r="H1248" s="4"/>
    </row>
    <row r="1249" spans="1:8" x14ac:dyDescent="0.2">
      <c r="A1249" s="20">
        <f>'[1]JANUARY 2023'!A35</f>
        <v>44931</v>
      </c>
      <c r="B1249" s="12" t="str">
        <f>'[1]JANUARY 2023'!B35</f>
        <v>Andere</v>
      </c>
      <c r="C1249" s="3">
        <f>'[1]JANUARY 2023'!C35</f>
        <v>0</v>
      </c>
      <c r="D1249" s="3">
        <f>'[1]JANUARY 2023'!D35</f>
        <v>216</v>
      </c>
      <c r="E1249" s="4">
        <f>'[1]JANUARY 2023'!E35</f>
        <v>0</v>
      </c>
      <c r="F1249" s="6">
        <f>'[1]JANUARY 2023'!F35</f>
        <v>0</v>
      </c>
      <c r="G1249" s="4"/>
      <c r="H1249" s="4"/>
    </row>
    <row r="1250" spans="1:8" x14ac:dyDescent="0.2">
      <c r="A1250" s="20">
        <f>'[1]JANUARY 2023'!A37</f>
        <v>44932</v>
      </c>
      <c r="B1250" s="12" t="str">
        <f>'[1]JANUARY 2023'!B37</f>
        <v>Rauchen</v>
      </c>
      <c r="C1250" s="3">
        <f>'[1]JANUARY 2023'!C37</f>
        <v>0</v>
      </c>
      <c r="D1250" s="3">
        <f>'[1]JANUARY 2023'!D37</f>
        <v>140</v>
      </c>
      <c r="E1250" s="4">
        <f>'[1]JANUARY 2023'!E37</f>
        <v>0</v>
      </c>
      <c r="F1250" s="6">
        <f>'[1]JANUARY 2023'!F37</f>
        <v>0</v>
      </c>
      <c r="G1250" s="4"/>
      <c r="H1250" s="4"/>
    </row>
    <row r="1251" spans="1:8" x14ac:dyDescent="0.2">
      <c r="A1251" s="23">
        <f>'[1]JANUARY 2023'!A38</f>
        <v>44932</v>
      </c>
      <c r="B1251" s="12" t="str">
        <f>'[1]JANUARY 2023'!B38</f>
        <v>VM</v>
      </c>
      <c r="C1251" s="3">
        <f>'[1]JANUARY 2023'!C38</f>
        <v>0</v>
      </c>
      <c r="D1251" s="3">
        <f>'[1]JANUARY 2023'!D38</f>
        <v>83</v>
      </c>
      <c r="E1251" s="4">
        <f>'[1]JANUARY 2023'!E38</f>
        <v>0</v>
      </c>
      <c r="F1251" s="6">
        <f>'[1]JANUARY 2023'!F38</f>
        <v>0</v>
      </c>
      <c r="G1251" s="4"/>
      <c r="H1251" s="4"/>
    </row>
    <row r="1252" spans="1:8" x14ac:dyDescent="0.2">
      <c r="A1252" s="20">
        <f>'[1]JANUARY 2023'!A39</f>
        <v>44932</v>
      </c>
      <c r="B1252" s="12" t="str">
        <f>'[1]JANUARY 2023'!B39</f>
        <v>Party</v>
      </c>
      <c r="C1252" s="3">
        <f>'[1]JANUARY 2023'!C39</f>
        <v>0</v>
      </c>
      <c r="D1252" s="3">
        <f>'[1]JANUARY 2023'!D39</f>
        <v>1800</v>
      </c>
      <c r="E1252" s="4">
        <f>'[1]JANUARY 2023'!E39</f>
        <v>0</v>
      </c>
      <c r="F1252" s="6">
        <f>'[1]JANUARY 2023'!F39</f>
        <v>0</v>
      </c>
      <c r="G1252" s="4"/>
      <c r="H1252" s="4"/>
    </row>
    <row r="1253" spans="1:8" x14ac:dyDescent="0.2">
      <c r="A1253" s="20">
        <f>'[1]JANUARY 2023'!A51</f>
        <v>44934</v>
      </c>
      <c r="B1253" s="12" t="str">
        <f>'[1]JANUARY 2023'!B51</f>
        <v>Kleidung</v>
      </c>
      <c r="C1253" s="3">
        <f>'[1]JANUARY 2023'!C51</f>
        <v>0</v>
      </c>
      <c r="D1253" s="3">
        <f>'[1]JANUARY 2023'!D51</f>
        <v>3688</v>
      </c>
      <c r="E1253" s="4">
        <f>'[1]JANUARY 2023'!E51</f>
        <v>0</v>
      </c>
      <c r="F1253" s="6">
        <f>'[1]JANUARY 2023'!F51</f>
        <v>0</v>
      </c>
      <c r="G1253" s="4"/>
      <c r="H1253" s="4"/>
    </row>
    <row r="1254" spans="1:8" x14ac:dyDescent="0.2">
      <c r="A1254" s="23">
        <f>'[1]JANUARY 2023'!A52</f>
        <v>44934</v>
      </c>
      <c r="B1254" s="12" t="str">
        <f>'[1]JANUARY 2023'!B52</f>
        <v>none</v>
      </c>
      <c r="C1254" s="3">
        <f>'[1]JANUARY 2023'!C52</f>
        <v>0</v>
      </c>
      <c r="D1254" s="3">
        <f>'[1]JANUARY 2023'!D52</f>
        <v>8000</v>
      </c>
      <c r="E1254" s="4">
        <f>'[1]JANUARY 2023'!E52</f>
        <v>8000</v>
      </c>
      <c r="F1254" s="6">
        <f>'[1]JANUARY 2023'!F52</f>
        <v>0</v>
      </c>
      <c r="G1254" s="4"/>
      <c r="H1254" s="4"/>
    </row>
    <row r="1255" spans="1:8" x14ac:dyDescent="0.2">
      <c r="A1255" s="20">
        <f>'[1]JANUARY 2023'!A53</f>
        <v>44934</v>
      </c>
      <c r="B1255" s="12" t="str">
        <f>'[1]JANUARY 2023'!B53</f>
        <v>Andere</v>
      </c>
      <c r="C1255" s="3">
        <f>'[1]JANUARY 2023'!C53</f>
        <v>0</v>
      </c>
      <c r="D1255" s="3">
        <f>'[1]JANUARY 2023'!D53</f>
        <v>603.9</v>
      </c>
      <c r="E1255" s="4">
        <f>'[1]JANUARY 2023'!E53</f>
        <v>0</v>
      </c>
      <c r="F1255" s="6">
        <f>'[1]JANUARY 2023'!F53</f>
        <v>0</v>
      </c>
      <c r="G1255" s="4"/>
      <c r="H1255" s="4"/>
    </row>
    <row r="1256" spans="1:8" x14ac:dyDescent="0.2">
      <c r="A1256" s="23">
        <f>'[1]JANUARY 2023'!A58</f>
        <v>44935</v>
      </c>
      <c r="B1256" s="12" t="str">
        <f>'[1]JANUARY 2023'!B58</f>
        <v>VM</v>
      </c>
      <c r="C1256" s="3">
        <f>'[1]JANUARY 2023'!C58</f>
        <v>0</v>
      </c>
      <c r="D1256" s="3">
        <f>'[1]JANUARY 2023'!D58</f>
        <v>210</v>
      </c>
      <c r="E1256" s="4">
        <f>'[1]JANUARY 2023'!E58</f>
        <v>0</v>
      </c>
      <c r="F1256" s="6">
        <f>'[1]JANUARY 2023'!F58</f>
        <v>0</v>
      </c>
      <c r="G1256" s="4"/>
      <c r="H1256" s="4"/>
    </row>
    <row r="1257" spans="1:8" x14ac:dyDescent="0.2">
      <c r="A1257" s="20">
        <f>'[1]JANUARY 2023'!A59</f>
        <v>44935</v>
      </c>
      <c r="B1257" s="12" t="str">
        <f>'[1]JANUARY 2023'!B59</f>
        <v>for me</v>
      </c>
      <c r="C1257" s="3">
        <f>'[1]JANUARY 2023'!C59</f>
        <v>0</v>
      </c>
      <c r="D1257" s="3">
        <f>'[1]JANUARY 2023'!D59</f>
        <v>0</v>
      </c>
      <c r="E1257" s="4">
        <f>'[1]JANUARY 2023'!E59</f>
        <v>0</v>
      </c>
      <c r="F1257" s="6">
        <f>'[1]JANUARY 2023'!F59</f>
        <v>2500</v>
      </c>
      <c r="G1257" s="4"/>
      <c r="H1257" s="4"/>
    </row>
    <row r="1258" spans="1:8" x14ac:dyDescent="0.2">
      <c r="A1258" s="20">
        <f>'[1]JANUARY 2023'!A65</f>
        <v>44936</v>
      </c>
      <c r="B1258" s="12" t="str">
        <f>'[1]JANUARY 2023'!B65</f>
        <v>VM</v>
      </c>
      <c r="C1258" s="3">
        <f>'[1]JANUARY 2023'!C65</f>
        <v>0</v>
      </c>
      <c r="D1258" s="3">
        <f>'[1]JANUARY 2023'!D65</f>
        <v>1495</v>
      </c>
      <c r="E1258" s="4">
        <f>'[1]JANUARY 2023'!E65</f>
        <v>0</v>
      </c>
      <c r="F1258" s="6">
        <f>'[1]JANUARY 2023'!F65</f>
        <v>0</v>
      </c>
      <c r="G1258" s="4"/>
      <c r="H1258" s="4"/>
    </row>
    <row r="1259" spans="1:8" x14ac:dyDescent="0.2">
      <c r="A1259" s="23">
        <f>'[1]JANUARY 2023'!A66</f>
        <v>44936</v>
      </c>
      <c r="B1259" s="12" t="str">
        <f>'[1]JANUARY 2023'!B66</f>
        <v>LM</v>
      </c>
      <c r="C1259" s="3">
        <f>'[1]JANUARY 2023'!C66</f>
        <v>0</v>
      </c>
      <c r="D1259" s="3">
        <f>'[1]JANUARY 2023'!D66</f>
        <v>787</v>
      </c>
      <c r="E1259" s="4">
        <f>'[1]JANUARY 2023'!E66</f>
        <v>0</v>
      </c>
      <c r="F1259" s="6">
        <f>'[1]JANUARY 2023'!F66</f>
        <v>0</v>
      </c>
      <c r="G1259" s="4"/>
      <c r="H1259" s="4"/>
    </row>
    <row r="1260" spans="1:8" x14ac:dyDescent="0.2">
      <c r="A1260" s="20">
        <f>'[1]JANUARY 2023'!A67</f>
        <v>44936</v>
      </c>
      <c r="B1260" s="12" t="str">
        <f>'[1]JANUARY 2023'!B67</f>
        <v>Rauchen</v>
      </c>
      <c r="C1260" s="3">
        <f>'[1]JANUARY 2023'!C67</f>
        <v>0</v>
      </c>
      <c r="D1260" s="3">
        <f>'[1]JANUARY 2023'!D67</f>
        <v>140</v>
      </c>
      <c r="E1260" s="4">
        <f>'[1]JANUARY 2023'!E67</f>
        <v>0</v>
      </c>
      <c r="F1260" s="6">
        <f>'[1]JANUARY 2023'!F67</f>
        <v>0</v>
      </c>
      <c r="G1260" s="4"/>
      <c r="H1260" s="4"/>
    </row>
    <row r="1261" spans="1:8" x14ac:dyDescent="0.2">
      <c r="A1261" s="23">
        <f>'[1]JANUARY 2023'!A68</f>
        <v>44936</v>
      </c>
      <c r="B1261" s="12" t="str">
        <f>'[1]JANUARY 2023'!B68</f>
        <v>none</v>
      </c>
      <c r="C1261" s="3">
        <f>'[1]JANUARY 2023'!C68</f>
        <v>0</v>
      </c>
      <c r="D1261" s="3">
        <f>'[1]JANUARY 2023'!D68</f>
        <v>110</v>
      </c>
      <c r="E1261" s="4">
        <f>'[1]JANUARY 2023'!E68</f>
        <v>110</v>
      </c>
      <c r="F1261" s="6">
        <f>'[1]JANUARY 2023'!F68</f>
        <v>0</v>
      </c>
      <c r="G1261" s="4"/>
      <c r="H1261" s="4"/>
    </row>
    <row r="1262" spans="1:8" x14ac:dyDescent="0.2">
      <c r="A1262" s="23">
        <f>'[1]JANUARY 2023'!A72</f>
        <v>44937</v>
      </c>
      <c r="B1262" s="12" t="str">
        <f>'[1]JANUARY 2023'!B72</f>
        <v>LM</v>
      </c>
      <c r="C1262" s="3">
        <f>'[1]JANUARY 2023'!C72</f>
        <v>0</v>
      </c>
      <c r="D1262" s="3">
        <f>'[1]JANUARY 2023'!D72</f>
        <v>490</v>
      </c>
      <c r="E1262" s="4">
        <f>'[1]JANUARY 2023'!E72</f>
        <v>0</v>
      </c>
      <c r="F1262" s="6">
        <f>'[1]JANUARY 2023'!F72</f>
        <v>0</v>
      </c>
      <c r="G1262" s="4"/>
      <c r="H1262" s="4"/>
    </row>
    <row r="1263" spans="1:8" x14ac:dyDescent="0.2">
      <c r="A1263" s="20">
        <f>'[1]JANUARY 2023'!A73</f>
        <v>44937</v>
      </c>
      <c r="B1263" s="12" t="str">
        <f>'[1]JANUARY 2023'!B73</f>
        <v>Andere</v>
      </c>
      <c r="C1263" s="3">
        <f>'[1]JANUARY 2023'!C73</f>
        <v>0</v>
      </c>
      <c r="D1263" s="3">
        <f>'[1]JANUARY 2023'!D73</f>
        <v>0</v>
      </c>
      <c r="E1263" s="4">
        <f>'[1]JANUARY 2023'!E73</f>
        <v>0</v>
      </c>
      <c r="F1263" s="6">
        <f>'[1]JANUARY 2023'!F73</f>
        <v>257.55</v>
      </c>
      <c r="G1263" s="4"/>
      <c r="H1263" s="4"/>
    </row>
    <row r="1264" spans="1:8" x14ac:dyDescent="0.2">
      <c r="A1264" s="20">
        <f>'[1]JANUARY 2023'!A79</f>
        <v>44938</v>
      </c>
      <c r="B1264" s="12" t="str">
        <f>'[1]JANUARY 2023'!B79</f>
        <v>VM</v>
      </c>
      <c r="C1264" s="3">
        <f>'[1]JANUARY 2023'!C79</f>
        <v>0</v>
      </c>
      <c r="D1264" s="3">
        <f>'[1]JANUARY 2023'!D79</f>
        <v>305</v>
      </c>
      <c r="E1264" s="4">
        <f>'[1]JANUARY 2023'!E79</f>
        <v>0</v>
      </c>
      <c r="F1264" s="6">
        <f>'[1]JANUARY 2023'!F79</f>
        <v>0</v>
      </c>
      <c r="G1264" s="4"/>
      <c r="H1264" s="4"/>
    </row>
    <row r="1265" spans="1:8" x14ac:dyDescent="0.2">
      <c r="A1265" s="23">
        <f>'[1]JANUARY 2023'!A80</f>
        <v>44938</v>
      </c>
      <c r="B1265" s="12" t="str">
        <f>'[1]JANUARY 2023'!B80</f>
        <v>LM</v>
      </c>
      <c r="C1265" s="3">
        <f>'[1]JANUARY 2023'!C80</f>
        <v>0</v>
      </c>
      <c r="D1265" s="3">
        <f>'[1]JANUARY 2023'!D80</f>
        <v>829.97</v>
      </c>
      <c r="E1265" s="4">
        <f>'[1]JANUARY 2023'!E80</f>
        <v>0</v>
      </c>
      <c r="F1265" s="6">
        <f>'[1]JANUARY 2023'!F80</f>
        <v>280</v>
      </c>
      <c r="G1265" s="4"/>
      <c r="H1265" s="4"/>
    </row>
    <row r="1266" spans="1:8" x14ac:dyDescent="0.2">
      <c r="A1266" s="20">
        <f>'[1]JANUARY 2023'!A81</f>
        <v>44938</v>
      </c>
      <c r="B1266" s="12" t="str">
        <f>'[1]JANUARY 2023'!B81</f>
        <v>Rauchen</v>
      </c>
      <c r="C1266" s="3">
        <f>'[1]JANUARY 2023'!C81</f>
        <v>0</v>
      </c>
      <c r="D1266" s="3">
        <f>'[1]JANUARY 2023'!D81</f>
        <v>140</v>
      </c>
      <c r="E1266" s="4">
        <f>'[1]JANUARY 2023'!E81</f>
        <v>0</v>
      </c>
      <c r="F1266" s="6">
        <f>'[1]JANUARY 2023'!F81</f>
        <v>0</v>
      </c>
      <c r="G1266" s="4"/>
      <c r="H1266" s="4"/>
    </row>
    <row r="1267" spans="1:8" x14ac:dyDescent="0.2">
      <c r="A1267" s="23">
        <f>'[1]JANUARY 2023'!A82</f>
        <v>44938</v>
      </c>
      <c r="B1267" s="12" t="str">
        <f>'[1]JANUARY 2023'!B82</f>
        <v>VM</v>
      </c>
      <c r="C1267" s="3">
        <f>'[1]JANUARY 2023'!C82</f>
        <v>0</v>
      </c>
      <c r="D1267" s="3">
        <f>'[1]JANUARY 2023'!D82</f>
        <v>112</v>
      </c>
      <c r="E1267" s="4">
        <f>'[1]JANUARY 2023'!E82</f>
        <v>0</v>
      </c>
      <c r="F1267" s="6">
        <f>'[1]JANUARY 2023'!F82</f>
        <v>0</v>
      </c>
      <c r="G1267" s="4"/>
      <c r="H1267" s="4"/>
    </row>
    <row r="1268" spans="1:8" x14ac:dyDescent="0.2">
      <c r="A1268" s="20">
        <f>'[1]JANUARY 2023'!A83</f>
        <v>44938</v>
      </c>
      <c r="B1268" s="12" t="str">
        <f>'[1]JANUARY 2023'!B83</f>
        <v>Refill</v>
      </c>
      <c r="C1268" s="3">
        <f>'[1]JANUARY 2023'!C83</f>
        <v>15208.65</v>
      </c>
      <c r="D1268" s="3">
        <f>'[1]JANUARY 2023'!D83</f>
        <v>0</v>
      </c>
      <c r="E1268" s="4">
        <f>'[1]JANUARY 2023'!E83</f>
        <v>0</v>
      </c>
      <c r="F1268" s="6">
        <f>'[1]JANUARY 2023'!F83</f>
        <v>0</v>
      </c>
      <c r="G1268" s="4"/>
      <c r="H1268" s="4"/>
    </row>
    <row r="1269" spans="1:8" x14ac:dyDescent="0.2">
      <c r="A1269" s="23">
        <f>'[1]JANUARY 2023'!A86</f>
        <v>44939</v>
      </c>
      <c r="B1269" s="12" t="str">
        <f>'[1]JANUARY 2023'!B86</f>
        <v>for me</v>
      </c>
      <c r="C1269" s="3">
        <f>'[1]JANUARY 2023'!C86</f>
        <v>0</v>
      </c>
      <c r="D1269" s="3">
        <f>'[1]JANUARY 2023'!D86</f>
        <v>500</v>
      </c>
      <c r="E1269" s="4">
        <f>'[1]JANUARY 2023'!E86</f>
        <v>0</v>
      </c>
      <c r="F1269" s="6">
        <f>'[1]JANUARY 2023'!F86</f>
        <v>0</v>
      </c>
      <c r="G1269" s="4"/>
      <c r="H1269" s="4"/>
    </row>
    <row r="1270" spans="1:8" x14ac:dyDescent="0.2">
      <c r="A1270" s="20">
        <f>'[1]JANUARY 2023'!A87</f>
        <v>44939</v>
      </c>
      <c r="B1270" s="12" t="str">
        <f>'[1]JANUARY 2023'!B87</f>
        <v>Party</v>
      </c>
      <c r="C1270" s="3">
        <f>'[1]JANUARY 2023'!C87</f>
        <v>0</v>
      </c>
      <c r="D1270" s="3">
        <f>'[1]JANUARY 2023'!D87</f>
        <v>2920</v>
      </c>
      <c r="E1270" s="4">
        <f>'[1]JANUARY 2023'!E87</f>
        <v>0</v>
      </c>
      <c r="F1270" s="6">
        <f>'[1]JANUARY 2023'!F87</f>
        <v>0</v>
      </c>
      <c r="G1270" s="4"/>
      <c r="H1270" s="4"/>
    </row>
    <row r="1271" spans="1:8" x14ac:dyDescent="0.2">
      <c r="A1271" s="23">
        <f>'[1]JANUARY 2023'!A88</f>
        <v>44939</v>
      </c>
      <c r="B1271" s="12" t="str">
        <f>'[1]JANUARY 2023'!B88</f>
        <v>none</v>
      </c>
      <c r="C1271" s="3">
        <f>'[1]JANUARY 2023'!C88</f>
        <v>0</v>
      </c>
      <c r="D1271" s="3">
        <f>'[1]JANUARY 2023'!D88</f>
        <v>330</v>
      </c>
      <c r="E1271" s="4">
        <f>'[1]JANUARY 2023'!E88</f>
        <v>330</v>
      </c>
      <c r="F1271" s="6">
        <f>'[1]JANUARY 2023'!F88</f>
        <v>0</v>
      </c>
      <c r="G1271" s="4"/>
      <c r="H1271" s="4"/>
    </row>
    <row r="1272" spans="1:8" x14ac:dyDescent="0.2">
      <c r="A1272" s="20">
        <f>'[1]JANUARY 2023'!A89</f>
        <v>44939</v>
      </c>
      <c r="B1272" s="12" t="str">
        <f>'[1]JANUARY 2023'!B89</f>
        <v>none</v>
      </c>
      <c r="C1272" s="3">
        <f>'[1]JANUARY 2023'!C89</f>
        <v>0</v>
      </c>
      <c r="D1272" s="3">
        <f>'[1]JANUARY 2023'!D89</f>
        <v>2550</v>
      </c>
      <c r="E1272" s="4">
        <f>'[1]JANUARY 2023'!E89</f>
        <v>2550</v>
      </c>
      <c r="F1272" s="6">
        <f>'[1]JANUARY 2023'!F89</f>
        <v>0</v>
      </c>
      <c r="G1272" s="4"/>
      <c r="H1272" s="4"/>
    </row>
    <row r="1273" spans="1:8" x14ac:dyDescent="0.2">
      <c r="A1273" s="20">
        <f>'[1]JANUARY 2023'!A93</f>
        <v>44940</v>
      </c>
      <c r="B1273" s="12" t="str">
        <f>'[1]JANUARY 2023'!B93</f>
        <v>for me</v>
      </c>
      <c r="C1273" s="3">
        <f>'[1]JANUARY 2023'!C93</f>
        <v>0</v>
      </c>
      <c r="D1273" s="3">
        <f>'[1]JANUARY 2023'!D93</f>
        <v>1803</v>
      </c>
      <c r="E1273" s="4">
        <f>'[1]JANUARY 2023'!E93</f>
        <v>0</v>
      </c>
      <c r="F1273" s="6">
        <f>'[1]JANUARY 2023'!F93</f>
        <v>0</v>
      </c>
      <c r="G1273" s="4"/>
      <c r="H1273" s="4"/>
    </row>
    <row r="1274" spans="1:8" x14ac:dyDescent="0.2">
      <c r="A1274" s="23">
        <f>'[1]JANUARY 2023'!A94</f>
        <v>44940</v>
      </c>
      <c r="B1274" s="12" t="str">
        <f>'[1]JANUARY 2023'!B94</f>
        <v>LM</v>
      </c>
      <c r="C1274" s="3">
        <f>'[1]JANUARY 2023'!C94</f>
        <v>0</v>
      </c>
      <c r="D1274" s="3">
        <f>'[1]JANUARY 2023'!D94</f>
        <v>1449.35</v>
      </c>
      <c r="E1274" s="4">
        <f>'[1]JANUARY 2023'!E94</f>
        <v>0</v>
      </c>
      <c r="F1274" s="6">
        <f>'[1]JANUARY 2023'!F94</f>
        <v>0</v>
      </c>
      <c r="G1274" s="4"/>
      <c r="H1274" s="4"/>
    </row>
    <row r="1275" spans="1:8" x14ac:dyDescent="0.2">
      <c r="A1275" s="20">
        <f>'[1]JANUARY 2023'!A95</f>
        <v>44940</v>
      </c>
      <c r="B1275" s="12" t="str">
        <f>'[1]JANUARY 2023'!B95</f>
        <v>VM</v>
      </c>
      <c r="C1275" s="3">
        <f>'[1]JANUARY 2023'!C95</f>
        <v>0</v>
      </c>
      <c r="D1275" s="3">
        <f>'[1]JANUARY 2023'!D95</f>
        <v>56</v>
      </c>
      <c r="E1275" s="4">
        <f>'[1]JANUARY 2023'!E95</f>
        <v>0</v>
      </c>
      <c r="F1275" s="6">
        <f>'[1]JANUARY 2023'!F95</f>
        <v>0</v>
      </c>
      <c r="G1275" s="4"/>
      <c r="H1275" s="4"/>
    </row>
    <row r="1276" spans="1:8" x14ac:dyDescent="0.2">
      <c r="A1276" s="23">
        <f>'[1]JANUARY 2023'!A100</f>
        <v>44941</v>
      </c>
      <c r="B1276" s="12" t="str">
        <f>'[1]JANUARY 2023'!B100</f>
        <v>VM</v>
      </c>
      <c r="C1276" s="3">
        <f>'[1]JANUARY 2023'!C100</f>
        <v>0</v>
      </c>
      <c r="D1276" s="3">
        <f>'[1]JANUARY 2023'!D100</f>
        <v>570</v>
      </c>
      <c r="E1276" s="4">
        <f>'[1]JANUARY 2023'!E100</f>
        <v>0</v>
      </c>
      <c r="F1276" s="6">
        <f>'[1]JANUARY 2023'!F100</f>
        <v>0</v>
      </c>
      <c r="G1276" s="4"/>
      <c r="H1276" s="4"/>
    </row>
    <row r="1277" spans="1:8" x14ac:dyDescent="0.2">
      <c r="A1277" s="20">
        <f>'[1]JANUARY 2023'!A101</f>
        <v>44941</v>
      </c>
      <c r="B1277" s="12" t="str">
        <f>'[1]JANUARY 2023'!B101</f>
        <v>VM</v>
      </c>
      <c r="C1277" s="3">
        <f>'[1]JANUARY 2023'!C101</f>
        <v>0</v>
      </c>
      <c r="D1277" s="3">
        <f>'[1]JANUARY 2023'!D101</f>
        <v>112</v>
      </c>
      <c r="E1277" s="4">
        <f>'[1]JANUARY 2023'!E101</f>
        <v>0</v>
      </c>
      <c r="F1277" s="6">
        <f>'[1]JANUARY 2023'!F101</f>
        <v>0</v>
      </c>
      <c r="G1277" s="4"/>
      <c r="H1277" s="4"/>
    </row>
    <row r="1278" spans="1:8" x14ac:dyDescent="0.2">
      <c r="A1278" s="23">
        <f>'[1]JANUARY 2023'!A102</f>
        <v>44941</v>
      </c>
      <c r="B1278" s="12" t="str">
        <f>'[1]JANUARY 2023'!B102</f>
        <v>Rauchen</v>
      </c>
      <c r="C1278" s="3">
        <f>'[1]JANUARY 2023'!C102</f>
        <v>0</v>
      </c>
      <c r="D1278" s="3">
        <f>'[1]JANUARY 2023'!D102</f>
        <v>140</v>
      </c>
      <c r="E1278" s="4">
        <f>'[1]JANUARY 2023'!E102</f>
        <v>0</v>
      </c>
      <c r="F1278" s="6">
        <f>'[1]JANUARY 2023'!F102</f>
        <v>0</v>
      </c>
      <c r="G1278" s="4"/>
      <c r="H1278" s="4"/>
    </row>
    <row r="1279" spans="1:8" x14ac:dyDescent="0.2">
      <c r="A1279" s="20">
        <f>'[1]JANUARY 2023'!A103</f>
        <v>44941</v>
      </c>
      <c r="B1279" s="12" t="str">
        <f>'[1]JANUARY 2023'!B103</f>
        <v>LM</v>
      </c>
      <c r="C1279" s="3">
        <f>'[1]JANUARY 2023'!C103</f>
        <v>0</v>
      </c>
      <c r="D1279" s="3">
        <f>'[1]JANUARY 2023'!D103</f>
        <v>610</v>
      </c>
      <c r="E1279" s="4">
        <f>'[1]JANUARY 2023'!E103</f>
        <v>0</v>
      </c>
      <c r="F1279" s="6">
        <f>'[1]JANUARY 2023'!F103</f>
        <v>0</v>
      </c>
      <c r="G1279" s="4"/>
      <c r="H1279" s="4"/>
    </row>
    <row r="1280" spans="1:8" x14ac:dyDescent="0.2">
      <c r="A1280" s="20">
        <f>'[1]JANUARY 2023'!A107</f>
        <v>44942</v>
      </c>
      <c r="B1280" s="12" t="str">
        <f>'[1]JANUARY 2023'!B107</f>
        <v>LM</v>
      </c>
      <c r="C1280" s="3">
        <f>'[1]JANUARY 2023'!C107</f>
        <v>0</v>
      </c>
      <c r="D1280" s="3">
        <f>'[1]JANUARY 2023'!D107</f>
        <v>972</v>
      </c>
      <c r="E1280" s="4">
        <f>'[1]JANUARY 2023'!E107</f>
        <v>0</v>
      </c>
      <c r="F1280" s="6">
        <f>'[1]JANUARY 2023'!F107</f>
        <v>0</v>
      </c>
      <c r="G1280" s="4"/>
      <c r="H1280" s="4"/>
    </row>
    <row r="1281" spans="1:8" x14ac:dyDescent="0.2">
      <c r="A1281" s="23">
        <f>'[1]JANUARY 2023'!A108</f>
        <v>44942</v>
      </c>
      <c r="B1281" s="12" t="str">
        <f>'[1]JANUARY 2023'!B108</f>
        <v>VM</v>
      </c>
      <c r="C1281" s="3">
        <f>'[1]JANUARY 2023'!C108</f>
        <v>0</v>
      </c>
      <c r="D1281" s="3">
        <f>'[1]JANUARY 2023'!D108</f>
        <v>56</v>
      </c>
      <c r="E1281" s="4">
        <f>'[1]JANUARY 2023'!E108</f>
        <v>0</v>
      </c>
      <c r="F1281" s="6">
        <f>'[1]JANUARY 2023'!F108</f>
        <v>0</v>
      </c>
      <c r="G1281" s="4"/>
      <c r="H1281" s="4"/>
    </row>
    <row r="1282" spans="1:8" x14ac:dyDescent="0.2">
      <c r="A1282" s="23">
        <f>'[1]JANUARY 2023'!A114</f>
        <v>44943</v>
      </c>
      <c r="B1282" s="12" t="str">
        <f>'[1]JANUARY 2023'!B114</f>
        <v>Party</v>
      </c>
      <c r="C1282" s="3">
        <f>'[1]JANUARY 2023'!C114</f>
        <v>0</v>
      </c>
      <c r="D1282" s="3">
        <f>'[1]JANUARY 2023'!D114</f>
        <v>3750</v>
      </c>
      <c r="E1282" s="4">
        <f>'[1]JANUARY 2023'!E114</f>
        <v>0</v>
      </c>
      <c r="F1282" s="6">
        <f>'[1]JANUARY 2023'!F114</f>
        <v>0</v>
      </c>
      <c r="G1282" s="4"/>
      <c r="H1282" s="4"/>
    </row>
    <row r="1283" spans="1:8" x14ac:dyDescent="0.2">
      <c r="A1283" s="20">
        <f>'[1]JANUARY 2023'!A121</f>
        <v>44944</v>
      </c>
      <c r="B1283" s="12" t="str">
        <f>'[1]JANUARY 2023'!B121</f>
        <v>Andere</v>
      </c>
      <c r="C1283" s="3">
        <f>'[1]JANUARY 2023'!C121</f>
        <v>0</v>
      </c>
      <c r="D1283" s="3">
        <f>'[1]JANUARY 2023'!D121</f>
        <v>356</v>
      </c>
      <c r="E1283" s="4">
        <f>'[1]JANUARY 2023'!E121</f>
        <v>0</v>
      </c>
      <c r="F1283" s="6">
        <f>'[1]JANUARY 2023'!F121</f>
        <v>0</v>
      </c>
      <c r="G1283" s="4"/>
      <c r="H1283" s="4"/>
    </row>
    <row r="1284" spans="1:8" x14ac:dyDescent="0.2">
      <c r="A1284" s="23">
        <f>'[1]JANUARY 2023'!A122</f>
        <v>44944</v>
      </c>
      <c r="B1284" s="12" t="str">
        <f>'[1]JANUARY 2023'!B122</f>
        <v>LM</v>
      </c>
      <c r="C1284" s="3">
        <f>'[1]JANUARY 2023'!C122</f>
        <v>0</v>
      </c>
      <c r="D1284" s="3">
        <f>'[1]JANUARY 2023'!D122</f>
        <v>416</v>
      </c>
      <c r="E1284" s="4">
        <f>'[1]JANUARY 2023'!E122</f>
        <v>0</v>
      </c>
      <c r="F1284" s="6">
        <f>'[1]JANUARY 2023'!F122</f>
        <v>0</v>
      </c>
      <c r="G1284" s="4"/>
      <c r="H1284" s="4"/>
    </row>
    <row r="1285" spans="1:8" x14ac:dyDescent="0.2">
      <c r="A1285" s="20">
        <f>'[1]JANUARY 2023'!A123</f>
        <v>44944</v>
      </c>
      <c r="B1285" s="12" t="str">
        <f>'[1]JANUARY 2023'!B123</f>
        <v>Rauchen</v>
      </c>
      <c r="C1285" s="3">
        <f>'[1]JANUARY 2023'!C123</f>
        <v>0</v>
      </c>
      <c r="D1285" s="3">
        <f>'[1]JANUARY 2023'!D123</f>
        <v>140</v>
      </c>
      <c r="E1285" s="4">
        <f>'[1]JANUARY 2023'!E123</f>
        <v>0</v>
      </c>
      <c r="F1285" s="6">
        <f>'[1]JANUARY 2023'!F123</f>
        <v>0</v>
      </c>
      <c r="G1285" s="4"/>
      <c r="H1285" s="4"/>
    </row>
    <row r="1286" spans="1:8" x14ac:dyDescent="0.2">
      <c r="A1286" s="23">
        <f>'[1]JANUARY 2023'!A124</f>
        <v>44944</v>
      </c>
      <c r="B1286" s="12" t="str">
        <f>'[1]JANUARY 2023'!B124</f>
        <v>VM</v>
      </c>
      <c r="C1286" s="3">
        <f>'[1]JANUARY 2023'!C124</f>
        <v>0</v>
      </c>
      <c r="D1286" s="3">
        <f>'[1]JANUARY 2023'!D124</f>
        <v>0</v>
      </c>
      <c r="E1286" s="4">
        <f>'[1]JANUARY 2023'!E124</f>
        <v>0</v>
      </c>
      <c r="F1286" s="6">
        <f>'[1]JANUARY 2023'!F124</f>
        <v>300</v>
      </c>
      <c r="G1286" s="4"/>
      <c r="H1286" s="4"/>
    </row>
    <row r="1287" spans="1:8" x14ac:dyDescent="0.2">
      <c r="A1287" s="23">
        <f>'[1]JANUARY 2023'!A128</f>
        <v>44945</v>
      </c>
      <c r="B1287" s="12" t="str">
        <f>'[1]JANUARY 2023'!B128</f>
        <v>LM</v>
      </c>
      <c r="C1287" s="3">
        <f>'[1]JANUARY 2023'!C128</f>
        <v>0</v>
      </c>
      <c r="D1287" s="3">
        <f>'[1]JANUARY 2023'!D128</f>
        <v>380</v>
      </c>
      <c r="E1287" s="4">
        <f>'[1]JANUARY 2023'!E128</f>
        <v>0</v>
      </c>
      <c r="F1287" s="6">
        <f>'[1]JANUARY 2023'!F128</f>
        <v>65</v>
      </c>
      <c r="G1287" s="4"/>
      <c r="H1287" s="4"/>
    </row>
    <row r="1288" spans="1:8" x14ac:dyDescent="0.2">
      <c r="A1288" s="20">
        <f>'[1]JANUARY 2023'!A129</f>
        <v>44945</v>
      </c>
      <c r="B1288" s="12" t="str">
        <f>'[1]JANUARY 2023'!B129</f>
        <v>LM</v>
      </c>
      <c r="C1288" s="3">
        <f>'[1]JANUARY 2023'!C129</f>
        <v>0</v>
      </c>
      <c r="D1288" s="3">
        <f>'[1]JANUARY 2023'!D129</f>
        <v>299.97000000000003</v>
      </c>
      <c r="E1288" s="4">
        <f>'[1]JANUARY 2023'!E129</f>
        <v>0</v>
      </c>
      <c r="F1288" s="6">
        <f>'[1]JANUARY 2023'!F129</f>
        <v>0</v>
      </c>
      <c r="G1288" s="4"/>
      <c r="H1288" s="4"/>
    </row>
    <row r="1289" spans="1:8" x14ac:dyDescent="0.2">
      <c r="A1289" s="20">
        <f>'[1]JANUARY 2023'!A135</f>
        <v>44946</v>
      </c>
      <c r="B1289" s="12" t="str">
        <f>'[1]JANUARY 2023'!B135</f>
        <v>Refill</v>
      </c>
      <c r="C1289" s="3">
        <f>'[1]JANUARY 2023'!C135</f>
        <v>18250.98</v>
      </c>
      <c r="D1289" s="3">
        <f>'[1]JANUARY 2023'!D135</f>
        <v>0</v>
      </c>
      <c r="E1289" s="4">
        <f>'[1]JANUARY 2023'!E135</f>
        <v>0</v>
      </c>
      <c r="F1289" s="6">
        <f>'[1]JANUARY 2023'!F135</f>
        <v>0</v>
      </c>
      <c r="G1289" s="4"/>
      <c r="H1289" s="4"/>
    </row>
    <row r="1290" spans="1:8" x14ac:dyDescent="0.2">
      <c r="A1290" s="23">
        <f>'[1]JANUARY 2023'!A136</f>
        <v>44946</v>
      </c>
      <c r="B1290" s="12" t="str">
        <f>'[1]JANUARY 2023'!B136</f>
        <v>VM</v>
      </c>
      <c r="C1290" s="3">
        <f>'[1]JANUARY 2023'!C136</f>
        <v>0</v>
      </c>
      <c r="D1290" s="3">
        <f>'[1]JANUARY 2023'!D136</f>
        <v>112</v>
      </c>
      <c r="E1290" s="4">
        <f>'[1]JANUARY 2023'!E136</f>
        <v>0</v>
      </c>
      <c r="F1290" s="6">
        <f>'[1]JANUARY 2023'!F136</f>
        <v>400</v>
      </c>
      <c r="G1290" s="4"/>
      <c r="H1290" s="4"/>
    </row>
    <row r="1291" spans="1:8" x14ac:dyDescent="0.2">
      <c r="A1291" s="20">
        <f>'[1]JANUARY 2023'!A137</f>
        <v>44946</v>
      </c>
      <c r="B1291" s="12" t="str">
        <f>'[1]JANUARY 2023'!B137</f>
        <v>Party</v>
      </c>
      <c r="C1291" s="3">
        <f>'[1]JANUARY 2023'!C137</f>
        <v>0</v>
      </c>
      <c r="D1291" s="3">
        <f>'[1]JANUARY 2023'!D137</f>
        <v>881</v>
      </c>
      <c r="E1291" s="4">
        <f>'[1]JANUARY 2023'!E137</f>
        <v>0</v>
      </c>
      <c r="F1291" s="6">
        <f>'[1]JANUARY 2023'!F137</f>
        <v>0</v>
      </c>
      <c r="G1291" s="4"/>
      <c r="H1291" s="4"/>
    </row>
    <row r="1292" spans="1:8" x14ac:dyDescent="0.2">
      <c r="A1292" s="23">
        <f>'[1]JANUARY 2023'!A138</f>
        <v>44946</v>
      </c>
      <c r="B1292" s="12" t="str">
        <f>'[1]JANUARY 2023'!B138</f>
        <v>Party</v>
      </c>
      <c r="C1292" s="3">
        <f>'[1]JANUARY 2023'!C138</f>
        <v>0</v>
      </c>
      <c r="D1292" s="3">
        <f>'[1]JANUARY 2023'!D138</f>
        <v>1600</v>
      </c>
      <c r="E1292" s="4">
        <f>'[1]JANUARY 2023'!E138</f>
        <v>0</v>
      </c>
      <c r="F1292" s="6">
        <f>'[1]JANUARY 2023'!F138</f>
        <v>0</v>
      </c>
      <c r="G1292" s="4"/>
      <c r="H1292" s="4"/>
    </row>
    <row r="1293" spans="1:8" x14ac:dyDescent="0.2">
      <c r="A1293" s="20">
        <f>'[1]JANUARY 2023'!A139</f>
        <v>44946</v>
      </c>
      <c r="B1293" s="12" t="str">
        <f>'[1]JANUARY 2023'!B139</f>
        <v>none</v>
      </c>
      <c r="C1293" s="3">
        <f>'[1]JANUARY 2023'!C139</f>
        <v>0</v>
      </c>
      <c r="D1293" s="3">
        <f>'[1]JANUARY 2023'!D139</f>
        <v>5700</v>
      </c>
      <c r="E1293" s="4">
        <f>'[1]JANUARY 2023'!E139</f>
        <v>5700</v>
      </c>
      <c r="F1293" s="6">
        <f>'[1]JANUARY 2023'!F139</f>
        <v>0</v>
      </c>
      <c r="G1293" s="4"/>
      <c r="H1293" s="4"/>
    </row>
    <row r="1294" spans="1:8" x14ac:dyDescent="0.2">
      <c r="A1294" s="23">
        <f>'[1]JANUARY 2023'!A142</f>
        <v>44947</v>
      </c>
      <c r="B1294" s="12" t="str">
        <f>'[1]JANUARY 2023'!B142</f>
        <v>LM</v>
      </c>
      <c r="C1294" s="3">
        <f>'[1]JANUARY 2023'!C142</f>
        <v>0</v>
      </c>
      <c r="D1294" s="3">
        <f>'[1]JANUARY 2023'!D142</f>
        <v>706</v>
      </c>
      <c r="E1294" s="4">
        <f>'[1]JANUARY 2023'!E142</f>
        <v>0</v>
      </c>
      <c r="F1294" s="6">
        <f>'[1]JANUARY 2023'!F142</f>
        <v>240</v>
      </c>
      <c r="G1294" s="4"/>
      <c r="H1294" s="4"/>
    </row>
    <row r="1295" spans="1:8" x14ac:dyDescent="0.2">
      <c r="A1295" s="20">
        <f>'[1]JANUARY 2023'!A143</f>
        <v>44947</v>
      </c>
      <c r="B1295" s="12" t="str">
        <f>'[1]JANUARY 2023'!B143</f>
        <v>VM</v>
      </c>
      <c r="C1295" s="3">
        <f>'[1]JANUARY 2023'!C143</f>
        <v>0</v>
      </c>
      <c r="D1295" s="3">
        <f>'[1]JANUARY 2023'!D143</f>
        <v>56</v>
      </c>
      <c r="E1295" s="4">
        <f>'[1]JANUARY 2023'!E143</f>
        <v>0</v>
      </c>
      <c r="F1295" s="6">
        <f>'[1]JANUARY 2023'!F143</f>
        <v>0</v>
      </c>
      <c r="G1295" s="4"/>
      <c r="H1295" s="4"/>
    </row>
    <row r="1296" spans="1:8" x14ac:dyDescent="0.2">
      <c r="A1296" s="23">
        <f>'[1]JANUARY 2023'!A144</f>
        <v>44947</v>
      </c>
      <c r="B1296" s="12" t="str">
        <f>'[1]JANUARY 2023'!B144</f>
        <v>Rauchen</v>
      </c>
      <c r="C1296" s="3">
        <f>'[1]JANUARY 2023'!C144</f>
        <v>0</v>
      </c>
      <c r="D1296" s="3">
        <f>'[1]JANUARY 2023'!D144</f>
        <v>145</v>
      </c>
      <c r="E1296" s="4">
        <f>'[1]JANUARY 2023'!E144</f>
        <v>0</v>
      </c>
      <c r="F1296" s="6">
        <f>'[1]JANUARY 2023'!F144</f>
        <v>0</v>
      </c>
      <c r="G1296" s="4"/>
      <c r="H1296" s="4"/>
    </row>
    <row r="1297" spans="1:8" x14ac:dyDescent="0.2">
      <c r="A1297" s="20">
        <f>'[1]JANUARY 2023'!A145</f>
        <v>44947</v>
      </c>
      <c r="B1297" s="12" t="str">
        <f>'[1]JANUARY 2023'!B145</f>
        <v>Andere</v>
      </c>
      <c r="C1297" s="3">
        <f>'[1]JANUARY 2023'!C145</f>
        <v>0</v>
      </c>
      <c r="D1297" s="3">
        <f>'[1]JANUARY 2023'!D145</f>
        <v>750</v>
      </c>
      <c r="E1297" s="4">
        <f>'[1]JANUARY 2023'!E145</f>
        <v>0</v>
      </c>
      <c r="F1297" s="6">
        <f>'[1]JANUARY 2023'!F145</f>
        <v>0</v>
      </c>
      <c r="G1297" s="4"/>
      <c r="H1297" s="4"/>
    </row>
    <row r="1298" spans="1:8" x14ac:dyDescent="0.2">
      <c r="A1298" s="20">
        <f>'[1]JANUARY 2023'!A149</f>
        <v>44948</v>
      </c>
      <c r="B1298" s="12" t="str">
        <f>'[1]JANUARY 2023'!B149</f>
        <v>VM</v>
      </c>
      <c r="C1298" s="3">
        <f>'[1]JANUARY 2023'!C149</f>
        <v>0</v>
      </c>
      <c r="D1298" s="3">
        <f>'[1]JANUARY 2023'!D149</f>
        <v>56</v>
      </c>
      <c r="E1298" s="4">
        <f>'[1]JANUARY 2023'!E149</f>
        <v>0</v>
      </c>
      <c r="F1298" s="6">
        <f>'[1]JANUARY 2023'!F149</f>
        <v>0</v>
      </c>
      <c r="G1298" s="4"/>
      <c r="H1298" s="4"/>
    </row>
    <row r="1299" spans="1:8" x14ac:dyDescent="0.2">
      <c r="A1299" s="23">
        <f>'[1]JANUARY 2023'!A150</f>
        <v>44948</v>
      </c>
      <c r="B1299" s="12" t="str">
        <f>'[1]JANUARY 2023'!B150</f>
        <v>for me</v>
      </c>
      <c r="C1299" s="3">
        <f>'[1]JANUARY 2023'!C150</f>
        <v>0</v>
      </c>
      <c r="D1299" s="3">
        <f>'[1]JANUARY 2023'!D150</f>
        <v>4550</v>
      </c>
      <c r="E1299" s="4">
        <f>'[1]JANUARY 2023'!E150</f>
        <v>0</v>
      </c>
      <c r="F1299" s="6">
        <f>'[1]JANUARY 2023'!F150</f>
        <v>0</v>
      </c>
      <c r="G1299" s="4"/>
      <c r="H1299" s="4"/>
    </row>
    <row r="1300" spans="1:8" x14ac:dyDescent="0.2">
      <c r="A1300" s="20">
        <f>'[1]JANUARY 2023'!A151</f>
        <v>44948</v>
      </c>
      <c r="B1300" s="12" t="str">
        <f>'[1]JANUARY 2023'!B151</f>
        <v>LM</v>
      </c>
      <c r="C1300" s="3">
        <f>'[1]JANUARY 2023'!C151</f>
        <v>0</v>
      </c>
      <c r="D1300" s="3">
        <f>'[1]JANUARY 2023'!D151</f>
        <v>1564</v>
      </c>
      <c r="E1300" s="4">
        <f>'[1]JANUARY 2023'!E151</f>
        <v>0</v>
      </c>
      <c r="F1300" s="6">
        <f>'[1]JANUARY 2023'!F151</f>
        <v>0</v>
      </c>
      <c r="G1300" s="4"/>
      <c r="H1300" s="4"/>
    </row>
    <row r="1301" spans="1:8" x14ac:dyDescent="0.2">
      <c r="A1301" s="23">
        <f>'[1]JANUARY 2023'!A152</f>
        <v>44948</v>
      </c>
      <c r="B1301" s="12" t="str">
        <f>'[1]JANUARY 2023'!B152</f>
        <v>LM</v>
      </c>
      <c r="C1301" s="3">
        <f>'[1]JANUARY 2023'!C152</f>
        <v>0</v>
      </c>
      <c r="D1301" s="3">
        <f>'[1]JANUARY 2023'!D152</f>
        <v>552</v>
      </c>
      <c r="E1301" s="4">
        <f>'[1]JANUARY 2023'!E152</f>
        <v>0</v>
      </c>
      <c r="F1301" s="6">
        <f>'[1]JANUARY 2023'!F152</f>
        <v>0</v>
      </c>
      <c r="G1301" s="4"/>
      <c r="H1301" s="4"/>
    </row>
    <row r="1302" spans="1:8" x14ac:dyDescent="0.2">
      <c r="A1302" s="23">
        <f>'[1]JANUARY 2023'!A156</f>
        <v>44949</v>
      </c>
      <c r="B1302" s="12" t="str">
        <f>'[1]JANUARY 2023'!B156</f>
        <v>Andere</v>
      </c>
      <c r="C1302" s="3">
        <f>'[1]JANUARY 2023'!C156</f>
        <v>0</v>
      </c>
      <c r="D1302" s="3">
        <f>'[1]JANUARY 2023'!D156</f>
        <v>200</v>
      </c>
      <c r="E1302" s="4">
        <f>'[1]JANUARY 2023'!E156</f>
        <v>0</v>
      </c>
      <c r="F1302" s="6">
        <f>'[1]JANUARY 2023'!F156</f>
        <v>0</v>
      </c>
      <c r="G1302" s="4"/>
      <c r="H1302" s="4"/>
    </row>
    <row r="1303" spans="1:8" x14ac:dyDescent="0.2">
      <c r="A1303" s="20">
        <f>'[1]JANUARY 2023'!A157</f>
        <v>44949</v>
      </c>
      <c r="B1303" s="12" t="str">
        <f>'[1]JANUARY 2023'!B157</f>
        <v>LM</v>
      </c>
      <c r="C1303" s="3">
        <f>'[1]JANUARY 2023'!C157</f>
        <v>0</v>
      </c>
      <c r="D1303" s="3">
        <f>'[1]JANUARY 2023'!D157</f>
        <v>425</v>
      </c>
      <c r="E1303" s="4">
        <f>'[1]JANUARY 2023'!E157</f>
        <v>0</v>
      </c>
      <c r="F1303" s="6">
        <f>'[1]JANUARY 2023'!F157</f>
        <v>0</v>
      </c>
      <c r="G1303" s="4"/>
      <c r="H1303" s="4"/>
    </row>
    <row r="1304" spans="1:8" x14ac:dyDescent="0.2">
      <c r="A1304" s="20">
        <f>'[1]JANUARY 2023'!A163</f>
        <v>44950</v>
      </c>
      <c r="B1304" s="12" t="str">
        <f>'[1]JANUARY 2023'!B163</f>
        <v>Andere</v>
      </c>
      <c r="C1304" s="3">
        <f>'[1]JANUARY 2023'!C163</f>
        <v>0</v>
      </c>
      <c r="D1304" s="3">
        <f>'[1]JANUARY 2023'!D163</f>
        <v>235</v>
      </c>
      <c r="E1304" s="4">
        <f>'[1]JANUARY 2023'!E163</f>
        <v>0</v>
      </c>
      <c r="F1304" s="6">
        <f>'[1]JANUARY 2023'!F163</f>
        <v>0</v>
      </c>
      <c r="G1304" s="4"/>
      <c r="H1304" s="4"/>
    </row>
    <row r="1305" spans="1:8" x14ac:dyDescent="0.2">
      <c r="A1305" s="23">
        <f>'[1]JANUARY 2023'!A164</f>
        <v>44950</v>
      </c>
      <c r="B1305" s="12" t="str">
        <f>'[1]JANUARY 2023'!B164</f>
        <v>Refill</v>
      </c>
      <c r="C1305" s="3">
        <f>'[1]JANUARY 2023'!C164</f>
        <v>33729.03</v>
      </c>
      <c r="D1305" s="3">
        <f>'[1]JANUARY 2023'!D164</f>
        <v>0</v>
      </c>
      <c r="E1305" s="4">
        <f>'[1]JANUARY 2023'!E164</f>
        <v>0</v>
      </c>
      <c r="F1305" s="6">
        <f>'[1]JANUARY 2023'!F164</f>
        <v>0</v>
      </c>
      <c r="G1305" s="4"/>
      <c r="H1305" s="4"/>
    </row>
    <row r="1306" spans="1:8" x14ac:dyDescent="0.2">
      <c r="A1306" s="20">
        <f>'[1]JANUARY 2023'!A165</f>
        <v>44950</v>
      </c>
      <c r="B1306" s="12" t="str">
        <f>'[1]JANUARY 2023'!B165</f>
        <v>Rauchen</v>
      </c>
      <c r="C1306" s="3">
        <f>'[1]JANUARY 2023'!C165</f>
        <v>0</v>
      </c>
      <c r="D1306" s="3">
        <f>'[1]JANUARY 2023'!D165</f>
        <v>140</v>
      </c>
      <c r="E1306" s="4">
        <f>'[1]JANUARY 2023'!E165</f>
        <v>0</v>
      </c>
      <c r="F1306" s="6">
        <f>'[1]JANUARY 2023'!F165</f>
        <v>0</v>
      </c>
      <c r="G1306" s="4"/>
      <c r="H1306" s="4"/>
    </row>
    <row r="1307" spans="1:8" x14ac:dyDescent="0.2">
      <c r="A1307" s="23">
        <f>'[1]JANUARY 2023'!A166</f>
        <v>44950</v>
      </c>
      <c r="B1307" s="12" t="str">
        <f>'[1]JANUARY 2023'!B166</f>
        <v>LM</v>
      </c>
      <c r="C1307" s="3">
        <f>'[1]JANUARY 2023'!C166</f>
        <v>0</v>
      </c>
      <c r="D1307" s="3">
        <f>'[1]JANUARY 2023'!D166</f>
        <v>2049.88</v>
      </c>
      <c r="E1307" s="4">
        <f>'[1]JANUARY 2023'!E166</f>
        <v>0</v>
      </c>
      <c r="F1307" s="6">
        <f>'[1]JANUARY 2023'!F166</f>
        <v>0</v>
      </c>
      <c r="G1307" s="4"/>
      <c r="H1307" s="4"/>
    </row>
    <row r="1308" spans="1:8" x14ac:dyDescent="0.2">
      <c r="A1308" s="20">
        <f>'[1]JANUARY 2023'!A167</f>
        <v>44950</v>
      </c>
      <c r="B1308" s="12" t="str">
        <f>'[1]JANUARY 2023'!B167</f>
        <v>LM</v>
      </c>
      <c r="C1308" s="3">
        <f>'[1]JANUARY 2023'!C167</f>
        <v>0</v>
      </c>
      <c r="D1308" s="3">
        <f>'[1]JANUARY 2023'!D167</f>
        <v>0</v>
      </c>
      <c r="E1308" s="4">
        <f>'[1]JANUARY 2023'!E167</f>
        <v>0</v>
      </c>
      <c r="F1308" s="6">
        <f>'[1]JANUARY 2023'!F167</f>
        <v>200</v>
      </c>
      <c r="G1308" s="4"/>
      <c r="H1308" s="4"/>
    </row>
    <row r="1309" spans="1:8" x14ac:dyDescent="0.2">
      <c r="A1309" s="20">
        <f>'[1]JANUARY 2023'!A177</f>
        <v>44952</v>
      </c>
      <c r="B1309" s="12" t="str">
        <f>'[1]JANUARY 2023'!B177</f>
        <v>LM</v>
      </c>
      <c r="C1309" s="3">
        <f>'[1]JANUARY 2023'!C177</f>
        <v>0</v>
      </c>
      <c r="D1309" s="3">
        <f>'[1]JANUARY 2023'!D177</f>
        <v>199.98</v>
      </c>
      <c r="E1309" s="4">
        <f>'[1]JANUARY 2023'!E177</f>
        <v>0</v>
      </c>
      <c r="F1309" s="6">
        <f>'[1]JANUARY 2023'!F177</f>
        <v>0</v>
      </c>
      <c r="G1309" s="4"/>
      <c r="H1309" s="4"/>
    </row>
    <row r="1310" spans="1:8" x14ac:dyDescent="0.2">
      <c r="A1310" s="23">
        <f>'[1]JANUARY 2023'!A184</f>
        <v>44953</v>
      </c>
      <c r="B1310" s="12" t="str">
        <f>'[1]JANUARY 2023'!B184</f>
        <v>Rauchen</v>
      </c>
      <c r="C1310" s="3">
        <f>'[1]JANUARY 2023'!C184</f>
        <v>0</v>
      </c>
      <c r="D1310" s="3">
        <f>'[1]JANUARY 2023'!D184</f>
        <v>140</v>
      </c>
      <c r="E1310" s="4">
        <f>'[1]JANUARY 2023'!E184</f>
        <v>0</v>
      </c>
      <c r="F1310" s="6">
        <f>'[1]JANUARY 2023'!F184</f>
        <v>0</v>
      </c>
      <c r="G1310" s="4"/>
      <c r="H1310" s="4"/>
    </row>
    <row r="1311" spans="1:8" x14ac:dyDescent="0.2">
      <c r="A1311" s="20">
        <f>'[1]JANUARY 2023'!A185</f>
        <v>44953</v>
      </c>
      <c r="B1311" s="12" t="str">
        <f>'[1]JANUARY 2023'!B185</f>
        <v>VM</v>
      </c>
      <c r="C1311" s="3">
        <f>'[1]JANUARY 2023'!C185</f>
        <v>0</v>
      </c>
      <c r="D1311" s="3">
        <f>'[1]JANUARY 2023'!D185</f>
        <v>112</v>
      </c>
      <c r="E1311" s="4">
        <f>'[1]JANUARY 2023'!E185</f>
        <v>0</v>
      </c>
      <c r="F1311" s="6">
        <f>'[1]JANUARY 2023'!F185</f>
        <v>0</v>
      </c>
      <c r="G1311" s="4"/>
      <c r="H1311" s="4"/>
    </row>
    <row r="1312" spans="1:8" x14ac:dyDescent="0.2">
      <c r="A1312" s="23">
        <f>'[1]JANUARY 2023'!A186</f>
        <v>44953</v>
      </c>
      <c r="B1312" s="12" t="str">
        <f>'[1]JANUARY 2023'!B186</f>
        <v>LM</v>
      </c>
      <c r="C1312" s="3">
        <f>'[1]JANUARY 2023'!C186</f>
        <v>0</v>
      </c>
      <c r="D1312" s="3">
        <f>'[1]JANUARY 2023'!D186</f>
        <v>1275.1400000000001</v>
      </c>
      <c r="E1312" s="4">
        <f>'[1]JANUARY 2023'!E186</f>
        <v>0</v>
      </c>
      <c r="F1312" s="6">
        <f>'[1]JANUARY 2023'!F186</f>
        <v>0</v>
      </c>
      <c r="G1312" s="4"/>
      <c r="H1312" s="4"/>
    </row>
    <row r="1313" spans="1:8" x14ac:dyDescent="0.2">
      <c r="A1313" s="20">
        <f>'[1]JANUARY 2023'!A191</f>
        <v>44954</v>
      </c>
      <c r="B1313" s="12" t="str">
        <f>'[1]JANUARY 2023'!B191</f>
        <v>Kleidung</v>
      </c>
      <c r="C1313" s="3">
        <f>'[1]JANUARY 2023'!C191</f>
        <v>0</v>
      </c>
      <c r="D1313" s="3">
        <f>'[1]JANUARY 2023'!D191</f>
        <v>908</v>
      </c>
      <c r="E1313" s="4">
        <f>'[1]JANUARY 2023'!E191</f>
        <v>0</v>
      </c>
      <c r="F1313" s="6">
        <f>'[1]JANUARY 2023'!F191</f>
        <v>0</v>
      </c>
      <c r="G1313" s="4"/>
      <c r="H1313" s="4"/>
    </row>
    <row r="1314" spans="1:8" x14ac:dyDescent="0.2">
      <c r="A1314" s="23">
        <f>'[1]JANUARY 2023'!A198</f>
        <v>44955</v>
      </c>
      <c r="B1314" s="12" t="str">
        <f>'[1]JANUARY 2023'!B198</f>
        <v>LM</v>
      </c>
      <c r="C1314" s="3">
        <f>'[1]JANUARY 2023'!C198</f>
        <v>0</v>
      </c>
      <c r="D1314" s="3">
        <f>'[1]JANUARY 2023'!D198</f>
        <v>478.69</v>
      </c>
      <c r="E1314" s="4">
        <f>'[1]JANUARY 2023'!E198</f>
        <v>0</v>
      </c>
      <c r="F1314" s="6">
        <f>'[1]JANUARY 2023'!F198</f>
        <v>0</v>
      </c>
      <c r="G1314" s="4"/>
      <c r="H1314" s="4"/>
    </row>
    <row r="1315" spans="1:8" x14ac:dyDescent="0.2">
      <c r="A1315" s="20">
        <f>'[1]JANUARY 2023'!A199</f>
        <v>44955</v>
      </c>
      <c r="B1315" s="12" t="str">
        <f>'[1]JANUARY 2023'!B199</f>
        <v>VM</v>
      </c>
      <c r="C1315" s="3">
        <f>'[1]JANUARY 2023'!C199</f>
        <v>0</v>
      </c>
      <c r="D1315" s="3">
        <f>'[1]JANUARY 2023'!D199</f>
        <v>112</v>
      </c>
      <c r="E1315" s="4">
        <f>'[1]JANUARY 2023'!E199</f>
        <v>0</v>
      </c>
      <c r="F1315" s="6">
        <f>'[1]JANUARY 2023'!F199</f>
        <v>0</v>
      </c>
      <c r="G1315" s="4"/>
      <c r="H1315" s="4"/>
    </row>
    <row r="1316" spans="1:8" x14ac:dyDescent="0.2">
      <c r="A1316" s="23">
        <f>'[1]JANUARY 2023'!A200</f>
        <v>44955</v>
      </c>
      <c r="B1316" s="12" t="str">
        <f>'[1]JANUARY 2023'!B200</f>
        <v>for me</v>
      </c>
      <c r="C1316" s="3">
        <f>'[1]JANUARY 2023'!C200</f>
        <v>0</v>
      </c>
      <c r="D1316" s="3">
        <f>'[1]JANUARY 2023'!D200</f>
        <v>1550</v>
      </c>
      <c r="E1316" s="4">
        <f>'[1]JANUARY 2023'!E200</f>
        <v>0</v>
      </c>
      <c r="F1316" s="6">
        <f>'[1]JANUARY 2023'!F200</f>
        <v>0</v>
      </c>
      <c r="G1316" s="4"/>
      <c r="H1316" s="4"/>
    </row>
    <row r="1317" spans="1:8" x14ac:dyDescent="0.2">
      <c r="A1317" s="20">
        <f>'[1]JANUARY 2023'!A201</f>
        <v>44955</v>
      </c>
      <c r="B1317" s="12" t="str">
        <f>'[1]JANUARY 2023'!B201</f>
        <v>VM</v>
      </c>
      <c r="C1317" s="3">
        <f>'[1]JANUARY 2023'!C201</f>
        <v>0</v>
      </c>
      <c r="D1317" s="3">
        <f>'[1]JANUARY 2023'!D201</f>
        <v>519</v>
      </c>
      <c r="E1317" s="4">
        <f>'[1]JANUARY 2023'!E201</f>
        <v>0</v>
      </c>
      <c r="F1317" s="6">
        <f>'[1]JANUARY 2023'!F201</f>
        <v>0</v>
      </c>
      <c r="G1317" s="4"/>
      <c r="H1317" s="4"/>
    </row>
    <row r="1318" spans="1:8" x14ac:dyDescent="0.2">
      <c r="A1318" s="23">
        <f>'[1]JANUARY 2023'!A202</f>
        <v>44955</v>
      </c>
      <c r="B1318" s="12" t="str">
        <f>'[1]JANUARY 2023'!B202</f>
        <v>Party</v>
      </c>
      <c r="C1318" s="3">
        <f>'[1]JANUARY 2023'!C202</f>
        <v>0</v>
      </c>
      <c r="D1318" s="3">
        <f>'[1]JANUARY 2023'!D202</f>
        <v>978.5</v>
      </c>
      <c r="E1318" s="4">
        <f>'[1]JANUARY 2023'!E202</f>
        <v>0</v>
      </c>
      <c r="F1318" s="6">
        <f>'[1]JANUARY 2023'!F202</f>
        <v>0</v>
      </c>
      <c r="G1318" s="4"/>
      <c r="H1318" s="4"/>
    </row>
    <row r="1319" spans="1:8" x14ac:dyDescent="0.2">
      <c r="A1319" s="20">
        <f>'[1]JANUARY 2023'!A203</f>
        <v>44955</v>
      </c>
      <c r="B1319" s="12" t="str">
        <f>'[1]JANUARY 2023'!B203</f>
        <v>VM</v>
      </c>
      <c r="C1319" s="3">
        <f>'[1]JANUARY 2023'!C203</f>
        <v>0</v>
      </c>
      <c r="D1319" s="3">
        <f>'[1]JANUARY 2023'!D203</f>
        <v>930</v>
      </c>
      <c r="E1319" s="4">
        <f>'[1]JANUARY 2023'!E203</f>
        <v>0</v>
      </c>
      <c r="F1319" s="6">
        <f>'[1]JANUARY 2023'!F203</f>
        <v>0</v>
      </c>
      <c r="G1319" s="4"/>
      <c r="H1319" s="4"/>
    </row>
    <row r="1320" spans="1:8" x14ac:dyDescent="0.2">
      <c r="A1320" s="20">
        <f>'[1]JANUARY 2023'!A205</f>
        <v>44956</v>
      </c>
      <c r="B1320" s="12" t="str">
        <f>'[1]JANUARY 2023'!B205</f>
        <v>VM</v>
      </c>
      <c r="C1320" s="3">
        <f>'[1]JANUARY 2023'!C205</f>
        <v>0</v>
      </c>
      <c r="D1320" s="3">
        <f>'[1]JANUARY 2023'!D205</f>
        <v>271</v>
      </c>
      <c r="E1320" s="4">
        <f>'[1]JANUARY 2023'!E205</f>
        <v>0</v>
      </c>
      <c r="F1320" s="6">
        <f>'[1]JANUARY 2023'!F205</f>
        <v>0</v>
      </c>
      <c r="G1320" s="4"/>
      <c r="H1320" s="4"/>
    </row>
    <row r="1321" spans="1:8" x14ac:dyDescent="0.2">
      <c r="A1321" s="23">
        <f>'[1]JANUARY 2023'!A206</f>
        <v>44956</v>
      </c>
      <c r="B1321" s="12" t="str">
        <f>'[1]JANUARY 2023'!B206</f>
        <v>VM</v>
      </c>
      <c r="C1321" s="3">
        <f>'[1]JANUARY 2023'!C206</f>
        <v>0</v>
      </c>
      <c r="D1321" s="3">
        <f>'[1]JANUARY 2023'!D206</f>
        <v>112</v>
      </c>
      <c r="E1321" s="4">
        <f>'[1]JANUARY 2023'!E206</f>
        <v>0</v>
      </c>
      <c r="F1321" s="6">
        <f>'[1]JANUARY 2023'!F206</f>
        <v>0</v>
      </c>
      <c r="G1321" s="4"/>
      <c r="H1321" s="4"/>
    </row>
    <row r="1322" spans="1:8" x14ac:dyDescent="0.2">
      <c r="A1322" s="20">
        <f>'[1]JANUARY 2023'!A207</f>
        <v>44956</v>
      </c>
      <c r="B1322" s="12" t="str">
        <f>'[1]JANUARY 2023'!B207</f>
        <v>Rauchen</v>
      </c>
      <c r="C1322" s="3">
        <f>'[1]JANUARY 2023'!C207</f>
        <v>0</v>
      </c>
      <c r="D1322" s="3">
        <f>'[1]JANUARY 2023'!D207</f>
        <v>140</v>
      </c>
      <c r="E1322" s="4">
        <f>'[1]JANUARY 2023'!E207</f>
        <v>0</v>
      </c>
      <c r="F1322" s="6">
        <f>'[1]JANUARY 2023'!F207</f>
        <v>0</v>
      </c>
      <c r="G1322" s="4"/>
      <c r="H1322" s="4"/>
    </row>
    <row r="1323" spans="1:8" x14ac:dyDescent="0.2">
      <c r="A1323" s="23">
        <f>'[1]JANUARY 2023'!A208</f>
        <v>44956</v>
      </c>
      <c r="B1323" s="12" t="str">
        <f>'[1]JANUARY 2023'!B208</f>
        <v>LM</v>
      </c>
      <c r="C1323" s="3">
        <f>'[1]JANUARY 2023'!C208</f>
        <v>0</v>
      </c>
      <c r="D1323" s="3">
        <f>'[1]JANUARY 2023'!D208</f>
        <v>411</v>
      </c>
      <c r="E1323" s="4">
        <f>'[1]JANUARY 2023'!E208</f>
        <v>0</v>
      </c>
      <c r="F1323" s="6">
        <f>'[1]JANUARY 2023'!F208</f>
        <v>0</v>
      </c>
      <c r="G1323" s="4"/>
      <c r="H1323" s="4"/>
    </row>
    <row r="1324" spans="1:8" x14ac:dyDescent="0.2">
      <c r="A1324" s="20">
        <f>'[1]JANUARY 2023'!A209</f>
        <v>44956</v>
      </c>
      <c r="B1324" s="12" t="str">
        <f>'[1]JANUARY 2023'!B209</f>
        <v>none</v>
      </c>
      <c r="C1324" s="3">
        <f>'[1]JANUARY 2023'!C209</f>
        <v>0</v>
      </c>
      <c r="D1324" s="3">
        <f>'[1]JANUARY 2023'!D209</f>
        <v>0</v>
      </c>
      <c r="E1324" s="4">
        <f>'[1]JANUARY 2023'!E209</f>
        <v>300</v>
      </c>
      <c r="F1324" s="6">
        <f>'[1]JANUARY 2023'!F209</f>
        <v>0</v>
      </c>
      <c r="G1324" s="4"/>
      <c r="H1324" s="4"/>
    </row>
    <row r="1325" spans="1:8" x14ac:dyDescent="0.2">
      <c r="A1325" s="23">
        <f>'[1]JANUARY 2023'!A212</f>
        <v>44957</v>
      </c>
      <c r="B1325" s="12" t="str">
        <f>'[1]JANUARY 2023'!B212</f>
        <v>LM</v>
      </c>
      <c r="C1325" s="3">
        <f>'[1]JANUARY 2023'!C212</f>
        <v>0</v>
      </c>
      <c r="D1325" s="3">
        <f>'[1]JANUARY 2023'!D212</f>
        <v>590</v>
      </c>
      <c r="E1325" s="4">
        <f>'[1]JANUARY 2023'!E212</f>
        <v>0</v>
      </c>
      <c r="F1325" s="6">
        <f>'[1]JANUARY 2023'!F212</f>
        <v>0</v>
      </c>
      <c r="G1325" s="4"/>
      <c r="H1325" s="4"/>
    </row>
    <row r="1326" spans="1:8" x14ac:dyDescent="0.2">
      <c r="A1326" s="20">
        <f>'[1]JANUARY 2023'!A213</f>
        <v>44957</v>
      </c>
      <c r="B1326" s="12" t="str">
        <f>'[1]JANUARY 2023'!B213</f>
        <v>Refill</v>
      </c>
      <c r="C1326" s="3">
        <f>'[1]JANUARY 2023'!C213</f>
        <v>2961.99</v>
      </c>
      <c r="D1326" s="3">
        <f>'[1]JANUARY 2023'!D213</f>
        <v>0</v>
      </c>
      <c r="E1326" s="4">
        <f>'[1]JANUARY 2023'!E213</f>
        <v>0</v>
      </c>
      <c r="F1326" s="6">
        <f>'[1]JANUARY 2023'!F213</f>
        <v>0</v>
      </c>
      <c r="G1326" s="4"/>
      <c r="H1326" s="4"/>
    </row>
    <row r="1327" spans="1:8" x14ac:dyDescent="0.2">
      <c r="A1327" s="20">
        <f>'[1]FEBRUARY 2023'!A2</f>
        <v>44958</v>
      </c>
      <c r="B1327" s="12" t="str">
        <f>'[1]FEBRUARY 2023'!B2</f>
        <v>Education</v>
      </c>
      <c r="C1327" s="3">
        <f>'[1]FEBRUARY 2023'!C2</f>
        <v>0</v>
      </c>
      <c r="D1327" s="3">
        <f>'[1]FEBRUARY 2023'!D2</f>
        <v>429</v>
      </c>
      <c r="E1327" s="4">
        <f>'[1]FEBRUARY 2023'!E2</f>
        <v>0</v>
      </c>
      <c r="F1327" s="6">
        <f>'[1]FEBRUARY 2023'!F2</f>
        <v>0</v>
      </c>
      <c r="G1327" s="4"/>
      <c r="H1327" s="4"/>
    </row>
    <row r="1328" spans="1:8" x14ac:dyDescent="0.2">
      <c r="A1328" s="23">
        <f>'[1]FEBRUARY 2023'!A3</f>
        <v>44958</v>
      </c>
      <c r="B1328" s="12" t="str">
        <f>'[1]FEBRUARY 2023'!B3</f>
        <v>VM</v>
      </c>
      <c r="C1328" s="3">
        <f>'[1]FEBRUARY 2023'!C3</f>
        <v>0</v>
      </c>
      <c r="D1328" s="3">
        <f>'[1]FEBRUARY 2023'!D3</f>
        <v>112</v>
      </c>
      <c r="E1328" s="4">
        <f>'[1]FEBRUARY 2023'!E3</f>
        <v>0</v>
      </c>
      <c r="F1328" s="6">
        <f>'[1]FEBRUARY 2023'!F3</f>
        <v>0</v>
      </c>
      <c r="G1328" s="4"/>
      <c r="H1328" s="4"/>
    </row>
    <row r="1329" spans="1:8" x14ac:dyDescent="0.2">
      <c r="A1329" s="20">
        <f>'[1]FEBRUARY 2023'!A4</f>
        <v>44958</v>
      </c>
      <c r="B1329" s="12" t="str">
        <f>'[1]FEBRUARY 2023'!B4</f>
        <v>LM</v>
      </c>
      <c r="C1329" s="3">
        <f>'[1]FEBRUARY 2023'!C4</f>
        <v>0</v>
      </c>
      <c r="D1329" s="3">
        <f>'[1]FEBRUARY 2023'!D4</f>
        <v>423.48</v>
      </c>
      <c r="E1329" s="4">
        <f>'[1]FEBRUARY 2023'!E4</f>
        <v>0</v>
      </c>
      <c r="F1329" s="6">
        <f>'[1]FEBRUARY 2023'!F4</f>
        <v>200</v>
      </c>
      <c r="G1329" s="4"/>
      <c r="H1329" s="4"/>
    </row>
    <row r="1330" spans="1:8" x14ac:dyDescent="0.2">
      <c r="A1330" s="23">
        <f>'[1]FEBRUARY 2023'!A5</f>
        <v>44958</v>
      </c>
      <c r="B1330" s="12" t="str">
        <f>'[1]FEBRUARY 2023'!B5</f>
        <v>LM</v>
      </c>
      <c r="C1330" s="3">
        <f>'[1]FEBRUARY 2023'!C5</f>
        <v>0</v>
      </c>
      <c r="D1330" s="3">
        <f>'[1]FEBRUARY 2023'!D5</f>
        <v>439</v>
      </c>
      <c r="E1330" s="4">
        <f>'[1]FEBRUARY 2023'!E5</f>
        <v>0</v>
      </c>
      <c r="F1330" s="6">
        <f>'[1]FEBRUARY 2023'!F5</f>
        <v>0</v>
      </c>
      <c r="G1330" s="4"/>
      <c r="H1330" s="4"/>
    </row>
    <row r="1331" spans="1:8" x14ac:dyDescent="0.2">
      <c r="A1331" s="23">
        <f>'[1]FEBRUARY 2023'!A9</f>
        <v>44959</v>
      </c>
      <c r="B1331" s="12" t="str">
        <f>'[1]FEBRUARY 2023'!B9</f>
        <v>Andere</v>
      </c>
      <c r="C1331" s="3">
        <f>'[1]FEBRUARY 2023'!C9</f>
        <v>0</v>
      </c>
      <c r="D1331" s="3">
        <f>'[1]FEBRUARY 2023'!D9</f>
        <v>299</v>
      </c>
      <c r="E1331" s="4">
        <f>'[1]FEBRUARY 2023'!E9</f>
        <v>0</v>
      </c>
      <c r="F1331" s="6">
        <f>'[1]FEBRUARY 2023'!F9</f>
        <v>0</v>
      </c>
      <c r="G1331" s="4"/>
      <c r="H1331" s="4"/>
    </row>
    <row r="1332" spans="1:8" x14ac:dyDescent="0.2">
      <c r="A1332" s="20">
        <f>'[1]FEBRUARY 2023'!A10</f>
        <v>44959</v>
      </c>
      <c r="B1332" s="12" t="str">
        <f>'[1]FEBRUARY 2023'!B10</f>
        <v>VM</v>
      </c>
      <c r="C1332" s="3">
        <f>'[1]FEBRUARY 2023'!C10</f>
        <v>0</v>
      </c>
      <c r="D1332" s="3">
        <f>'[1]FEBRUARY 2023'!D10</f>
        <v>404</v>
      </c>
      <c r="E1332" s="4">
        <f>'[1]FEBRUARY 2023'!E10</f>
        <v>0</v>
      </c>
      <c r="F1332" s="6">
        <f>'[1]FEBRUARY 2023'!F10</f>
        <v>0</v>
      </c>
      <c r="G1332" s="4"/>
      <c r="H1332" s="4"/>
    </row>
    <row r="1333" spans="1:8" x14ac:dyDescent="0.2">
      <c r="A1333" s="23">
        <f>'[1]FEBRUARY 2023'!A11</f>
        <v>44959</v>
      </c>
      <c r="B1333" s="12" t="str">
        <f>'[1]FEBRUARY 2023'!B11</f>
        <v>LM</v>
      </c>
      <c r="C1333" s="3">
        <f>'[1]FEBRUARY 2023'!C11</f>
        <v>0</v>
      </c>
      <c r="D1333" s="3">
        <f>'[1]FEBRUARY 2023'!D11</f>
        <v>646</v>
      </c>
      <c r="E1333" s="4">
        <f>'[1]FEBRUARY 2023'!E11</f>
        <v>0</v>
      </c>
      <c r="F1333" s="6">
        <f>'[1]FEBRUARY 2023'!F11</f>
        <v>0</v>
      </c>
      <c r="G1333" s="4"/>
      <c r="H1333" s="4"/>
    </row>
    <row r="1334" spans="1:8" x14ac:dyDescent="0.2">
      <c r="A1334" s="20">
        <f>'[1]FEBRUARY 2023'!A12</f>
        <v>44959</v>
      </c>
      <c r="B1334" s="12" t="str">
        <f>'[1]FEBRUARY 2023'!B12</f>
        <v>for me</v>
      </c>
      <c r="C1334" s="3">
        <f>'[1]FEBRUARY 2023'!C12</f>
        <v>0</v>
      </c>
      <c r="D1334" s="3">
        <f>'[1]FEBRUARY 2023'!D12</f>
        <v>0</v>
      </c>
      <c r="E1334" s="4">
        <f>'[1]FEBRUARY 2023'!E12</f>
        <v>0</v>
      </c>
      <c r="F1334" s="6">
        <f>'[1]FEBRUARY 2023'!F12</f>
        <v>1000</v>
      </c>
      <c r="G1334" s="4"/>
      <c r="H1334" s="4"/>
    </row>
    <row r="1335" spans="1:8" x14ac:dyDescent="0.2">
      <c r="A1335" s="20">
        <f>'[1]FEBRUARY 2023'!A16</f>
        <v>44960</v>
      </c>
      <c r="B1335" s="12" t="str">
        <f>'[1]FEBRUARY 2023'!B16</f>
        <v>LM</v>
      </c>
      <c r="C1335" s="3">
        <f>'[1]FEBRUARY 2023'!C16</f>
        <v>0</v>
      </c>
      <c r="D1335" s="3">
        <f>'[1]FEBRUARY 2023'!D16</f>
        <v>1400</v>
      </c>
      <c r="E1335" s="4">
        <f>'[1]FEBRUARY 2023'!E16</f>
        <v>0</v>
      </c>
      <c r="F1335" s="6">
        <f>'[1]FEBRUARY 2023'!F16</f>
        <v>0</v>
      </c>
      <c r="G1335" s="4"/>
      <c r="H1335" s="4"/>
    </row>
    <row r="1336" spans="1:8" x14ac:dyDescent="0.2">
      <c r="A1336" s="23">
        <f>'[1]FEBRUARY 2023'!A23</f>
        <v>44961</v>
      </c>
      <c r="B1336" s="12" t="str">
        <f>'[1]FEBRUARY 2023'!B23</f>
        <v>VM</v>
      </c>
      <c r="C1336" s="3">
        <f>'[1]FEBRUARY 2023'!C23</f>
        <v>0</v>
      </c>
      <c r="D1336" s="3">
        <f>'[1]FEBRUARY 2023'!D23</f>
        <v>56</v>
      </c>
      <c r="E1336" s="4">
        <f>'[1]FEBRUARY 2023'!E23</f>
        <v>0</v>
      </c>
      <c r="F1336" s="6">
        <f>'[1]FEBRUARY 2023'!F23</f>
        <v>0</v>
      </c>
      <c r="G1336" s="4"/>
      <c r="H1336" s="4"/>
    </row>
    <row r="1337" spans="1:8" x14ac:dyDescent="0.2">
      <c r="A1337" s="20">
        <f>'[1]FEBRUARY 2023'!A24</f>
        <v>44961</v>
      </c>
      <c r="B1337" s="12" t="str">
        <f>'[1]FEBRUARY 2023'!B24</f>
        <v>Andere</v>
      </c>
      <c r="C1337" s="3">
        <f>'[1]FEBRUARY 2023'!C24</f>
        <v>0</v>
      </c>
      <c r="D1337" s="3">
        <f>'[1]FEBRUARY 2023'!D24</f>
        <v>600</v>
      </c>
      <c r="E1337" s="4">
        <f>'[1]FEBRUARY 2023'!E24</f>
        <v>0</v>
      </c>
      <c r="F1337" s="6">
        <f>'[1]FEBRUARY 2023'!F24</f>
        <v>0</v>
      </c>
      <c r="G1337" s="4"/>
      <c r="H1337" s="4"/>
    </row>
    <row r="1338" spans="1:8" x14ac:dyDescent="0.2">
      <c r="A1338" s="23">
        <f>'[1]FEBRUARY 2023'!A25</f>
        <v>44961</v>
      </c>
      <c r="B1338" s="12" t="str">
        <f>'[1]FEBRUARY 2023'!B25</f>
        <v>Rauchen</v>
      </c>
      <c r="C1338" s="3">
        <f>'[1]FEBRUARY 2023'!C25</f>
        <v>0</v>
      </c>
      <c r="D1338" s="3">
        <f>'[1]FEBRUARY 2023'!D25</f>
        <v>140</v>
      </c>
      <c r="E1338" s="4">
        <f>'[1]FEBRUARY 2023'!E25</f>
        <v>0</v>
      </c>
      <c r="F1338" s="6">
        <f>'[1]FEBRUARY 2023'!F25</f>
        <v>0</v>
      </c>
      <c r="G1338" s="4"/>
      <c r="H1338" s="4"/>
    </row>
    <row r="1339" spans="1:8" x14ac:dyDescent="0.2">
      <c r="A1339" s="20">
        <f>'[1]FEBRUARY 2023'!A26</f>
        <v>44961</v>
      </c>
      <c r="B1339" s="12" t="str">
        <f>'[1]FEBRUARY 2023'!B26</f>
        <v>LM</v>
      </c>
      <c r="C1339" s="3">
        <f>'[1]FEBRUARY 2023'!C26</f>
        <v>0</v>
      </c>
      <c r="D1339" s="3">
        <f>'[1]FEBRUARY 2023'!D26</f>
        <v>39.99</v>
      </c>
      <c r="E1339" s="4">
        <f>'[1]FEBRUARY 2023'!E26</f>
        <v>0</v>
      </c>
      <c r="F1339" s="6">
        <f>'[1]FEBRUARY 2023'!F26</f>
        <v>0</v>
      </c>
      <c r="G1339" s="4"/>
      <c r="H1339" s="4"/>
    </row>
    <row r="1340" spans="1:8" x14ac:dyDescent="0.2">
      <c r="A1340" s="23">
        <f>'[1]FEBRUARY 2023'!A27</f>
        <v>44961</v>
      </c>
      <c r="B1340" s="12" t="str">
        <f>'[1]FEBRUARY 2023'!B27</f>
        <v>LM</v>
      </c>
      <c r="C1340" s="3">
        <f>'[1]FEBRUARY 2023'!C27</f>
        <v>0</v>
      </c>
      <c r="D1340" s="3">
        <f>'[1]FEBRUARY 2023'!D27</f>
        <v>354.6</v>
      </c>
      <c r="E1340" s="4">
        <f>'[1]FEBRUARY 2023'!E27</f>
        <v>0</v>
      </c>
      <c r="F1340" s="6">
        <f>'[1]FEBRUARY 2023'!F27</f>
        <v>365</v>
      </c>
      <c r="G1340" s="4"/>
      <c r="H1340" s="4"/>
    </row>
    <row r="1341" spans="1:8" x14ac:dyDescent="0.2">
      <c r="A1341" s="20">
        <f>'[1]FEBRUARY 2023'!A30</f>
        <v>44962</v>
      </c>
      <c r="B1341" s="12" t="str">
        <f>'[1]FEBRUARY 2023'!B30</f>
        <v>VM</v>
      </c>
      <c r="C1341" s="3">
        <f>'[1]FEBRUARY 2023'!C30</f>
        <v>0</v>
      </c>
      <c r="D1341" s="3">
        <f>'[1]FEBRUARY 2023'!D30</f>
        <v>470</v>
      </c>
      <c r="E1341" s="4">
        <f>'[1]FEBRUARY 2023'!E30</f>
        <v>0</v>
      </c>
      <c r="F1341" s="6">
        <f>'[1]FEBRUARY 2023'!F30</f>
        <v>0</v>
      </c>
      <c r="G1341" s="4"/>
      <c r="H1341" s="4"/>
    </row>
    <row r="1342" spans="1:8" x14ac:dyDescent="0.2">
      <c r="A1342" s="23">
        <f>'[1]FEBRUARY 2023'!A31</f>
        <v>44962</v>
      </c>
      <c r="B1342" s="12" t="str">
        <f>'[1]FEBRUARY 2023'!B31</f>
        <v>VM</v>
      </c>
      <c r="C1342" s="3">
        <f>'[1]FEBRUARY 2023'!C31</f>
        <v>0</v>
      </c>
      <c r="D1342" s="3">
        <f>'[1]FEBRUARY 2023'!D31</f>
        <v>112</v>
      </c>
      <c r="E1342" s="4">
        <f>'[1]FEBRUARY 2023'!E31</f>
        <v>0</v>
      </c>
      <c r="F1342" s="6">
        <f>'[1]FEBRUARY 2023'!F31</f>
        <v>0</v>
      </c>
      <c r="G1342" s="4"/>
      <c r="H1342" s="4"/>
    </row>
    <row r="1343" spans="1:8" x14ac:dyDescent="0.2">
      <c r="A1343" s="20">
        <f>'[1]FEBRUARY 2023'!A32</f>
        <v>44962</v>
      </c>
      <c r="B1343" s="12" t="str">
        <f>'[1]FEBRUARY 2023'!B32</f>
        <v>LM</v>
      </c>
      <c r="C1343" s="3">
        <f>'[1]FEBRUARY 2023'!C32</f>
        <v>0</v>
      </c>
      <c r="D1343" s="3">
        <f>'[1]FEBRUARY 2023'!D32</f>
        <v>365.87</v>
      </c>
      <c r="E1343" s="4">
        <f>'[1]FEBRUARY 2023'!E32</f>
        <v>0</v>
      </c>
      <c r="F1343" s="6">
        <f>'[1]FEBRUARY 2023'!F32</f>
        <v>0</v>
      </c>
      <c r="G1343" s="4"/>
      <c r="H1343" s="4"/>
    </row>
    <row r="1344" spans="1:8" x14ac:dyDescent="0.2">
      <c r="A1344" s="23">
        <f>'[1]FEBRUARY 2023'!A37</f>
        <v>44963</v>
      </c>
      <c r="B1344" s="12" t="str">
        <f>'[1]FEBRUARY 2023'!B37</f>
        <v>LM</v>
      </c>
      <c r="C1344" s="3">
        <f>'[1]FEBRUARY 2023'!C37</f>
        <v>0</v>
      </c>
      <c r="D1344" s="3">
        <f>'[1]FEBRUARY 2023'!D37</f>
        <v>1446.28</v>
      </c>
      <c r="E1344" s="4">
        <f>'[1]FEBRUARY 2023'!E37</f>
        <v>0</v>
      </c>
      <c r="F1344" s="6">
        <f>'[1]FEBRUARY 2023'!F37</f>
        <v>0</v>
      </c>
      <c r="G1344" s="4"/>
      <c r="H1344" s="4"/>
    </row>
    <row r="1345" spans="1:8" x14ac:dyDescent="0.2">
      <c r="A1345" s="20">
        <f>'[1]FEBRUARY 2023'!A38</f>
        <v>44963</v>
      </c>
      <c r="B1345" s="12" t="str">
        <f>'[1]FEBRUARY 2023'!B38</f>
        <v>Rauchen</v>
      </c>
      <c r="C1345" s="3">
        <f>'[1]FEBRUARY 2023'!C38</f>
        <v>0</v>
      </c>
      <c r="D1345" s="3">
        <f>'[1]FEBRUARY 2023'!D38</f>
        <v>140</v>
      </c>
      <c r="E1345" s="4">
        <f>'[1]FEBRUARY 2023'!E38</f>
        <v>0</v>
      </c>
      <c r="F1345" s="6">
        <f>'[1]FEBRUARY 2023'!F38</f>
        <v>0</v>
      </c>
      <c r="G1345" s="4"/>
      <c r="H1345" s="4"/>
    </row>
    <row r="1346" spans="1:8" x14ac:dyDescent="0.2">
      <c r="A1346" s="23">
        <f>'[1]FEBRUARY 2023'!A39</f>
        <v>44963</v>
      </c>
      <c r="B1346" s="12" t="str">
        <f>'[1]FEBRUARY 2023'!B39</f>
        <v>rent</v>
      </c>
      <c r="C1346" s="3">
        <f>'[1]FEBRUARY 2023'!C39</f>
        <v>0</v>
      </c>
      <c r="D1346" s="3">
        <f>'[1]FEBRUARY 2023'!D39</f>
        <v>25000</v>
      </c>
      <c r="E1346" s="4">
        <f>'[1]FEBRUARY 2023'!E39</f>
        <v>0</v>
      </c>
      <c r="F1346" s="6">
        <f>'[1]FEBRUARY 2023'!F39</f>
        <v>0</v>
      </c>
      <c r="G1346" s="4"/>
      <c r="H1346" s="4"/>
    </row>
    <row r="1347" spans="1:8" x14ac:dyDescent="0.2">
      <c r="A1347" s="20">
        <f>'[1]FEBRUARY 2023'!A40</f>
        <v>44963</v>
      </c>
      <c r="B1347" s="12" t="str">
        <f>'[1]FEBRUARY 2023'!B40</f>
        <v>VM</v>
      </c>
      <c r="C1347" s="3">
        <f>'[1]FEBRUARY 2023'!C40</f>
        <v>1</v>
      </c>
      <c r="D1347" s="3">
        <f>'[1]FEBRUARY 2023'!D40</f>
        <v>0</v>
      </c>
      <c r="E1347" s="4">
        <f>'[1]FEBRUARY 2023'!E40</f>
        <v>0</v>
      </c>
      <c r="F1347" s="6">
        <f>'[1]FEBRUARY 2023'!F40</f>
        <v>400</v>
      </c>
      <c r="G1347" s="4"/>
      <c r="H1347" s="4"/>
    </row>
    <row r="1348" spans="1:8" x14ac:dyDescent="0.2">
      <c r="A1348" s="20">
        <f>'[1]FEBRUARY 2023'!A44</f>
        <v>44964</v>
      </c>
      <c r="B1348" s="12" t="str">
        <f>'[1]FEBRUARY 2023'!B44</f>
        <v>Frauen</v>
      </c>
      <c r="C1348" s="3">
        <f>'[1]FEBRUARY 2023'!C44</f>
        <v>0</v>
      </c>
      <c r="D1348" s="3">
        <f>'[1]FEBRUARY 2023'!D44</f>
        <v>1266</v>
      </c>
      <c r="E1348" s="4">
        <f>'[1]FEBRUARY 2023'!E44</f>
        <v>0</v>
      </c>
      <c r="F1348" s="6">
        <f>'[1]FEBRUARY 2023'!F44</f>
        <v>0</v>
      </c>
      <c r="G1348" s="4"/>
      <c r="H1348" s="4"/>
    </row>
    <row r="1349" spans="1:8" x14ac:dyDescent="0.2">
      <c r="A1349" s="23">
        <f>'[1]FEBRUARY 2023'!A45</f>
        <v>44964</v>
      </c>
      <c r="B1349" s="12" t="str">
        <f>'[1]FEBRUARY 2023'!B45</f>
        <v>LM</v>
      </c>
      <c r="C1349" s="3">
        <f>'[1]FEBRUARY 2023'!C45</f>
        <v>0</v>
      </c>
      <c r="D1349" s="3">
        <f>'[1]FEBRUARY 2023'!D45</f>
        <v>450</v>
      </c>
      <c r="E1349" s="4">
        <f>'[1]FEBRUARY 2023'!E45</f>
        <v>0</v>
      </c>
      <c r="F1349" s="6">
        <f>'[1]FEBRUARY 2023'!F45</f>
        <v>0</v>
      </c>
      <c r="G1349" s="4"/>
      <c r="H1349" s="4"/>
    </row>
    <row r="1350" spans="1:8" x14ac:dyDescent="0.2">
      <c r="A1350" s="20">
        <f>'[1]FEBRUARY 2023'!A46</f>
        <v>44964</v>
      </c>
      <c r="B1350" s="12" t="str">
        <f>'[1]FEBRUARY 2023'!B46</f>
        <v>LM</v>
      </c>
      <c r="C1350" s="3">
        <f>'[1]FEBRUARY 2023'!C46</f>
        <v>0</v>
      </c>
      <c r="D1350" s="3">
        <f>'[1]FEBRUARY 2023'!D46</f>
        <v>68</v>
      </c>
      <c r="E1350" s="4">
        <f>'[1]FEBRUARY 2023'!E46</f>
        <v>0</v>
      </c>
      <c r="F1350" s="6">
        <f>'[1]FEBRUARY 2023'!F46</f>
        <v>0</v>
      </c>
      <c r="G1350" s="4"/>
      <c r="H1350" s="4"/>
    </row>
    <row r="1351" spans="1:8" x14ac:dyDescent="0.2">
      <c r="A1351" s="23">
        <f>'[1]FEBRUARY 2023'!A47</f>
        <v>44964</v>
      </c>
      <c r="B1351" s="12" t="str">
        <f>'[1]FEBRUARY 2023'!B47</f>
        <v>Andere</v>
      </c>
      <c r="C1351" s="3">
        <f>'[1]FEBRUARY 2023'!C47</f>
        <v>0</v>
      </c>
      <c r="D1351" s="3">
        <f>'[1]FEBRUARY 2023'!D47</f>
        <v>600</v>
      </c>
      <c r="E1351" s="4">
        <f>'[1]FEBRUARY 2023'!E47</f>
        <v>0</v>
      </c>
      <c r="F1351" s="6">
        <f>'[1]FEBRUARY 2023'!F47</f>
        <v>0</v>
      </c>
      <c r="G1351" s="4"/>
      <c r="H1351" s="4"/>
    </row>
    <row r="1352" spans="1:8" x14ac:dyDescent="0.2">
      <c r="A1352" s="23">
        <f>'[1]FEBRUARY 2023'!A51</f>
        <v>44965</v>
      </c>
      <c r="B1352" s="12" t="str">
        <f>'[1]FEBRUARY 2023'!B51</f>
        <v>Andere</v>
      </c>
      <c r="C1352" s="3">
        <f>'[1]FEBRUARY 2023'!C51</f>
        <v>0</v>
      </c>
      <c r="D1352" s="3">
        <f>'[1]FEBRUARY 2023'!D51</f>
        <v>60</v>
      </c>
      <c r="E1352" s="4">
        <f>'[1]FEBRUARY 2023'!E51</f>
        <v>0</v>
      </c>
      <c r="F1352" s="6">
        <f>'[1]FEBRUARY 2023'!F51</f>
        <v>0</v>
      </c>
      <c r="G1352" s="4"/>
      <c r="H1352" s="4"/>
    </row>
    <row r="1353" spans="1:8" x14ac:dyDescent="0.2">
      <c r="A1353" s="20">
        <f>'[1]FEBRUARY 2023'!A52</f>
        <v>44965</v>
      </c>
      <c r="B1353" s="12" t="str">
        <f>'[1]FEBRUARY 2023'!B52</f>
        <v>VM</v>
      </c>
      <c r="C1353" s="3">
        <f>'[1]FEBRUARY 2023'!C52</f>
        <v>0</v>
      </c>
      <c r="D1353" s="3">
        <f>'[1]FEBRUARY 2023'!D52</f>
        <v>518</v>
      </c>
      <c r="E1353" s="4">
        <f>'[1]FEBRUARY 2023'!E52</f>
        <v>0</v>
      </c>
      <c r="F1353" s="6">
        <f>'[1]FEBRUARY 2023'!F52</f>
        <v>0</v>
      </c>
      <c r="G1353" s="4"/>
      <c r="H1353" s="4"/>
    </row>
    <row r="1354" spans="1:8" x14ac:dyDescent="0.2">
      <c r="A1354" s="23">
        <f>'[1]FEBRUARY 2023'!A53</f>
        <v>44965</v>
      </c>
      <c r="B1354" s="12" t="str">
        <f>'[1]FEBRUARY 2023'!B53</f>
        <v>LM</v>
      </c>
      <c r="C1354" s="3">
        <f>'[1]FEBRUARY 2023'!C53</f>
        <v>0</v>
      </c>
      <c r="D1354" s="3">
        <f>'[1]FEBRUARY 2023'!D53</f>
        <v>1252.3900000000001</v>
      </c>
      <c r="E1354" s="4">
        <f>'[1]FEBRUARY 2023'!E53</f>
        <v>0</v>
      </c>
      <c r="F1354" s="6">
        <f>'[1]FEBRUARY 2023'!F53</f>
        <v>0</v>
      </c>
      <c r="G1354" s="4"/>
      <c r="H1354" s="4"/>
    </row>
    <row r="1355" spans="1:8" x14ac:dyDescent="0.2">
      <c r="A1355" s="20">
        <f>'[1]FEBRUARY 2023'!A54</f>
        <v>44965</v>
      </c>
      <c r="B1355" s="12" t="str">
        <f>'[1]FEBRUARY 2023'!B54</f>
        <v>Rauchen</v>
      </c>
      <c r="C1355" s="3">
        <f>'[1]FEBRUARY 2023'!C54</f>
        <v>0</v>
      </c>
      <c r="D1355" s="3">
        <f>'[1]FEBRUARY 2023'!D54</f>
        <v>145</v>
      </c>
      <c r="E1355" s="4">
        <f>'[1]FEBRUARY 2023'!E54</f>
        <v>0</v>
      </c>
      <c r="F1355" s="6">
        <f>'[1]FEBRUARY 2023'!F54</f>
        <v>0</v>
      </c>
      <c r="G1355" s="4"/>
      <c r="H1355" s="4"/>
    </row>
    <row r="1356" spans="1:8" x14ac:dyDescent="0.2">
      <c r="A1356" s="20">
        <f>'[1]FEBRUARY 2023'!A56</f>
        <v>44965</v>
      </c>
      <c r="B1356" s="12" t="str">
        <f>'[1]FEBRUARY 2023'!B56</f>
        <v>Frauen</v>
      </c>
      <c r="C1356" s="3">
        <f>'[1]FEBRUARY 2023'!C56</f>
        <v>0</v>
      </c>
      <c r="D1356" s="3">
        <f>'[1]FEBRUARY 2023'!D56</f>
        <v>761</v>
      </c>
      <c r="E1356" s="4">
        <f>'[1]FEBRUARY 2023'!E56</f>
        <v>0</v>
      </c>
      <c r="F1356" s="6">
        <f>'[1]FEBRUARY 2023'!F56</f>
        <v>0</v>
      </c>
      <c r="G1356" s="4"/>
      <c r="H1356" s="4"/>
    </row>
    <row r="1357" spans="1:8" x14ac:dyDescent="0.2">
      <c r="A1357" s="23">
        <f>'[1]FEBRUARY 2023'!A59</f>
        <v>44966</v>
      </c>
      <c r="B1357" s="12" t="str">
        <f>'[1]FEBRUARY 2023'!B59</f>
        <v>Refill</v>
      </c>
      <c r="C1357" s="3">
        <f>'[1]FEBRUARY 2023'!C59</f>
        <v>40357.43</v>
      </c>
      <c r="D1357" s="3">
        <f>'[1]FEBRUARY 2023'!D59</f>
        <v>0</v>
      </c>
      <c r="E1357" s="4">
        <f>'[1]FEBRUARY 2023'!E59</f>
        <v>0</v>
      </c>
      <c r="F1357" s="6">
        <f>'[1]FEBRUARY 2023'!F59</f>
        <v>0</v>
      </c>
      <c r="G1357" s="4"/>
      <c r="H1357" s="4"/>
    </row>
    <row r="1358" spans="1:8" x14ac:dyDescent="0.2">
      <c r="A1358" s="23">
        <f>'[1]FEBRUARY 2023'!A67</f>
        <v>44967</v>
      </c>
      <c r="B1358" s="12" t="str">
        <f>'[1]FEBRUARY 2023'!B67</f>
        <v>Party</v>
      </c>
      <c r="C1358" s="3">
        <f>'[1]FEBRUARY 2023'!C67</f>
        <v>0</v>
      </c>
      <c r="D1358" s="3">
        <f>'[1]FEBRUARY 2023'!D67</f>
        <v>0</v>
      </c>
      <c r="E1358" s="4">
        <f>'[1]FEBRUARY 2023'!E67</f>
        <v>0</v>
      </c>
      <c r="F1358" s="6">
        <f>'[1]FEBRUARY 2023'!F67</f>
        <v>2000</v>
      </c>
      <c r="G1358" s="4"/>
      <c r="H1358" s="4"/>
    </row>
    <row r="1359" spans="1:8" x14ac:dyDescent="0.2">
      <c r="A1359" s="20">
        <f>'[1]FEBRUARY 2023'!A72</f>
        <v>44968</v>
      </c>
      <c r="B1359" s="12" t="str">
        <f>'[1]FEBRUARY 2023'!B72</f>
        <v>VM</v>
      </c>
      <c r="C1359" s="3">
        <f>'[1]FEBRUARY 2023'!C72</f>
        <v>0</v>
      </c>
      <c r="D1359" s="3">
        <f>'[1]FEBRUARY 2023'!D72</f>
        <v>1090</v>
      </c>
      <c r="E1359" s="4">
        <f>'[1]FEBRUARY 2023'!E72</f>
        <v>0</v>
      </c>
      <c r="F1359" s="6">
        <f>'[1]FEBRUARY 2023'!F72</f>
        <v>0</v>
      </c>
      <c r="G1359" s="4"/>
      <c r="H1359" s="4"/>
    </row>
    <row r="1360" spans="1:8" x14ac:dyDescent="0.2">
      <c r="A1360" s="23">
        <f>'[1]FEBRUARY 2023'!A73</f>
        <v>44968</v>
      </c>
      <c r="B1360" s="12" t="str">
        <f>'[1]FEBRUARY 2023'!B73</f>
        <v>for me</v>
      </c>
      <c r="C1360" s="3">
        <f>'[1]FEBRUARY 2023'!C73</f>
        <v>0</v>
      </c>
      <c r="D1360" s="3">
        <f>'[1]FEBRUARY 2023'!D73</f>
        <v>0</v>
      </c>
      <c r="E1360" s="4">
        <f>'[1]FEBRUARY 2023'!E73</f>
        <v>0</v>
      </c>
      <c r="F1360" s="6">
        <f>'[1]FEBRUARY 2023'!F73</f>
        <v>700</v>
      </c>
      <c r="G1360" s="4"/>
      <c r="H1360" s="4"/>
    </row>
    <row r="1361" spans="1:8" x14ac:dyDescent="0.2">
      <c r="A1361" s="23">
        <f>'[1]FEBRUARY 2023'!A79</f>
        <v>44969</v>
      </c>
      <c r="B1361" s="12" t="str">
        <f>'[1]FEBRUARY 2023'!B79</f>
        <v>LM</v>
      </c>
      <c r="C1361" s="3">
        <f>'[1]FEBRUARY 2023'!C79</f>
        <v>0</v>
      </c>
      <c r="D1361" s="3">
        <f>'[1]FEBRUARY 2023'!D79</f>
        <v>1549.13</v>
      </c>
      <c r="E1361" s="4">
        <f>'[1]FEBRUARY 2023'!E79</f>
        <v>0</v>
      </c>
      <c r="F1361" s="6">
        <f>'[1]FEBRUARY 2023'!F79</f>
        <v>250</v>
      </c>
      <c r="G1361" s="4"/>
      <c r="H1361" s="4"/>
    </row>
    <row r="1362" spans="1:8" x14ac:dyDescent="0.2">
      <c r="A1362" s="20">
        <f>'[1]FEBRUARY 2023'!A86</f>
        <v>44970</v>
      </c>
      <c r="B1362" s="12" t="str">
        <f>'[1]FEBRUARY 2023'!B86</f>
        <v>LM</v>
      </c>
      <c r="C1362" s="3">
        <f>'[1]FEBRUARY 2023'!C86</f>
        <v>0</v>
      </c>
      <c r="D1362" s="3">
        <f>'[1]FEBRUARY 2023'!D86</f>
        <v>557</v>
      </c>
      <c r="E1362" s="4">
        <f>'[1]FEBRUARY 2023'!E86</f>
        <v>0</v>
      </c>
      <c r="F1362" s="6">
        <f>'[1]FEBRUARY 2023'!F86</f>
        <v>0</v>
      </c>
      <c r="G1362" s="4"/>
      <c r="H1362" s="4"/>
    </row>
    <row r="1363" spans="1:8" x14ac:dyDescent="0.2">
      <c r="A1363" s="23">
        <f>'[1]FEBRUARY 2023'!A93</f>
        <v>44971</v>
      </c>
      <c r="B1363" s="12" t="str">
        <f>'[1]FEBRUARY 2023'!B93</f>
        <v>Frauen</v>
      </c>
      <c r="C1363" s="3">
        <f>'[1]FEBRUARY 2023'!C93</f>
        <v>0</v>
      </c>
      <c r="D1363" s="3">
        <f>'[1]FEBRUARY 2023'!D93</f>
        <v>2650</v>
      </c>
      <c r="E1363" s="4">
        <f>'[1]FEBRUARY 2023'!E93</f>
        <v>0</v>
      </c>
      <c r="F1363" s="6">
        <f>'[1]FEBRUARY 2023'!F93</f>
        <v>0</v>
      </c>
      <c r="G1363" s="4"/>
      <c r="H1363" s="4"/>
    </row>
    <row r="1364" spans="1:8" x14ac:dyDescent="0.2">
      <c r="A1364" s="20">
        <f>'[1]FEBRUARY 2023'!A94</f>
        <v>44971</v>
      </c>
      <c r="B1364" s="12" t="str">
        <f>'[1]FEBRUARY 2023'!B94</f>
        <v>LM</v>
      </c>
      <c r="C1364" s="3">
        <f>'[1]FEBRUARY 2023'!C94</f>
        <v>0</v>
      </c>
      <c r="D1364" s="3">
        <f>'[1]FEBRUARY 2023'!D94</f>
        <v>119.99</v>
      </c>
      <c r="E1364" s="4">
        <f>'[1]FEBRUARY 2023'!E94</f>
        <v>0</v>
      </c>
      <c r="F1364" s="6">
        <f>'[1]FEBRUARY 2023'!F94</f>
        <v>0</v>
      </c>
      <c r="G1364" s="4"/>
      <c r="H1364" s="4"/>
    </row>
    <row r="1365" spans="1:8" x14ac:dyDescent="0.2">
      <c r="A1365" s="20">
        <f>'[1]FEBRUARY 2023'!A100</f>
        <v>44972</v>
      </c>
      <c r="B1365" s="12" t="str">
        <f>'[1]FEBRUARY 2023'!B100</f>
        <v>LM</v>
      </c>
      <c r="C1365" s="3">
        <f>'[1]FEBRUARY 2023'!C100</f>
        <v>0</v>
      </c>
      <c r="D1365" s="3">
        <f>'[1]FEBRUARY 2023'!D100</f>
        <v>918.47</v>
      </c>
      <c r="E1365" s="4">
        <f>'[1]FEBRUARY 2023'!E100</f>
        <v>0</v>
      </c>
      <c r="F1365" s="6">
        <f>'[1]FEBRUARY 2023'!F100</f>
        <v>0</v>
      </c>
      <c r="G1365" s="4"/>
      <c r="H1365" s="4"/>
    </row>
    <row r="1366" spans="1:8" x14ac:dyDescent="0.2">
      <c r="A1366" s="20">
        <f>'[1]FEBRUARY 2023'!A114</f>
        <v>44974</v>
      </c>
      <c r="B1366" s="12" t="str">
        <f>'[1]FEBRUARY 2023'!B114</f>
        <v>LM</v>
      </c>
      <c r="C1366" s="3">
        <f>'[1]FEBRUARY 2023'!C114</f>
        <v>0</v>
      </c>
      <c r="D1366" s="3">
        <f>'[1]FEBRUARY 2023'!D114</f>
        <v>665</v>
      </c>
      <c r="E1366" s="4">
        <f>'[1]FEBRUARY 2023'!E114</f>
        <v>0</v>
      </c>
      <c r="F1366" s="6">
        <f>'[1]FEBRUARY 2023'!F114</f>
        <v>0</v>
      </c>
      <c r="G1366" s="4"/>
      <c r="H1366" s="4"/>
    </row>
    <row r="1367" spans="1:8" x14ac:dyDescent="0.2">
      <c r="A1367" s="23">
        <f>'[1]FEBRUARY 2023'!A115</f>
        <v>44974</v>
      </c>
      <c r="B1367" s="12" t="str">
        <f>'[1]FEBRUARY 2023'!B115</f>
        <v>Andere</v>
      </c>
      <c r="C1367" s="3">
        <f>'[1]FEBRUARY 2023'!C115</f>
        <v>0</v>
      </c>
      <c r="D1367" s="3">
        <f>'[1]FEBRUARY 2023'!D115</f>
        <v>600</v>
      </c>
      <c r="E1367" s="4">
        <f>'[1]FEBRUARY 2023'!E115</f>
        <v>0</v>
      </c>
      <c r="F1367" s="6">
        <f>'[1]FEBRUARY 2023'!F115</f>
        <v>429.25</v>
      </c>
      <c r="G1367" s="4"/>
      <c r="H1367" s="4"/>
    </row>
    <row r="1368" spans="1:8" x14ac:dyDescent="0.2">
      <c r="A1368" s="20">
        <f>'[1]FEBRUARY 2023'!A116</f>
        <v>44974</v>
      </c>
      <c r="B1368" s="12" t="str">
        <f>'[1]FEBRUARY 2023'!B116</f>
        <v>Party</v>
      </c>
      <c r="C1368" s="3">
        <f>'[1]FEBRUARY 2023'!C116</f>
        <v>0</v>
      </c>
      <c r="D1368" s="3">
        <f>'[1]FEBRUARY 2023'!D116</f>
        <v>1600</v>
      </c>
      <c r="E1368" s="4">
        <f>'[1]FEBRUARY 2023'!E116</f>
        <v>0</v>
      </c>
      <c r="F1368" s="6">
        <f>'[1]FEBRUARY 2023'!F116</f>
        <v>0</v>
      </c>
      <c r="G1368" s="4"/>
      <c r="H1368" s="4"/>
    </row>
    <row r="1369" spans="1:8" x14ac:dyDescent="0.2">
      <c r="A1369" s="23">
        <f>'[1]FEBRUARY 2023'!A121</f>
        <v>44975</v>
      </c>
      <c r="B1369" s="12" t="str">
        <f>'[1]FEBRUARY 2023'!B121</f>
        <v>LM</v>
      </c>
      <c r="C1369" s="3">
        <f>'[1]FEBRUARY 2023'!C121</f>
        <v>0</v>
      </c>
      <c r="D1369" s="3">
        <f>'[1]FEBRUARY 2023'!D121</f>
        <v>904</v>
      </c>
      <c r="E1369" s="4">
        <f>'[1]FEBRUARY 2023'!E121</f>
        <v>0</v>
      </c>
      <c r="F1369" s="6">
        <f>'[1]FEBRUARY 2023'!F121</f>
        <v>0</v>
      </c>
      <c r="G1369" s="4"/>
      <c r="H1369" s="4"/>
    </row>
    <row r="1370" spans="1:8" x14ac:dyDescent="0.2">
      <c r="A1370" s="20">
        <f>'[1]FEBRUARY 2023'!A122</f>
        <v>44975</v>
      </c>
      <c r="B1370" s="12" t="str">
        <f>'[1]FEBRUARY 2023'!B122</f>
        <v>Rauchen</v>
      </c>
      <c r="C1370" s="3">
        <f>'[1]FEBRUARY 2023'!C122</f>
        <v>0</v>
      </c>
      <c r="D1370" s="3">
        <f>'[1]FEBRUARY 2023'!D122</f>
        <v>150</v>
      </c>
      <c r="E1370" s="4">
        <f>'[1]FEBRUARY 2023'!E122</f>
        <v>0</v>
      </c>
      <c r="F1370" s="6">
        <f>'[1]FEBRUARY 2023'!F122</f>
        <v>0</v>
      </c>
      <c r="G1370" s="4"/>
      <c r="H1370" s="4"/>
    </row>
    <row r="1371" spans="1:8" x14ac:dyDescent="0.2">
      <c r="A1371" s="20">
        <f>'[1]FEBRUARY 2023'!A128</f>
        <v>44976</v>
      </c>
      <c r="B1371" s="12" t="str">
        <f>'[1]FEBRUARY 2023'!B128</f>
        <v>VM</v>
      </c>
      <c r="C1371" s="3">
        <f>'[1]FEBRUARY 2023'!C128</f>
        <v>0</v>
      </c>
      <c r="D1371" s="3">
        <f>'[1]FEBRUARY 2023'!D128</f>
        <v>56</v>
      </c>
      <c r="E1371" s="4">
        <f>'[1]FEBRUARY 2023'!E128</f>
        <v>0</v>
      </c>
      <c r="F1371" s="6">
        <f>'[1]FEBRUARY 2023'!F128</f>
        <v>0</v>
      </c>
      <c r="G1371" s="4"/>
      <c r="H1371" s="4"/>
    </row>
    <row r="1372" spans="1:8" x14ac:dyDescent="0.2">
      <c r="A1372" s="23">
        <f>'[1]FEBRUARY 2023'!A135</f>
        <v>44977</v>
      </c>
      <c r="B1372" s="12" t="str">
        <f>'[1]FEBRUARY 2023'!B135</f>
        <v>LM</v>
      </c>
      <c r="C1372" s="3">
        <f>'[1]FEBRUARY 2023'!C135</f>
        <v>0</v>
      </c>
      <c r="D1372" s="3">
        <f>'[1]FEBRUARY 2023'!D135</f>
        <v>658</v>
      </c>
      <c r="E1372" s="4">
        <f>'[1]FEBRUARY 2023'!E135</f>
        <v>0</v>
      </c>
      <c r="F1372" s="6">
        <f>'[1]FEBRUARY 2023'!F135</f>
        <v>0</v>
      </c>
      <c r="G1372" s="4"/>
      <c r="H1372" s="4"/>
    </row>
    <row r="1373" spans="1:8" x14ac:dyDescent="0.2">
      <c r="A1373" s="20">
        <f>'[1]FEBRUARY 2023'!A136</f>
        <v>44977</v>
      </c>
      <c r="B1373" s="12" t="str">
        <f>'[1]FEBRUARY 2023'!B136</f>
        <v>for me</v>
      </c>
      <c r="C1373" s="3">
        <f>'[1]FEBRUARY 2023'!C136</f>
        <v>0</v>
      </c>
      <c r="D1373" s="3">
        <f>'[1]FEBRUARY 2023'!D136</f>
        <v>768</v>
      </c>
      <c r="E1373" s="4">
        <f>'[1]FEBRUARY 2023'!E136</f>
        <v>0</v>
      </c>
      <c r="F1373" s="6">
        <f>'[1]FEBRUARY 2023'!F136</f>
        <v>0</v>
      </c>
      <c r="G1373" s="4"/>
      <c r="H1373" s="4"/>
    </row>
    <row r="1374" spans="1:8" x14ac:dyDescent="0.2">
      <c r="A1374" s="20">
        <f>'[1]FEBRUARY 2023'!A142</f>
        <v>44978</v>
      </c>
      <c r="B1374" s="12" t="str">
        <f>'[1]FEBRUARY 2023'!B142</f>
        <v>LM</v>
      </c>
      <c r="C1374" s="3">
        <f>'[1]FEBRUARY 2023'!C142</f>
        <v>0</v>
      </c>
      <c r="D1374" s="3">
        <f>'[1]FEBRUARY 2023'!D142</f>
        <v>713</v>
      </c>
      <c r="E1374" s="4">
        <f>'[1]FEBRUARY 2023'!E142</f>
        <v>0</v>
      </c>
      <c r="F1374" s="6">
        <f>'[1]FEBRUARY 2023'!F142</f>
        <v>0</v>
      </c>
      <c r="G1374" s="4"/>
      <c r="H1374" s="4"/>
    </row>
    <row r="1375" spans="1:8" x14ac:dyDescent="0.2">
      <c r="A1375" s="23">
        <f>'[1]FEBRUARY 2023'!A149</f>
        <v>44979</v>
      </c>
      <c r="B1375" s="12" t="str">
        <f>'[1]FEBRUARY 2023'!B149</f>
        <v>Refill</v>
      </c>
      <c r="C1375" s="3">
        <f>'[1]FEBRUARY 2023'!C149</f>
        <v>54867.67</v>
      </c>
      <c r="D1375" s="3">
        <f>'[1]FEBRUARY 2023'!D149</f>
        <v>0</v>
      </c>
      <c r="E1375" s="4">
        <f>'[1]FEBRUARY 2023'!E149</f>
        <v>0</v>
      </c>
      <c r="F1375" s="6">
        <f>'[1]FEBRUARY 2023'!F149</f>
        <v>0</v>
      </c>
      <c r="G1375" s="4"/>
      <c r="H1375" s="4"/>
    </row>
    <row r="1376" spans="1:8" x14ac:dyDescent="0.2">
      <c r="A1376" s="20">
        <f>'[1]FEBRUARY 2023'!A156</f>
        <v>44980</v>
      </c>
      <c r="B1376" s="12" t="str">
        <f>'[1]FEBRUARY 2023'!B156</f>
        <v>for me</v>
      </c>
      <c r="C1376" s="3">
        <f>'[1]FEBRUARY 2023'!C156</f>
        <v>0</v>
      </c>
      <c r="D1376" s="3">
        <f>'[1]FEBRUARY 2023'!D156</f>
        <v>4000</v>
      </c>
      <c r="E1376" s="4">
        <f>'[1]FEBRUARY 2023'!E156</f>
        <v>0</v>
      </c>
      <c r="F1376" s="6">
        <f>'[1]FEBRUARY 2023'!F156</f>
        <v>0</v>
      </c>
      <c r="G1376" s="4"/>
      <c r="H1376" s="4"/>
    </row>
    <row r="1377" spans="1:8" x14ac:dyDescent="0.2">
      <c r="A1377" s="23">
        <f>'[1]FEBRUARY 2023'!A157</f>
        <v>44980</v>
      </c>
      <c r="B1377" s="12" t="str">
        <f>'[1]FEBRUARY 2023'!B157</f>
        <v>Andere</v>
      </c>
      <c r="C1377" s="3">
        <f>'[1]FEBRUARY 2023'!C157</f>
        <v>0</v>
      </c>
      <c r="D1377" s="3">
        <f>'[1]FEBRUARY 2023'!D157</f>
        <v>6344</v>
      </c>
      <c r="E1377" s="4">
        <f>'[1]FEBRUARY 2023'!E157</f>
        <v>0</v>
      </c>
      <c r="F1377" s="6">
        <f>'[1]FEBRUARY 2023'!F157</f>
        <v>0</v>
      </c>
      <c r="G1377" s="4"/>
      <c r="H1377" s="4"/>
    </row>
    <row r="1378" spans="1:8" x14ac:dyDescent="0.2">
      <c r="A1378" s="20">
        <f>'[1]FEBRUARY 2023'!A158</f>
        <v>44980</v>
      </c>
      <c r="B1378" s="12" t="str">
        <f>'[1]FEBRUARY 2023'!B158</f>
        <v>Andere</v>
      </c>
      <c r="C1378" s="3">
        <f>'[1]FEBRUARY 2023'!C158</f>
        <v>0</v>
      </c>
      <c r="D1378" s="3">
        <f>'[1]FEBRUARY 2023'!D158</f>
        <v>70</v>
      </c>
      <c r="E1378" s="4">
        <f>'[1]FEBRUARY 2023'!E158</f>
        <v>0</v>
      </c>
      <c r="F1378" s="6">
        <f>'[1]FEBRUARY 2023'!F158</f>
        <v>0</v>
      </c>
      <c r="G1378" s="4"/>
      <c r="H1378" s="4"/>
    </row>
    <row r="1379" spans="1:8" x14ac:dyDescent="0.2">
      <c r="A1379" s="23">
        <f>'[1]FEBRUARY 2023'!A159</f>
        <v>44980</v>
      </c>
      <c r="B1379" s="12" t="str">
        <f>'[1]FEBRUARY 2023'!B159</f>
        <v>LM</v>
      </c>
      <c r="C1379" s="3">
        <f>'[1]FEBRUARY 2023'!C159</f>
        <v>0</v>
      </c>
      <c r="D1379" s="3">
        <f>'[1]FEBRUARY 2023'!D159</f>
        <v>1563.3400000000001</v>
      </c>
      <c r="E1379" s="4">
        <f>'[1]FEBRUARY 2023'!E159</f>
        <v>0</v>
      </c>
      <c r="F1379" s="6">
        <f>'[1]FEBRUARY 2023'!F159</f>
        <v>0</v>
      </c>
      <c r="G1379" s="4"/>
      <c r="H1379" s="4"/>
    </row>
    <row r="1380" spans="1:8" x14ac:dyDescent="0.2">
      <c r="A1380" s="20">
        <f>'[1]FEBRUARY 2023'!A160</f>
        <v>44980</v>
      </c>
      <c r="B1380" s="12" t="str">
        <f>'[1]FEBRUARY 2023'!B160</f>
        <v>Frauen</v>
      </c>
      <c r="C1380" s="3">
        <f>'[1]FEBRUARY 2023'!C160</f>
        <v>0</v>
      </c>
      <c r="D1380" s="3">
        <f>'[1]FEBRUARY 2023'!D160</f>
        <v>1083.96</v>
      </c>
      <c r="E1380" s="4">
        <f>'[1]FEBRUARY 2023'!E160</f>
        <v>0</v>
      </c>
      <c r="F1380" s="6">
        <f>'[1]FEBRUARY 2023'!F160</f>
        <v>0</v>
      </c>
      <c r="G1380" s="4"/>
      <c r="H1380" s="4"/>
    </row>
    <row r="1381" spans="1:8" x14ac:dyDescent="0.2">
      <c r="A1381" s="23">
        <f>'[1]FEBRUARY 2023'!A163</f>
        <v>44981</v>
      </c>
      <c r="B1381" s="12" t="str">
        <f>'[1]FEBRUARY 2023'!B163</f>
        <v>Andere</v>
      </c>
      <c r="C1381" s="3">
        <f>'[1]FEBRUARY 2023'!C163</f>
        <v>0</v>
      </c>
      <c r="D1381" s="3">
        <f>'[1]FEBRUARY 2023'!D163</f>
        <v>17</v>
      </c>
      <c r="E1381" s="4">
        <f>'[1]FEBRUARY 2023'!E163</f>
        <v>0</v>
      </c>
      <c r="F1381" s="6">
        <f>'[1]FEBRUARY 2023'!F163</f>
        <v>0</v>
      </c>
      <c r="G1381" s="4"/>
      <c r="H1381" s="4"/>
    </row>
    <row r="1382" spans="1:8" x14ac:dyDescent="0.2">
      <c r="A1382" s="20">
        <f>'[1]FEBRUARY 2023'!A170</f>
        <v>44982</v>
      </c>
      <c r="B1382" s="12" t="str">
        <f>'[1]FEBRUARY 2023'!B170</f>
        <v>Party</v>
      </c>
      <c r="C1382" s="3">
        <f>'[1]FEBRUARY 2023'!C170</f>
        <v>0</v>
      </c>
      <c r="D1382" s="3">
        <f>'[1]FEBRUARY 2023'!D170</f>
        <v>1660</v>
      </c>
      <c r="E1382" s="4">
        <f>'[1]FEBRUARY 2023'!E170</f>
        <v>0</v>
      </c>
      <c r="F1382" s="6">
        <f>'[1]FEBRUARY 2023'!F170</f>
        <v>0</v>
      </c>
      <c r="G1382" s="4"/>
      <c r="H1382" s="4"/>
    </row>
    <row r="1383" spans="1:8" x14ac:dyDescent="0.2">
      <c r="A1383" s="23">
        <f>'[1]FEBRUARY 2023'!A171</f>
        <v>44982</v>
      </c>
      <c r="B1383" s="12" t="str">
        <f>'[1]FEBRUARY 2023'!B171</f>
        <v>none</v>
      </c>
      <c r="C1383" s="3">
        <f>'[1]FEBRUARY 2023'!C171</f>
        <v>0</v>
      </c>
      <c r="D1383" s="3">
        <f>'[1]FEBRUARY 2023'!D171</f>
        <v>1730</v>
      </c>
      <c r="E1383" s="4">
        <f>'[1]FEBRUARY 2023'!E171</f>
        <v>1730</v>
      </c>
      <c r="F1383" s="6">
        <f>'[1]FEBRUARY 2023'!F171</f>
        <v>0</v>
      </c>
      <c r="G1383" s="4"/>
      <c r="H1383" s="4"/>
    </row>
    <row r="1384" spans="1:8" x14ac:dyDescent="0.2">
      <c r="A1384" s="23">
        <f>'[1]FEBRUARY 2023'!A177</f>
        <v>44983</v>
      </c>
      <c r="B1384" s="12" t="str">
        <f>'[1]FEBRUARY 2023'!B177</f>
        <v>for me</v>
      </c>
      <c r="C1384" s="3">
        <f>'[1]FEBRUARY 2023'!C177</f>
        <v>0</v>
      </c>
      <c r="D1384" s="3">
        <f>'[1]FEBRUARY 2023'!D177</f>
        <v>6900</v>
      </c>
      <c r="E1384" s="4">
        <f>'[1]FEBRUARY 2023'!E177</f>
        <v>0</v>
      </c>
      <c r="F1384" s="6">
        <f>'[1]FEBRUARY 2023'!F177</f>
        <v>0</v>
      </c>
      <c r="G1384" s="4"/>
      <c r="H1384" s="4"/>
    </row>
    <row r="1385" spans="1:8" x14ac:dyDescent="0.2">
      <c r="A1385" s="20">
        <f>'[1]FEBRUARY 2023'!A178</f>
        <v>44983</v>
      </c>
      <c r="B1385" s="12" t="str">
        <f>'[1]FEBRUARY 2023'!B178</f>
        <v>LM</v>
      </c>
      <c r="C1385" s="3">
        <f>'[1]FEBRUARY 2023'!C178</f>
        <v>0</v>
      </c>
      <c r="D1385" s="3">
        <f>'[1]FEBRUARY 2023'!D178</f>
        <v>1516.92</v>
      </c>
      <c r="E1385" s="4">
        <f>'[1]FEBRUARY 2023'!E178</f>
        <v>0</v>
      </c>
      <c r="F1385" s="6">
        <f>'[1]FEBRUARY 2023'!F178</f>
        <v>0</v>
      </c>
      <c r="G1385" s="4"/>
      <c r="H1385" s="4"/>
    </row>
    <row r="1386" spans="1:8" x14ac:dyDescent="0.2">
      <c r="A1386" s="23">
        <f>'[1]FEBRUARY 2023'!A191</f>
        <v>44985</v>
      </c>
      <c r="B1386" s="12" t="str">
        <f>'[1]FEBRUARY 2023'!B191</f>
        <v>LM</v>
      </c>
      <c r="C1386" s="3">
        <f>'[1]FEBRUARY 2023'!C191</f>
        <v>0</v>
      </c>
      <c r="D1386" s="3">
        <f>'[1]FEBRUARY 2023'!D191</f>
        <v>869.78</v>
      </c>
      <c r="E1386" s="4">
        <f>'[1]FEBRUARY 2023'!E191</f>
        <v>0</v>
      </c>
      <c r="F1386" s="6">
        <f>'[1]FEBRUARY 2023'!F191</f>
        <v>0</v>
      </c>
      <c r="G1386" s="4"/>
      <c r="H1386" s="4"/>
    </row>
    <row r="1387" spans="1:8" x14ac:dyDescent="0.2">
      <c r="A1387" s="20">
        <f>'[1]FEBRUARY 2023'!A192</f>
        <v>44985</v>
      </c>
      <c r="B1387" s="12" t="str">
        <f>'[1]FEBRUARY 2023'!B192</f>
        <v>Refill</v>
      </c>
      <c r="C1387" s="3">
        <f>'[1]FEBRUARY 2023'!C192</f>
        <v>2617.8000000000002</v>
      </c>
      <c r="D1387" s="3">
        <f>'[1]FEBRUARY 2023'!D192</f>
        <v>0</v>
      </c>
      <c r="E1387" s="4">
        <f>'[1]FEBRUARY 2023'!E192</f>
        <v>0</v>
      </c>
      <c r="F1387" s="6">
        <f>'[1]FEBRUARY 2023'!F192</f>
        <v>0</v>
      </c>
      <c r="G1387" s="4"/>
      <c r="H1387" s="4"/>
    </row>
    <row r="1388" spans="1:8" x14ac:dyDescent="0.2">
      <c r="A1388" s="20">
        <f>'[1]MARCH 2023'!A2</f>
        <v>44986</v>
      </c>
      <c r="B1388" s="12" t="str">
        <f>'[1]MARCH 2023'!B2</f>
        <v>Frauen</v>
      </c>
      <c r="C1388" s="3">
        <f>'[1]MARCH 2023'!C2</f>
        <v>0</v>
      </c>
      <c r="D1388" s="3">
        <f>'[1]MARCH 2023'!D2</f>
        <v>541</v>
      </c>
      <c r="E1388" s="4">
        <f>'[1]MARCH 2023'!E2</f>
        <v>0</v>
      </c>
      <c r="F1388" s="6">
        <f>'[1]MARCH 2023'!F2</f>
        <v>0</v>
      </c>
      <c r="G1388" s="4"/>
      <c r="H1388" s="4"/>
    </row>
    <row r="1389" spans="1:8" x14ac:dyDescent="0.2">
      <c r="A1389" s="23">
        <f>'[1]MARCH 2023'!A3</f>
        <v>44986</v>
      </c>
      <c r="B1389" s="12" t="str">
        <f>'[1]MARCH 2023'!B3</f>
        <v>LM</v>
      </c>
      <c r="C1389" s="3">
        <f>'[1]MARCH 2023'!C3</f>
        <v>0</v>
      </c>
      <c r="D1389" s="3">
        <f>'[1]MARCH 2023'!D3</f>
        <v>445</v>
      </c>
      <c r="E1389" s="4">
        <f>'[1]MARCH 2023'!E3</f>
        <v>0</v>
      </c>
      <c r="F1389" s="6">
        <f>'[1]MARCH 2023'!F3</f>
        <v>0</v>
      </c>
      <c r="G1389" s="4"/>
      <c r="H1389" s="4"/>
    </row>
    <row r="1390" spans="1:8" x14ac:dyDescent="0.2">
      <c r="A1390" s="20">
        <f>'[1]MARCH 2023'!A4</f>
        <v>44986</v>
      </c>
      <c r="B1390" s="12" t="str">
        <f>'[1]MARCH 2023'!B4</f>
        <v>none</v>
      </c>
      <c r="C1390" s="3">
        <f>'[1]MARCH 2023'!C4</f>
        <v>0</v>
      </c>
      <c r="D1390" s="3">
        <f>'[1]MARCH 2023'!D4</f>
        <v>0</v>
      </c>
      <c r="E1390" s="4">
        <f>'[1]MARCH 2023'!E4</f>
        <v>0</v>
      </c>
      <c r="F1390" s="6">
        <f>'[1]MARCH 2023'!F4</f>
        <v>4000</v>
      </c>
      <c r="G1390" s="4"/>
      <c r="H1390" s="4"/>
    </row>
    <row r="1391" spans="1:8" x14ac:dyDescent="0.2">
      <c r="A1391" s="23">
        <f>'[1]MARCH 2023'!A9</f>
        <v>44987</v>
      </c>
      <c r="B1391" s="12" t="str">
        <f>'[1]MARCH 2023'!B9</f>
        <v>rent</v>
      </c>
      <c r="C1391" s="3">
        <f>'[1]MARCH 2023'!C9</f>
        <v>0</v>
      </c>
      <c r="D1391" s="3">
        <f>'[1]MARCH 2023'!D9</f>
        <v>25000</v>
      </c>
      <c r="E1391" s="4">
        <f>'[1]MARCH 2023'!E9</f>
        <v>0</v>
      </c>
      <c r="F1391" s="6">
        <f>'[1]MARCH 2023'!F9</f>
        <v>0</v>
      </c>
      <c r="G1391" s="4"/>
      <c r="H1391" s="4"/>
    </row>
    <row r="1392" spans="1:8" x14ac:dyDescent="0.2">
      <c r="A1392" s="20">
        <f>'[1]MARCH 2023'!A10</f>
        <v>44987</v>
      </c>
      <c r="B1392" s="12" t="str">
        <f>'[1]MARCH 2023'!B10</f>
        <v>LM</v>
      </c>
      <c r="C1392" s="3">
        <f>'[1]MARCH 2023'!C10</f>
        <v>0</v>
      </c>
      <c r="D1392" s="3">
        <f>'[1]MARCH 2023'!D10</f>
        <v>879.15</v>
      </c>
      <c r="E1392" s="4">
        <f>'[1]MARCH 2023'!E10</f>
        <v>0</v>
      </c>
      <c r="F1392" s="6">
        <f>'[1]MARCH 2023'!F10</f>
        <v>0</v>
      </c>
      <c r="G1392" s="4"/>
      <c r="H1392" s="4"/>
    </row>
    <row r="1393" spans="1:8" x14ac:dyDescent="0.2">
      <c r="A1393" s="20">
        <f>'[1]MARCH 2023'!A16</f>
        <v>44988</v>
      </c>
      <c r="B1393" s="12" t="str">
        <f>'[1]MARCH 2023'!B16</f>
        <v>VM</v>
      </c>
      <c r="C1393" s="3">
        <f>'[1]MARCH 2023'!C16</f>
        <v>0</v>
      </c>
      <c r="D1393" s="3">
        <f>'[1]MARCH 2023'!D16</f>
        <v>224</v>
      </c>
      <c r="E1393" s="4">
        <f>'[1]MARCH 2023'!E16</f>
        <v>0</v>
      </c>
      <c r="F1393" s="6">
        <f>'[1]MARCH 2023'!F16</f>
        <v>0</v>
      </c>
      <c r="G1393" s="4"/>
      <c r="H1393" s="4"/>
    </row>
    <row r="1394" spans="1:8" x14ac:dyDescent="0.2">
      <c r="A1394" s="23">
        <f>'[1]MARCH 2023'!A17</f>
        <v>44988</v>
      </c>
      <c r="B1394" s="12" t="str">
        <f>'[1]MARCH 2023'!B17</f>
        <v>LM</v>
      </c>
      <c r="C1394" s="3">
        <f>'[1]MARCH 2023'!C17</f>
        <v>0</v>
      </c>
      <c r="D1394" s="3">
        <f>'[1]MARCH 2023'!D17</f>
        <v>1185.4299999999998</v>
      </c>
      <c r="E1394" s="4">
        <f>'[1]MARCH 2023'!E17</f>
        <v>0</v>
      </c>
      <c r="F1394" s="6">
        <f>'[1]MARCH 2023'!F17</f>
        <v>0</v>
      </c>
      <c r="G1394" s="4"/>
      <c r="H1394" s="4"/>
    </row>
    <row r="1395" spans="1:8" x14ac:dyDescent="0.2">
      <c r="A1395" s="20">
        <f>'[1]MARCH 2023'!A18</f>
        <v>44988</v>
      </c>
      <c r="B1395" s="12" t="str">
        <f>'[1]MARCH 2023'!B18</f>
        <v>none</v>
      </c>
      <c r="C1395" s="3">
        <f>'[1]MARCH 2023'!C18</f>
        <v>816</v>
      </c>
      <c r="D1395" s="3">
        <f>'[1]MARCH 2023'!D18</f>
        <v>0</v>
      </c>
      <c r="E1395" s="4">
        <f>'[1]MARCH 2023'!E18</f>
        <v>0</v>
      </c>
      <c r="F1395" s="6">
        <f>'[1]MARCH 2023'!F18</f>
        <v>0</v>
      </c>
      <c r="G1395" s="4"/>
      <c r="H1395" s="4"/>
    </row>
    <row r="1396" spans="1:8" x14ac:dyDescent="0.2">
      <c r="A1396" s="23">
        <f>'[1]MARCH 2023'!A23</f>
        <v>44989</v>
      </c>
      <c r="B1396" s="12" t="str">
        <f>'[1]MARCH 2023'!B23</f>
        <v>Andere</v>
      </c>
      <c r="C1396" s="3">
        <f>'[1]MARCH 2023'!C23</f>
        <v>0</v>
      </c>
      <c r="D1396" s="3">
        <f>'[1]MARCH 2023'!D23</f>
        <v>299</v>
      </c>
      <c r="E1396" s="4">
        <f>'[1]MARCH 2023'!E23</f>
        <v>0</v>
      </c>
      <c r="F1396" s="6">
        <f>'[1]MARCH 2023'!F23</f>
        <v>0</v>
      </c>
      <c r="G1396" s="4"/>
      <c r="H1396" s="4"/>
    </row>
    <row r="1397" spans="1:8" x14ac:dyDescent="0.2">
      <c r="A1397" s="20">
        <f>'[1]MARCH 2023'!A24</f>
        <v>44989</v>
      </c>
      <c r="B1397" s="12" t="str">
        <f>'[1]MARCH 2023'!B24</f>
        <v>LM</v>
      </c>
      <c r="C1397" s="3">
        <f>'[1]MARCH 2023'!C24</f>
        <v>0</v>
      </c>
      <c r="D1397" s="3">
        <f>'[1]MARCH 2023'!D24</f>
        <v>458</v>
      </c>
      <c r="E1397" s="4">
        <f>'[1]MARCH 2023'!E24</f>
        <v>0</v>
      </c>
      <c r="F1397" s="6">
        <f>'[1]MARCH 2023'!F24</f>
        <v>0</v>
      </c>
      <c r="G1397" s="4"/>
      <c r="H1397" s="4"/>
    </row>
    <row r="1398" spans="1:8" x14ac:dyDescent="0.2">
      <c r="A1398" s="23">
        <f>'[1]MARCH 2023'!A25</f>
        <v>44989</v>
      </c>
      <c r="B1398" s="12" t="str">
        <f>'[1]MARCH 2023'!B25</f>
        <v>LM</v>
      </c>
      <c r="C1398" s="3">
        <f>'[1]MARCH 2023'!C25</f>
        <v>0</v>
      </c>
      <c r="D1398" s="3">
        <f>'[1]MARCH 2023'!D25</f>
        <v>50</v>
      </c>
      <c r="E1398" s="4">
        <f>'[1]MARCH 2023'!E25</f>
        <v>0</v>
      </c>
      <c r="F1398" s="6">
        <f>'[1]MARCH 2023'!F25</f>
        <v>0</v>
      </c>
      <c r="G1398" s="4"/>
      <c r="H1398" s="4"/>
    </row>
    <row r="1399" spans="1:8" x14ac:dyDescent="0.2">
      <c r="A1399" s="20">
        <f>'[1]MARCH 2023'!A30</f>
        <v>44990</v>
      </c>
      <c r="B1399" s="12" t="str">
        <f>'[1]MARCH 2023'!B30</f>
        <v>LM</v>
      </c>
      <c r="C1399" s="3">
        <f>'[1]MARCH 2023'!C30</f>
        <v>0</v>
      </c>
      <c r="D1399" s="3">
        <f>'[1]MARCH 2023'!D30</f>
        <v>1713.3</v>
      </c>
      <c r="E1399" s="4">
        <f>'[1]MARCH 2023'!E30</f>
        <v>0</v>
      </c>
      <c r="F1399" s="6">
        <f>'[1]MARCH 2023'!F30</f>
        <v>0</v>
      </c>
      <c r="G1399" s="4"/>
      <c r="H1399" s="4"/>
    </row>
    <row r="1400" spans="1:8" x14ac:dyDescent="0.2">
      <c r="A1400" s="23">
        <f>'[1]MARCH 2023'!A37</f>
        <v>44991</v>
      </c>
      <c r="B1400" s="12" t="str">
        <f>'[1]MARCH 2023'!B37</f>
        <v>Andere</v>
      </c>
      <c r="C1400" s="3">
        <f>'[1]MARCH 2023'!C37</f>
        <v>0</v>
      </c>
      <c r="D1400" s="3">
        <f>'[1]MARCH 2023'!D37</f>
        <v>367</v>
      </c>
      <c r="E1400" s="4">
        <f>'[1]MARCH 2023'!E37</f>
        <v>0</v>
      </c>
      <c r="F1400" s="6">
        <f>'[1]MARCH 2023'!F37</f>
        <v>0</v>
      </c>
      <c r="G1400" s="4"/>
      <c r="H1400" s="4"/>
    </row>
    <row r="1401" spans="1:8" x14ac:dyDescent="0.2">
      <c r="A1401" s="20">
        <f>'[1]MARCH 2023'!A38</f>
        <v>44991</v>
      </c>
      <c r="B1401" s="12" t="str">
        <f>'[1]MARCH 2023'!B38</f>
        <v>LM</v>
      </c>
      <c r="C1401" s="3">
        <f>'[1]MARCH 2023'!C38</f>
        <v>0</v>
      </c>
      <c r="D1401" s="3">
        <f>'[1]MARCH 2023'!D38</f>
        <v>50</v>
      </c>
      <c r="E1401" s="4">
        <f>'[1]MARCH 2023'!E38</f>
        <v>0</v>
      </c>
      <c r="F1401" s="6">
        <f>'[1]MARCH 2023'!F38</f>
        <v>0</v>
      </c>
      <c r="G1401" s="4"/>
      <c r="H1401" s="4"/>
    </row>
    <row r="1402" spans="1:8" x14ac:dyDescent="0.2">
      <c r="A1402" s="23">
        <f>'[1]MARCH 2023'!A39</f>
        <v>44991</v>
      </c>
      <c r="B1402" s="12" t="str">
        <f>'[1]MARCH 2023'!B39</f>
        <v>VM</v>
      </c>
      <c r="C1402" s="3">
        <f>'[1]MARCH 2023'!C39</f>
        <v>0</v>
      </c>
      <c r="D1402" s="3">
        <f>'[1]MARCH 2023'!D39</f>
        <v>112</v>
      </c>
      <c r="E1402" s="4">
        <f>'[1]MARCH 2023'!E39</f>
        <v>0</v>
      </c>
      <c r="F1402" s="6">
        <f>'[1]MARCH 2023'!F39</f>
        <v>0</v>
      </c>
      <c r="G1402" s="4"/>
      <c r="H1402" s="4"/>
    </row>
    <row r="1403" spans="1:8" x14ac:dyDescent="0.2">
      <c r="A1403" s="20">
        <f>'[1]MARCH 2023'!A40</f>
        <v>44991</v>
      </c>
      <c r="B1403" s="12" t="str">
        <f>'[1]MARCH 2023'!B40</f>
        <v>LM</v>
      </c>
      <c r="C1403" s="3">
        <f>'[1]MARCH 2023'!C40</f>
        <v>0</v>
      </c>
      <c r="D1403" s="3">
        <f>'[1]MARCH 2023'!D40</f>
        <v>70</v>
      </c>
      <c r="E1403" s="4">
        <f>'[1]MARCH 2023'!E40</f>
        <v>0</v>
      </c>
      <c r="F1403" s="6">
        <f>'[1]MARCH 2023'!F40</f>
        <v>0</v>
      </c>
      <c r="G1403" s="4"/>
      <c r="H1403" s="4"/>
    </row>
    <row r="1404" spans="1:8" x14ac:dyDescent="0.2">
      <c r="A1404" s="23">
        <f>'[1]MARCH 2023'!A41</f>
        <v>44991</v>
      </c>
      <c r="B1404" s="12" t="str">
        <f>'[1]MARCH 2023'!B41</f>
        <v>Kleidung</v>
      </c>
      <c r="C1404" s="3">
        <f>'[1]MARCH 2023'!C41</f>
        <v>0</v>
      </c>
      <c r="D1404" s="3">
        <f>'[1]MARCH 2023'!D41</f>
        <v>594</v>
      </c>
      <c r="E1404" s="4">
        <f>'[1]MARCH 2023'!E41</f>
        <v>0</v>
      </c>
      <c r="F1404" s="6">
        <f>'[1]MARCH 2023'!F41</f>
        <v>0</v>
      </c>
      <c r="G1404" s="4"/>
      <c r="H1404" s="4"/>
    </row>
    <row r="1405" spans="1:8" x14ac:dyDescent="0.2">
      <c r="A1405" s="20">
        <f>'[1]MARCH 2023'!A44</f>
        <v>44992</v>
      </c>
      <c r="B1405" s="12" t="str">
        <f>'[1]MARCH 2023'!B44</f>
        <v>Andere</v>
      </c>
      <c r="C1405" s="3">
        <f>'[1]MARCH 2023'!C44</f>
        <v>0</v>
      </c>
      <c r="D1405" s="3">
        <f>'[1]MARCH 2023'!D44</f>
        <v>1000</v>
      </c>
      <c r="E1405" s="4">
        <f>'[1]MARCH 2023'!E44</f>
        <v>0</v>
      </c>
      <c r="F1405" s="6">
        <f>'[1]MARCH 2023'!F44</f>
        <v>0</v>
      </c>
      <c r="G1405" s="4"/>
      <c r="H1405" s="4"/>
    </row>
    <row r="1406" spans="1:8" x14ac:dyDescent="0.2">
      <c r="A1406" s="23">
        <f>'[1]MARCH 2023'!A45</f>
        <v>44992</v>
      </c>
      <c r="B1406" s="12" t="str">
        <f>'[1]MARCH 2023'!B45</f>
        <v>VM</v>
      </c>
      <c r="C1406" s="3">
        <f>'[1]MARCH 2023'!C45</f>
        <v>0</v>
      </c>
      <c r="D1406" s="3">
        <f>'[1]MARCH 2023'!D45</f>
        <v>470</v>
      </c>
      <c r="E1406" s="4">
        <f>'[1]MARCH 2023'!E45</f>
        <v>0</v>
      </c>
      <c r="F1406" s="6">
        <f>'[1]MARCH 2023'!F45</f>
        <v>0</v>
      </c>
      <c r="G1406" s="4"/>
      <c r="H1406" s="4"/>
    </row>
    <row r="1407" spans="1:8" x14ac:dyDescent="0.2">
      <c r="A1407" s="20">
        <f>'[1]MARCH 2023'!A46</f>
        <v>44992</v>
      </c>
      <c r="B1407" s="12" t="str">
        <f>'[1]MARCH 2023'!B46</f>
        <v>LM</v>
      </c>
      <c r="C1407" s="3">
        <f>'[1]MARCH 2023'!C46</f>
        <v>0</v>
      </c>
      <c r="D1407" s="3">
        <f>'[1]MARCH 2023'!D46</f>
        <v>458</v>
      </c>
      <c r="E1407" s="4">
        <f>'[1]MARCH 2023'!E46</f>
        <v>0</v>
      </c>
      <c r="F1407" s="6">
        <f>'[1]MARCH 2023'!F46</f>
        <v>0</v>
      </c>
      <c r="G1407" s="4"/>
      <c r="H1407" s="4"/>
    </row>
    <row r="1408" spans="1:8" x14ac:dyDescent="0.2">
      <c r="A1408" s="23">
        <f>'[1]MARCH 2023'!A47</f>
        <v>44992</v>
      </c>
      <c r="B1408" s="12" t="str">
        <f>'[1]MARCH 2023'!B47</f>
        <v>VM</v>
      </c>
      <c r="C1408" s="3">
        <f>'[1]MARCH 2023'!C47</f>
        <v>0</v>
      </c>
      <c r="D1408" s="3">
        <f>'[1]MARCH 2023'!D47</f>
        <v>56</v>
      </c>
      <c r="E1408" s="4">
        <f>'[1]MARCH 2023'!E47</f>
        <v>0</v>
      </c>
      <c r="F1408" s="6">
        <f>'[1]MARCH 2023'!F47</f>
        <v>0</v>
      </c>
      <c r="G1408" s="4"/>
      <c r="H1408" s="4"/>
    </row>
    <row r="1409" spans="1:8" x14ac:dyDescent="0.2">
      <c r="A1409" s="20">
        <f>'[1]MARCH 2023'!A48</f>
        <v>44992</v>
      </c>
      <c r="B1409" s="12" t="str">
        <f>'[1]MARCH 2023'!B48</f>
        <v>LM</v>
      </c>
      <c r="C1409" s="3">
        <f>'[1]MARCH 2023'!C48</f>
        <v>0</v>
      </c>
      <c r="D1409" s="3">
        <f>'[1]MARCH 2023'!D48</f>
        <v>512</v>
      </c>
      <c r="E1409" s="4">
        <f>'[1]MARCH 2023'!E48</f>
        <v>0</v>
      </c>
      <c r="F1409" s="6">
        <f>'[1]MARCH 2023'!F48</f>
        <v>0</v>
      </c>
      <c r="G1409" s="4"/>
      <c r="H1409" s="4"/>
    </row>
    <row r="1410" spans="1:8" x14ac:dyDescent="0.2">
      <c r="A1410" s="23">
        <f>'[1]MARCH 2023'!A49</f>
        <v>44992</v>
      </c>
      <c r="B1410" s="12" t="str">
        <f>'[1]MARCH 2023'!B49</f>
        <v>Frauen</v>
      </c>
      <c r="C1410" s="3">
        <f>'[1]MARCH 2023'!C49</f>
        <v>0</v>
      </c>
      <c r="D1410" s="3">
        <f>'[1]MARCH 2023'!D49</f>
        <v>0</v>
      </c>
      <c r="E1410" s="4">
        <f>'[1]MARCH 2023'!E49</f>
        <v>0</v>
      </c>
      <c r="F1410" s="6">
        <f>'[1]MARCH 2023'!F49</f>
        <v>3600</v>
      </c>
      <c r="G1410" s="4"/>
      <c r="H1410" s="4"/>
    </row>
    <row r="1411" spans="1:8" x14ac:dyDescent="0.2">
      <c r="A1411" s="23">
        <f>'[1]MARCH 2023'!A51</f>
        <v>44993</v>
      </c>
      <c r="B1411" s="12" t="str">
        <f>'[1]MARCH 2023'!B51</f>
        <v>Andere</v>
      </c>
      <c r="C1411" s="3">
        <f>'[1]MARCH 2023'!C51</f>
        <v>0</v>
      </c>
      <c r="D1411" s="3">
        <f>'[1]MARCH 2023'!D51</f>
        <v>4000</v>
      </c>
      <c r="E1411" s="4">
        <f>'[1]MARCH 2023'!E51</f>
        <v>0</v>
      </c>
      <c r="F1411" s="6">
        <f>'[1]MARCH 2023'!F51</f>
        <v>0</v>
      </c>
      <c r="G1411" s="4"/>
      <c r="H1411" s="4"/>
    </row>
    <row r="1412" spans="1:8" x14ac:dyDescent="0.2">
      <c r="A1412" s="20">
        <f>'[1]MARCH 2023'!A52</f>
        <v>44993</v>
      </c>
      <c r="B1412" s="12" t="str">
        <f>'[1]MARCH 2023'!B52</f>
        <v>LM</v>
      </c>
      <c r="C1412" s="3">
        <f>'[1]MARCH 2023'!C52</f>
        <v>0</v>
      </c>
      <c r="D1412" s="3">
        <f>'[1]MARCH 2023'!D52</f>
        <v>738.42</v>
      </c>
      <c r="E1412" s="4">
        <f>'[1]MARCH 2023'!E52</f>
        <v>0</v>
      </c>
      <c r="F1412" s="6">
        <f>'[1]MARCH 2023'!F52</f>
        <v>0</v>
      </c>
      <c r="G1412" s="4"/>
      <c r="H1412" s="4"/>
    </row>
    <row r="1413" spans="1:8" x14ac:dyDescent="0.2">
      <c r="A1413" s="20">
        <f>'[1]MARCH 2023'!A58</f>
        <v>44994</v>
      </c>
      <c r="B1413" s="12" t="str">
        <f>'[1]MARCH 2023'!B58</f>
        <v>VM</v>
      </c>
      <c r="C1413" s="3">
        <f>'[1]MARCH 2023'!C58</f>
        <v>0</v>
      </c>
      <c r="D1413" s="3">
        <f>'[1]MARCH 2023'!D58</f>
        <v>56</v>
      </c>
      <c r="E1413" s="4">
        <f>'[1]MARCH 2023'!E58</f>
        <v>0</v>
      </c>
      <c r="F1413" s="6">
        <f>'[1]MARCH 2023'!F58</f>
        <v>0</v>
      </c>
      <c r="G1413" s="4"/>
      <c r="H1413" s="4"/>
    </row>
    <row r="1414" spans="1:8" x14ac:dyDescent="0.2">
      <c r="A1414" s="23">
        <f>'[1]MARCH 2023'!A59</f>
        <v>44994</v>
      </c>
      <c r="B1414" s="12" t="str">
        <f>'[1]MARCH 2023'!B59</f>
        <v>LM</v>
      </c>
      <c r="C1414" s="3">
        <f>'[1]MARCH 2023'!C59</f>
        <v>0</v>
      </c>
      <c r="D1414" s="3">
        <f>'[1]MARCH 2023'!D59</f>
        <v>507</v>
      </c>
      <c r="E1414" s="4">
        <f>'[1]MARCH 2023'!E59</f>
        <v>0</v>
      </c>
      <c r="F1414" s="6">
        <f>'[1]MARCH 2023'!F59</f>
        <v>0</v>
      </c>
      <c r="G1414" s="4"/>
      <c r="H1414" s="4"/>
    </row>
    <row r="1415" spans="1:8" x14ac:dyDescent="0.2">
      <c r="A1415" s="20">
        <f>'[1]MARCH 2023'!A60</f>
        <v>44994</v>
      </c>
      <c r="B1415" s="12" t="str">
        <f>'[1]MARCH 2023'!B60</f>
        <v>Refill</v>
      </c>
      <c r="C1415" s="3">
        <f>'[1]MARCH 2023'!C60</f>
        <v>45356.33</v>
      </c>
      <c r="D1415" s="3">
        <f>'[1]MARCH 2023'!D60</f>
        <v>0</v>
      </c>
      <c r="E1415" s="4">
        <f>'[1]MARCH 2023'!E60</f>
        <v>0</v>
      </c>
      <c r="F1415" s="6">
        <f>'[1]MARCH 2023'!F60</f>
        <v>0</v>
      </c>
      <c r="G1415" s="4"/>
      <c r="H1415" s="4"/>
    </row>
    <row r="1416" spans="1:8" x14ac:dyDescent="0.2">
      <c r="A1416" s="23">
        <f>'[1]MARCH 2023'!A65</f>
        <v>44995</v>
      </c>
      <c r="B1416" s="12" t="str">
        <f>'[1]MARCH 2023'!B65</f>
        <v>LM</v>
      </c>
      <c r="C1416" s="3">
        <f>'[1]MARCH 2023'!C65</f>
        <v>0</v>
      </c>
      <c r="D1416" s="3">
        <f>'[1]MARCH 2023'!D65</f>
        <v>420</v>
      </c>
      <c r="E1416" s="4">
        <f>'[1]MARCH 2023'!E65</f>
        <v>0</v>
      </c>
      <c r="F1416" s="6">
        <f>'[1]MARCH 2023'!F65</f>
        <v>0</v>
      </c>
      <c r="G1416" s="4"/>
      <c r="H1416" s="4"/>
    </row>
    <row r="1417" spans="1:8" x14ac:dyDescent="0.2">
      <c r="A1417" s="20">
        <f>'[1]MARCH 2023'!A72</f>
        <v>44996</v>
      </c>
      <c r="B1417" s="12" t="str">
        <f>'[1]MARCH 2023'!B72</f>
        <v>VM</v>
      </c>
      <c r="C1417" s="3">
        <f>'[1]MARCH 2023'!C72</f>
        <v>0</v>
      </c>
      <c r="D1417" s="3">
        <f>'[1]MARCH 2023'!D72</f>
        <v>468</v>
      </c>
      <c r="E1417" s="4">
        <f>'[1]MARCH 2023'!E72</f>
        <v>0</v>
      </c>
      <c r="F1417" s="6">
        <f>'[1]MARCH 2023'!F72</f>
        <v>0</v>
      </c>
      <c r="G1417" s="4"/>
      <c r="H1417" s="4"/>
    </row>
    <row r="1418" spans="1:8" x14ac:dyDescent="0.2">
      <c r="A1418" s="23">
        <f>'[1]MARCH 2023'!A73</f>
        <v>44996</v>
      </c>
      <c r="B1418" s="12" t="str">
        <f>'[1]MARCH 2023'!B73</f>
        <v>Party</v>
      </c>
      <c r="C1418" s="3">
        <f>'[1]MARCH 2023'!C73</f>
        <v>0</v>
      </c>
      <c r="D1418" s="3">
        <f>'[1]MARCH 2023'!D73</f>
        <v>1430</v>
      </c>
      <c r="E1418" s="4">
        <f>'[1]MARCH 2023'!E73</f>
        <v>0</v>
      </c>
      <c r="F1418" s="6">
        <f>'[1]MARCH 2023'!F73</f>
        <v>0</v>
      </c>
      <c r="G1418" s="4"/>
      <c r="H1418" s="4"/>
    </row>
    <row r="1419" spans="1:8" x14ac:dyDescent="0.2">
      <c r="A1419" s="23">
        <f>'[1]MARCH 2023'!A79</f>
        <v>44997</v>
      </c>
      <c r="B1419" s="12" t="str">
        <f>'[1]MARCH 2023'!B79</f>
        <v>LM</v>
      </c>
      <c r="C1419" s="3">
        <f>'[1]MARCH 2023'!C79</f>
        <v>0</v>
      </c>
      <c r="D1419" s="3">
        <f>'[1]MARCH 2023'!D79</f>
        <v>668.24</v>
      </c>
      <c r="E1419" s="4">
        <f>'[1]MARCH 2023'!E79</f>
        <v>0</v>
      </c>
      <c r="F1419" s="6">
        <f>'[1]MARCH 2023'!F79</f>
        <v>0</v>
      </c>
      <c r="G1419" s="4"/>
      <c r="H1419" s="4"/>
    </row>
    <row r="1420" spans="1:8" x14ac:dyDescent="0.2">
      <c r="A1420" s="20">
        <f>'[1]MARCH 2023'!A86</f>
        <v>44998</v>
      </c>
      <c r="B1420" s="12" t="str">
        <f>'[1]MARCH 2023'!B86</f>
        <v>VM</v>
      </c>
      <c r="C1420" s="3">
        <f>'[1]MARCH 2023'!C86</f>
        <v>0</v>
      </c>
      <c r="D1420" s="3">
        <f>'[1]MARCH 2023'!D86</f>
        <v>369</v>
      </c>
      <c r="E1420" s="4">
        <f>'[1]MARCH 2023'!E86</f>
        <v>0</v>
      </c>
      <c r="F1420" s="6">
        <f>'[1]MARCH 2023'!F86</f>
        <v>0</v>
      </c>
      <c r="G1420" s="4"/>
      <c r="H1420" s="4"/>
    </row>
    <row r="1421" spans="1:8" x14ac:dyDescent="0.2">
      <c r="A1421" s="23">
        <f>'[1]MARCH 2023'!A87</f>
        <v>44998</v>
      </c>
      <c r="B1421" s="12" t="str">
        <f>'[1]MARCH 2023'!B87</f>
        <v>VM</v>
      </c>
      <c r="C1421" s="3">
        <f>'[1]MARCH 2023'!C87</f>
        <v>0</v>
      </c>
      <c r="D1421" s="3">
        <f>'[1]MARCH 2023'!D87</f>
        <v>0</v>
      </c>
      <c r="E1421" s="4">
        <f>'[1]MARCH 2023'!E87</f>
        <v>0</v>
      </c>
      <c r="F1421" s="6">
        <f>'[1]MARCH 2023'!F87</f>
        <v>0</v>
      </c>
      <c r="G1421" s="4"/>
      <c r="H1421" s="4"/>
    </row>
    <row r="1422" spans="1:8" x14ac:dyDescent="0.2">
      <c r="A1422" s="20">
        <f>'[1]MARCH 2023'!A88</f>
        <v>44998</v>
      </c>
      <c r="B1422" s="12" t="str">
        <f>'[1]MARCH 2023'!B88</f>
        <v>Andere</v>
      </c>
      <c r="C1422" s="3">
        <f>'[1]MARCH 2023'!C88</f>
        <v>0</v>
      </c>
      <c r="D1422" s="3">
        <f>'[1]MARCH 2023'!D88</f>
        <v>750</v>
      </c>
      <c r="E1422" s="4">
        <f>'[1]MARCH 2023'!E88</f>
        <v>0</v>
      </c>
      <c r="F1422" s="6">
        <f>'[1]MARCH 2023'!F88</f>
        <v>0</v>
      </c>
      <c r="G1422" s="4"/>
      <c r="H1422" s="4"/>
    </row>
    <row r="1423" spans="1:8" x14ac:dyDescent="0.2">
      <c r="A1423" s="23">
        <f>'[1]MARCH 2023'!A89</f>
        <v>44998</v>
      </c>
      <c r="B1423" s="12" t="str">
        <f>'[1]MARCH 2023'!B89</f>
        <v>LM</v>
      </c>
      <c r="C1423" s="3">
        <f>'[1]MARCH 2023'!C89</f>
        <v>0</v>
      </c>
      <c r="D1423" s="3">
        <f>'[1]MARCH 2023'!D89</f>
        <v>634.99</v>
      </c>
      <c r="E1423" s="4">
        <f>'[1]MARCH 2023'!E89</f>
        <v>0</v>
      </c>
      <c r="F1423" s="6">
        <f>'[1]MARCH 2023'!F89</f>
        <v>0</v>
      </c>
      <c r="G1423" s="4"/>
      <c r="H1423" s="4"/>
    </row>
    <row r="1424" spans="1:8" x14ac:dyDescent="0.2">
      <c r="A1424" s="23">
        <f>'[1]MARCH 2023'!A93</f>
        <v>44999</v>
      </c>
      <c r="B1424" s="12" t="str">
        <f>'[1]MARCH 2023'!B93</f>
        <v>VM</v>
      </c>
      <c r="C1424" s="3">
        <f>'[1]MARCH 2023'!C93</f>
        <v>0</v>
      </c>
      <c r="D1424" s="3">
        <f>'[1]MARCH 2023'!D93</f>
        <v>556</v>
      </c>
      <c r="E1424" s="4">
        <f>'[1]MARCH 2023'!E93</f>
        <v>0</v>
      </c>
      <c r="F1424" s="6">
        <f>'[1]MARCH 2023'!F93</f>
        <v>0</v>
      </c>
      <c r="G1424" s="4"/>
      <c r="H1424" s="4"/>
    </row>
    <row r="1425" spans="1:8" x14ac:dyDescent="0.2">
      <c r="A1425" s="20">
        <f>'[1]MARCH 2023'!A94</f>
        <v>44999</v>
      </c>
      <c r="B1425" s="12" t="str">
        <f>'[1]MARCH 2023'!B94</f>
        <v>LM</v>
      </c>
      <c r="C1425" s="3">
        <f>'[1]MARCH 2023'!C94</f>
        <v>0</v>
      </c>
      <c r="D1425" s="3">
        <f>'[1]MARCH 2023'!D94</f>
        <v>490</v>
      </c>
      <c r="E1425" s="4">
        <f>'[1]MARCH 2023'!E94</f>
        <v>0</v>
      </c>
      <c r="F1425" s="6">
        <f>'[1]MARCH 2023'!F94</f>
        <v>0</v>
      </c>
      <c r="G1425" s="4"/>
      <c r="H1425" s="4"/>
    </row>
    <row r="1426" spans="1:8" x14ac:dyDescent="0.2">
      <c r="A1426" s="23">
        <f>'[1]MARCH 2023'!A107</f>
        <v>45001</v>
      </c>
      <c r="B1426" s="12" t="str">
        <f>'[1]MARCH 2023'!B107</f>
        <v>Party</v>
      </c>
      <c r="C1426" s="3">
        <f>'[1]MARCH 2023'!C107</f>
        <v>0</v>
      </c>
      <c r="D1426" s="3">
        <f>'[1]MARCH 2023'!D107</f>
        <v>1400</v>
      </c>
      <c r="E1426" s="4">
        <f>'[1]MARCH 2023'!E107</f>
        <v>0</v>
      </c>
      <c r="F1426" s="6">
        <f>'[1]MARCH 2023'!F107</f>
        <v>0</v>
      </c>
      <c r="G1426" s="4"/>
      <c r="H1426" s="4"/>
    </row>
    <row r="1427" spans="1:8" x14ac:dyDescent="0.2">
      <c r="A1427" s="20">
        <f>'[1]MARCH 2023'!A114</f>
        <v>45002</v>
      </c>
      <c r="B1427" s="12" t="str">
        <f>'[1]MARCH 2023'!B114</f>
        <v>Andere</v>
      </c>
      <c r="C1427" s="3">
        <f>'[1]MARCH 2023'!C114</f>
        <v>0</v>
      </c>
      <c r="D1427" s="3">
        <f>'[1]MARCH 2023'!D114</f>
        <v>400</v>
      </c>
      <c r="E1427" s="4">
        <f>'[1]MARCH 2023'!E114</f>
        <v>0</v>
      </c>
      <c r="F1427" s="6">
        <f>'[1]MARCH 2023'!F114</f>
        <v>0</v>
      </c>
      <c r="G1427" s="4"/>
      <c r="H1427" s="4"/>
    </row>
    <row r="1428" spans="1:8" x14ac:dyDescent="0.2">
      <c r="A1428" s="23">
        <f>'[1]MARCH 2023'!A115</f>
        <v>45002</v>
      </c>
      <c r="B1428" s="12" t="str">
        <f>'[1]MARCH 2023'!B115</f>
        <v>Kleidung</v>
      </c>
      <c r="C1428" s="3">
        <f>'[1]MARCH 2023'!C115</f>
        <v>0</v>
      </c>
      <c r="D1428" s="3">
        <f>'[1]MARCH 2023'!D115</f>
        <v>584</v>
      </c>
      <c r="E1428" s="4">
        <f>'[1]MARCH 2023'!E115</f>
        <v>0</v>
      </c>
      <c r="F1428" s="6">
        <f>'[1]MARCH 2023'!F115</f>
        <v>0</v>
      </c>
      <c r="G1428" s="4"/>
      <c r="H1428" s="4"/>
    </row>
    <row r="1429" spans="1:8" x14ac:dyDescent="0.2">
      <c r="A1429" s="20">
        <f>'[1]MARCH 2023'!A116</f>
        <v>45002</v>
      </c>
      <c r="B1429" s="12" t="str">
        <f>'[1]MARCH 2023'!B116</f>
        <v>LM</v>
      </c>
      <c r="C1429" s="3">
        <f>'[1]MARCH 2023'!C116</f>
        <v>0</v>
      </c>
      <c r="D1429" s="3">
        <f>'[1]MARCH 2023'!D116</f>
        <v>287.14999999999998</v>
      </c>
      <c r="E1429" s="4">
        <f>'[1]MARCH 2023'!E116</f>
        <v>0</v>
      </c>
      <c r="F1429" s="6">
        <f>'[1]MARCH 2023'!F116</f>
        <v>0</v>
      </c>
      <c r="G1429" s="4"/>
      <c r="H1429" s="4"/>
    </row>
    <row r="1430" spans="1:8" x14ac:dyDescent="0.2">
      <c r="A1430" s="23">
        <f>'[1]MARCH 2023'!A121</f>
        <v>45003</v>
      </c>
      <c r="B1430" s="12" t="str">
        <f>'[1]MARCH 2023'!B121</f>
        <v>VM</v>
      </c>
      <c r="C1430" s="3">
        <f>'[1]MARCH 2023'!C121</f>
        <v>0</v>
      </c>
      <c r="D1430" s="3">
        <f>'[1]MARCH 2023'!D121</f>
        <v>542</v>
      </c>
      <c r="E1430" s="4">
        <f>'[1]MARCH 2023'!E121</f>
        <v>0</v>
      </c>
      <c r="F1430" s="6">
        <f>'[1]MARCH 2023'!F121</f>
        <v>0</v>
      </c>
      <c r="G1430" s="4"/>
      <c r="H1430" s="4"/>
    </row>
    <row r="1431" spans="1:8" x14ac:dyDescent="0.2">
      <c r="A1431" s="20">
        <f>'[1]MARCH 2023'!A122</f>
        <v>45003</v>
      </c>
      <c r="B1431" s="12" t="str">
        <f>'[1]MARCH 2023'!B122</f>
        <v>Frauen</v>
      </c>
      <c r="C1431" s="3">
        <f>'[1]MARCH 2023'!C122</f>
        <v>0</v>
      </c>
      <c r="D1431" s="3">
        <f>'[1]MARCH 2023'!D122</f>
        <v>2655</v>
      </c>
      <c r="E1431" s="4">
        <f>'[1]MARCH 2023'!E122</f>
        <v>0</v>
      </c>
      <c r="F1431" s="6">
        <f>'[1]MARCH 2023'!F122</f>
        <v>0</v>
      </c>
      <c r="G1431" s="4"/>
      <c r="H1431" s="4"/>
    </row>
    <row r="1432" spans="1:8" x14ac:dyDescent="0.2">
      <c r="A1432" s="20">
        <f>'[1]MARCH 2023'!A128</f>
        <v>45004</v>
      </c>
      <c r="B1432" s="12" t="str">
        <f>'[1]MARCH 2023'!B128</f>
        <v>LM</v>
      </c>
      <c r="C1432" s="3">
        <f>'[1]MARCH 2023'!C128</f>
        <v>0</v>
      </c>
      <c r="D1432" s="3">
        <f>'[1]MARCH 2023'!D128</f>
        <v>680.99</v>
      </c>
      <c r="E1432" s="4">
        <f>'[1]MARCH 2023'!E128</f>
        <v>0</v>
      </c>
      <c r="F1432" s="6">
        <f>'[1]MARCH 2023'!F128</f>
        <v>0</v>
      </c>
      <c r="G1432" s="4"/>
      <c r="H1432" s="4"/>
    </row>
    <row r="1433" spans="1:8" x14ac:dyDescent="0.2">
      <c r="A1433" s="23">
        <f>'[1]MARCH 2023'!A129</f>
        <v>45004</v>
      </c>
      <c r="B1433" s="12" t="str">
        <f>'[1]MARCH 2023'!B129</f>
        <v>Party</v>
      </c>
      <c r="C1433" s="3">
        <f>'[1]MARCH 2023'!C129</f>
        <v>0</v>
      </c>
      <c r="D1433" s="3">
        <f>'[1]MARCH 2023'!D129</f>
        <v>240</v>
      </c>
      <c r="E1433" s="4">
        <f>'[1]MARCH 2023'!E129</f>
        <v>0</v>
      </c>
      <c r="F1433" s="6">
        <f>'[1]MARCH 2023'!F129</f>
        <v>0</v>
      </c>
      <c r="G1433" s="4"/>
      <c r="H1433" s="4"/>
    </row>
    <row r="1434" spans="1:8" x14ac:dyDescent="0.2">
      <c r="A1434" s="23">
        <f>'[1]MARCH 2023'!A135</f>
        <v>45005</v>
      </c>
      <c r="B1434" s="12" t="str">
        <f>'[1]MARCH 2023'!B135</f>
        <v>LM</v>
      </c>
      <c r="C1434" s="3">
        <f>'[1]MARCH 2023'!C135</f>
        <v>0</v>
      </c>
      <c r="D1434" s="3">
        <f>'[1]MARCH 2023'!D135</f>
        <v>2164.15</v>
      </c>
      <c r="E1434" s="4">
        <f>'[1]MARCH 2023'!E135</f>
        <v>0</v>
      </c>
      <c r="F1434" s="6">
        <f>'[1]MARCH 2023'!F135</f>
        <v>0</v>
      </c>
      <c r="G1434" s="4"/>
      <c r="H1434" s="4"/>
    </row>
    <row r="1435" spans="1:8" x14ac:dyDescent="0.2">
      <c r="A1435" s="20">
        <f>'[1]MARCH 2023'!A136</f>
        <v>45005</v>
      </c>
      <c r="B1435" s="12" t="str">
        <f>'[1]MARCH 2023'!B136</f>
        <v>Rauchen</v>
      </c>
      <c r="C1435" s="3">
        <f>'[1]MARCH 2023'!C136</f>
        <v>0</v>
      </c>
      <c r="D1435" s="3">
        <f>'[1]MARCH 2023'!D136</f>
        <v>140</v>
      </c>
      <c r="E1435" s="4">
        <f>'[1]MARCH 2023'!E136</f>
        <v>0</v>
      </c>
      <c r="F1435" s="6">
        <f>'[1]MARCH 2023'!F136</f>
        <v>0</v>
      </c>
      <c r="G1435" s="4"/>
      <c r="H1435" s="4"/>
    </row>
    <row r="1436" spans="1:8" x14ac:dyDescent="0.2">
      <c r="A1436" s="20">
        <f>'[1]MARCH 2023'!A142</f>
        <v>45006</v>
      </c>
      <c r="B1436" s="12" t="str">
        <f>'[1]MARCH 2023'!B142</f>
        <v>LM</v>
      </c>
      <c r="C1436" s="3">
        <f>'[1]MARCH 2023'!C142</f>
        <v>0</v>
      </c>
      <c r="D1436" s="3">
        <f>'[1]MARCH 2023'!D142</f>
        <v>215</v>
      </c>
      <c r="E1436" s="4">
        <f>'[1]MARCH 2023'!E142</f>
        <v>0</v>
      </c>
      <c r="F1436" s="6">
        <f>'[1]MARCH 2023'!F142</f>
        <v>0</v>
      </c>
      <c r="G1436" s="4"/>
      <c r="H1436" s="4"/>
    </row>
    <row r="1437" spans="1:8" x14ac:dyDescent="0.2">
      <c r="A1437" s="23">
        <f>'[1]MARCH 2023'!A149</f>
        <v>45007</v>
      </c>
      <c r="B1437" s="12" t="str">
        <f>'[1]MARCH 2023'!B149</f>
        <v>VM</v>
      </c>
      <c r="C1437" s="3">
        <f>'[1]MARCH 2023'!C149</f>
        <v>0</v>
      </c>
      <c r="D1437" s="3">
        <f>'[1]MARCH 2023'!D149</f>
        <v>112</v>
      </c>
      <c r="E1437" s="4">
        <f>'[1]MARCH 2023'!E149</f>
        <v>0</v>
      </c>
      <c r="F1437" s="6">
        <f>'[1]MARCH 2023'!F149</f>
        <v>0</v>
      </c>
      <c r="G1437" s="4"/>
      <c r="H1437" s="4"/>
    </row>
    <row r="1438" spans="1:8" x14ac:dyDescent="0.2">
      <c r="A1438" s="20">
        <f>'[1]MARCH 2023'!A156</f>
        <v>45008</v>
      </c>
      <c r="B1438" s="12" t="str">
        <f>'[1]MARCH 2023'!B156</f>
        <v>LM</v>
      </c>
      <c r="C1438" s="3">
        <f>'[1]MARCH 2023'!C156</f>
        <v>0</v>
      </c>
      <c r="D1438" s="3">
        <f>'[1]MARCH 2023'!D156</f>
        <v>742.5</v>
      </c>
      <c r="E1438" s="4">
        <f>'[1]MARCH 2023'!E156</f>
        <v>0</v>
      </c>
      <c r="F1438" s="6">
        <f>'[1]MARCH 2023'!F156</f>
        <v>0</v>
      </c>
      <c r="G1438" s="4"/>
      <c r="H1438" s="4"/>
    </row>
    <row r="1439" spans="1:8" x14ac:dyDescent="0.2">
      <c r="A1439" s="23">
        <f>'[1]MARCH 2023'!A157</f>
        <v>45008</v>
      </c>
      <c r="B1439" s="12" t="str">
        <f>'[1]MARCH 2023'!B157</f>
        <v>VM</v>
      </c>
      <c r="C1439" s="3">
        <f>'[1]MARCH 2023'!C157</f>
        <v>0</v>
      </c>
      <c r="D1439" s="3">
        <f>'[1]MARCH 2023'!D157</f>
        <v>56</v>
      </c>
      <c r="E1439" s="4">
        <f>'[1]MARCH 2023'!E157</f>
        <v>0</v>
      </c>
      <c r="F1439" s="6">
        <f>'[1]MARCH 2023'!F157</f>
        <v>0</v>
      </c>
      <c r="G1439" s="4"/>
      <c r="H1439" s="4"/>
    </row>
    <row r="1440" spans="1:8" x14ac:dyDescent="0.2">
      <c r="A1440" s="23">
        <f>'[1]MARCH 2023'!A163</f>
        <v>45009</v>
      </c>
      <c r="B1440" s="12" t="str">
        <f>'[1]MARCH 2023'!B163</f>
        <v>Rauchen</v>
      </c>
      <c r="C1440" s="3">
        <f>'[1]MARCH 2023'!C163</f>
        <v>0</v>
      </c>
      <c r="D1440" s="3">
        <f>'[1]MARCH 2023'!D163</f>
        <v>150</v>
      </c>
      <c r="E1440" s="4">
        <f>'[1]MARCH 2023'!E163</f>
        <v>0</v>
      </c>
      <c r="F1440" s="6">
        <f>'[1]MARCH 2023'!F163</f>
        <v>0</v>
      </c>
      <c r="G1440" s="4"/>
      <c r="H1440" s="4"/>
    </row>
    <row r="1441" spans="1:8" x14ac:dyDescent="0.2">
      <c r="A1441" s="20">
        <f>'[1]MARCH 2023'!A164</f>
        <v>45009</v>
      </c>
      <c r="B1441" s="12" t="str">
        <f>'[1]MARCH 2023'!B164</f>
        <v>VM</v>
      </c>
      <c r="C1441" s="3">
        <f>'[1]MARCH 2023'!C164</f>
        <v>0</v>
      </c>
      <c r="D1441" s="3">
        <f>'[1]MARCH 2023'!D164</f>
        <v>112</v>
      </c>
      <c r="E1441" s="4">
        <f>'[1]MARCH 2023'!E164</f>
        <v>0</v>
      </c>
      <c r="F1441" s="6">
        <f>'[1]MARCH 2023'!F164</f>
        <v>0</v>
      </c>
      <c r="G1441" s="4"/>
      <c r="H1441" s="4"/>
    </row>
    <row r="1442" spans="1:8" x14ac:dyDescent="0.2">
      <c r="A1442" s="23">
        <f>'[1]MARCH 2023'!A165</f>
        <v>45009</v>
      </c>
      <c r="B1442" s="12" t="str">
        <f>'[1]MARCH 2023'!B165</f>
        <v>LM</v>
      </c>
      <c r="C1442" s="3">
        <f>'[1]MARCH 2023'!C165</f>
        <v>0</v>
      </c>
      <c r="D1442" s="3">
        <f>'[1]MARCH 2023'!D165</f>
        <v>344.97</v>
      </c>
      <c r="E1442" s="4">
        <f>'[1]MARCH 2023'!E165</f>
        <v>0</v>
      </c>
      <c r="F1442" s="6">
        <f>'[1]MARCH 2023'!F165</f>
        <v>0</v>
      </c>
      <c r="G1442" s="4"/>
      <c r="H1442" s="4"/>
    </row>
    <row r="1443" spans="1:8" x14ac:dyDescent="0.2">
      <c r="A1443" s="20">
        <f>'[1]MARCH 2023'!A166</f>
        <v>45009</v>
      </c>
      <c r="B1443" s="12" t="str">
        <f>'[1]MARCH 2023'!B166</f>
        <v>Refill</v>
      </c>
      <c r="C1443" s="3">
        <f>'[1]MARCH 2023'!C166</f>
        <v>40811.089999999997</v>
      </c>
      <c r="D1443" s="3">
        <f>'[1]MARCH 2023'!D166</f>
        <v>0</v>
      </c>
      <c r="E1443" s="4">
        <f>'[1]MARCH 2023'!E166</f>
        <v>0</v>
      </c>
      <c r="F1443" s="6">
        <f>'[1]MARCH 2023'!F166</f>
        <v>0</v>
      </c>
      <c r="G1443" s="4"/>
      <c r="H1443" s="4"/>
    </row>
    <row r="1444" spans="1:8" x14ac:dyDescent="0.2">
      <c r="A1444" s="20">
        <f>'[1]MARCH 2023'!A170</f>
        <v>45010</v>
      </c>
      <c r="B1444" s="12" t="str">
        <f>'[1]MARCH 2023'!B170</f>
        <v>Andere</v>
      </c>
      <c r="C1444" s="3">
        <f>'[1]MARCH 2023'!C170</f>
        <v>0</v>
      </c>
      <c r="D1444" s="3">
        <f>'[1]MARCH 2023'!D170</f>
        <v>10</v>
      </c>
      <c r="E1444" s="4">
        <f>'[1]MARCH 2023'!E170</f>
        <v>0</v>
      </c>
      <c r="F1444" s="6">
        <f>'[1]MARCH 2023'!F170</f>
        <v>0</v>
      </c>
      <c r="G1444" s="4"/>
      <c r="H1444" s="4"/>
    </row>
    <row r="1445" spans="1:8" x14ac:dyDescent="0.2">
      <c r="A1445" s="23">
        <f>'[1]MARCH 2023'!A171</f>
        <v>45010</v>
      </c>
      <c r="B1445" s="12" t="str">
        <f>'[1]MARCH 2023'!B171</f>
        <v>VM</v>
      </c>
      <c r="C1445" s="3">
        <f>'[1]MARCH 2023'!C171</f>
        <v>0</v>
      </c>
      <c r="D1445" s="3">
        <f>'[1]MARCH 2023'!D171</f>
        <v>0</v>
      </c>
      <c r="E1445" s="4">
        <f>'[1]MARCH 2023'!E171</f>
        <v>0</v>
      </c>
      <c r="F1445" s="6">
        <f>'[1]MARCH 2023'!F171</f>
        <v>63</v>
      </c>
      <c r="G1445" s="4"/>
      <c r="H1445" s="4"/>
    </row>
    <row r="1446" spans="1:8" x14ac:dyDescent="0.2">
      <c r="A1446" s="20">
        <f>'[1]MARCH 2023'!A172</f>
        <v>45010</v>
      </c>
      <c r="B1446" s="12" t="str">
        <f>'[1]MARCH 2023'!B172</f>
        <v>Kleidung</v>
      </c>
      <c r="C1446" s="3">
        <f>'[1]MARCH 2023'!C172</f>
        <v>0</v>
      </c>
      <c r="D1446" s="3">
        <f>'[1]MARCH 2023'!D172</f>
        <v>2427</v>
      </c>
      <c r="E1446" s="4">
        <f>'[1]MARCH 2023'!E172</f>
        <v>0</v>
      </c>
      <c r="F1446" s="6">
        <f>'[1]MARCH 2023'!F172</f>
        <v>0</v>
      </c>
      <c r="G1446" s="4"/>
      <c r="H1446" s="4"/>
    </row>
    <row r="1447" spans="1:8" x14ac:dyDescent="0.2">
      <c r="A1447" s="23">
        <f>'[1]MARCH 2023'!A177</f>
        <v>45011</v>
      </c>
      <c r="B1447" s="12" t="str">
        <f>'[1]MARCH 2023'!B177</f>
        <v>LM</v>
      </c>
      <c r="C1447" s="3">
        <f>'[1]MARCH 2023'!C177</f>
        <v>0</v>
      </c>
      <c r="D1447" s="3">
        <f>'[1]MARCH 2023'!D177</f>
        <v>594.98</v>
      </c>
      <c r="E1447" s="4">
        <f>'[1]MARCH 2023'!E177</f>
        <v>0</v>
      </c>
      <c r="F1447" s="6">
        <f>'[1]MARCH 2023'!F177</f>
        <v>0</v>
      </c>
      <c r="G1447" s="4"/>
      <c r="H1447" s="4"/>
    </row>
    <row r="1448" spans="1:8" x14ac:dyDescent="0.2">
      <c r="A1448" s="20">
        <f>'[1]MARCH 2023'!A178</f>
        <v>45011</v>
      </c>
      <c r="B1448" s="12" t="str">
        <f>'[1]MARCH 2023'!B178</f>
        <v>for me</v>
      </c>
      <c r="C1448" s="3">
        <f>'[1]MARCH 2023'!C178</f>
        <v>0</v>
      </c>
      <c r="D1448" s="3">
        <f>'[1]MARCH 2023'!D178</f>
        <v>416.5</v>
      </c>
      <c r="E1448" s="4">
        <f>'[1]MARCH 2023'!E178</f>
        <v>0</v>
      </c>
      <c r="F1448" s="6">
        <f>'[1]MARCH 2023'!F178</f>
        <v>0</v>
      </c>
      <c r="G1448" s="4"/>
      <c r="H1448" s="4"/>
    </row>
    <row r="1449" spans="1:8" x14ac:dyDescent="0.2">
      <c r="A1449" s="23">
        <f>'[1]MARCH 2023'!A179</f>
        <v>45011</v>
      </c>
      <c r="B1449" s="12" t="str">
        <f>'[1]MARCH 2023'!B179</f>
        <v>VM</v>
      </c>
      <c r="C1449" s="3">
        <f>'[1]MARCH 2023'!C179</f>
        <v>0</v>
      </c>
      <c r="D1449" s="3">
        <f>'[1]MARCH 2023'!D179</f>
        <v>0</v>
      </c>
      <c r="E1449" s="4">
        <f>'[1]MARCH 2023'!E179</f>
        <v>0</v>
      </c>
      <c r="F1449" s="6">
        <f>'[1]MARCH 2023'!F179</f>
        <v>24</v>
      </c>
      <c r="G1449" s="4"/>
      <c r="H1449" s="4"/>
    </row>
    <row r="1450" spans="1:8" x14ac:dyDescent="0.2">
      <c r="A1450" s="20">
        <f>'[1]MARCH 2023'!A184</f>
        <v>45012</v>
      </c>
      <c r="B1450" s="12" t="str">
        <f>'[1]MARCH 2023'!B184</f>
        <v>LM</v>
      </c>
      <c r="C1450" s="3">
        <f>'[1]MARCH 2023'!C184</f>
        <v>0</v>
      </c>
      <c r="D1450" s="3">
        <f>'[1]MARCH 2023'!D184</f>
        <v>450</v>
      </c>
      <c r="E1450" s="4">
        <f>'[1]MARCH 2023'!E184</f>
        <v>0</v>
      </c>
      <c r="F1450" s="6">
        <f>'[1]MARCH 2023'!F184</f>
        <v>0</v>
      </c>
      <c r="G1450" s="4"/>
      <c r="H1450" s="4"/>
    </row>
    <row r="1451" spans="1:8" x14ac:dyDescent="0.2">
      <c r="A1451" s="23">
        <f>'[1]MARCH 2023'!A185</f>
        <v>45012</v>
      </c>
      <c r="B1451" s="12" t="str">
        <f>'[1]MARCH 2023'!B185</f>
        <v>Andere</v>
      </c>
      <c r="C1451" s="3">
        <f>'[1]MARCH 2023'!C185</f>
        <v>0</v>
      </c>
      <c r="D1451" s="3">
        <f>'[1]MARCH 2023'!D185</f>
        <v>12510</v>
      </c>
      <c r="E1451" s="4">
        <f>'[1]MARCH 2023'!E185</f>
        <v>0</v>
      </c>
      <c r="F1451" s="6">
        <f>'[1]MARCH 2023'!F185</f>
        <v>0</v>
      </c>
      <c r="G1451" s="4"/>
      <c r="H1451" s="4"/>
    </row>
    <row r="1452" spans="1:8" x14ac:dyDescent="0.2">
      <c r="A1452" s="23">
        <f>'[1]MARCH 2023'!A191</f>
        <v>45013</v>
      </c>
      <c r="B1452" s="12" t="str">
        <f>'[1]MARCH 2023'!B191</f>
        <v>LM</v>
      </c>
      <c r="C1452" s="3">
        <f>'[1]MARCH 2023'!C191</f>
        <v>0</v>
      </c>
      <c r="D1452" s="3">
        <f>'[1]MARCH 2023'!D191</f>
        <v>910.42</v>
      </c>
      <c r="E1452" s="4">
        <f>'[1]MARCH 2023'!E191</f>
        <v>0</v>
      </c>
      <c r="F1452" s="6">
        <f>'[1]MARCH 2023'!F191</f>
        <v>0</v>
      </c>
      <c r="G1452" s="4"/>
      <c r="H1452" s="4"/>
    </row>
    <row r="1453" spans="1:8" x14ac:dyDescent="0.2">
      <c r="A1453" s="20">
        <f>'[1]MARCH 2023'!A192</f>
        <v>45013</v>
      </c>
      <c r="B1453" s="12" t="str">
        <f>'[1]MARCH 2023'!B192</f>
        <v>VM</v>
      </c>
      <c r="C1453" s="3">
        <f>'[1]MARCH 2023'!C192</f>
        <v>0</v>
      </c>
      <c r="D1453" s="3">
        <f>'[1]MARCH 2023'!D192</f>
        <v>0</v>
      </c>
      <c r="E1453" s="4">
        <f>'[1]MARCH 2023'!E192</f>
        <v>0</v>
      </c>
      <c r="F1453" s="6">
        <f>'[1]MARCH 2023'!F192</f>
        <v>43.5</v>
      </c>
      <c r="G1453" s="4"/>
      <c r="H1453" s="4"/>
    </row>
    <row r="1454" spans="1:8" x14ac:dyDescent="0.2">
      <c r="A1454" s="20">
        <f>'[1]MARCH 2023'!A198</f>
        <v>45014</v>
      </c>
      <c r="B1454" s="12" t="str">
        <f>'[1]MARCH 2023'!B198</f>
        <v>Party</v>
      </c>
      <c r="C1454" s="3">
        <f>'[1]MARCH 2023'!C198</f>
        <v>0</v>
      </c>
      <c r="D1454" s="3">
        <f>'[1]MARCH 2023'!D198</f>
        <v>1800</v>
      </c>
      <c r="E1454" s="4">
        <f>'[1]MARCH 2023'!E198</f>
        <v>0</v>
      </c>
      <c r="F1454" s="6">
        <f>'[1]MARCH 2023'!F198</f>
        <v>0</v>
      </c>
      <c r="G1454" s="4"/>
      <c r="H1454" s="4"/>
    </row>
    <row r="1455" spans="1:8" x14ac:dyDescent="0.2">
      <c r="A1455" s="23">
        <f>'[1]MARCH 2023'!A199</f>
        <v>45014</v>
      </c>
      <c r="B1455" s="12" t="str">
        <f>'[1]MARCH 2023'!B199</f>
        <v>LM</v>
      </c>
      <c r="C1455" s="3">
        <f>'[1]MARCH 2023'!C199</f>
        <v>0</v>
      </c>
      <c r="D1455" s="3">
        <f>'[1]MARCH 2023'!D199</f>
        <v>249.98</v>
      </c>
      <c r="E1455" s="4">
        <f>'[1]MARCH 2023'!E199</f>
        <v>0</v>
      </c>
      <c r="F1455" s="6">
        <f>'[1]MARCH 2023'!F199</f>
        <v>0</v>
      </c>
      <c r="G1455" s="4"/>
      <c r="H1455" s="4"/>
    </row>
    <row r="1456" spans="1:8" x14ac:dyDescent="0.2">
      <c r="A1456" s="23">
        <f>'[1]MARCH 2023'!A205</f>
        <v>45015</v>
      </c>
      <c r="B1456" s="12" t="str">
        <f>'[1]MARCH 2023'!B205</f>
        <v>Andere</v>
      </c>
      <c r="C1456" s="3">
        <f>'[1]MARCH 2023'!C205</f>
        <v>0</v>
      </c>
      <c r="D1456" s="3">
        <f>'[1]MARCH 2023'!D205</f>
        <v>2000</v>
      </c>
      <c r="E1456" s="4">
        <f>'[1]MARCH 2023'!E205</f>
        <v>0</v>
      </c>
      <c r="F1456" s="6">
        <f>'[1]MARCH 2023'!F205</f>
        <v>0</v>
      </c>
      <c r="G1456" s="4"/>
      <c r="H1456" s="4"/>
    </row>
    <row r="1457" spans="1:8" x14ac:dyDescent="0.2">
      <c r="A1457" s="20">
        <f>'[1]MARCH 2023'!A206</f>
        <v>45015</v>
      </c>
      <c r="B1457" s="12" t="str">
        <f>'[1]MARCH 2023'!B206</f>
        <v>VM</v>
      </c>
      <c r="C1457" s="3">
        <f>'[1]MARCH 2023'!C206</f>
        <v>0</v>
      </c>
      <c r="D1457" s="3">
        <f>'[1]MARCH 2023'!D206</f>
        <v>56</v>
      </c>
      <c r="E1457" s="4">
        <f>'[1]MARCH 2023'!E206</f>
        <v>0</v>
      </c>
      <c r="F1457" s="6">
        <f>'[1]MARCH 2023'!F206</f>
        <v>487.5</v>
      </c>
      <c r="G1457" s="4"/>
      <c r="H1457" s="4"/>
    </row>
    <row r="1458" spans="1:8" x14ac:dyDescent="0.2">
      <c r="A1458" s="23">
        <f>'[1]MARCH 2023'!A207</f>
        <v>45015</v>
      </c>
      <c r="B1458" s="12" t="str">
        <f>'[1]MARCH 2023'!B207</f>
        <v>LM</v>
      </c>
      <c r="C1458" s="3">
        <f>'[1]MARCH 2023'!C207</f>
        <v>0</v>
      </c>
      <c r="D1458" s="3">
        <f>'[1]MARCH 2023'!D207</f>
        <v>209</v>
      </c>
      <c r="E1458" s="4">
        <f>'[1]MARCH 2023'!E207</f>
        <v>0</v>
      </c>
      <c r="F1458" s="6">
        <f>'[1]MARCH 2023'!F207</f>
        <v>0</v>
      </c>
      <c r="G1458" s="4"/>
      <c r="H1458" s="4"/>
    </row>
    <row r="1459" spans="1:8" x14ac:dyDescent="0.2">
      <c r="A1459" s="20">
        <f>'[1]MARCH 2023'!A212</f>
        <v>45016</v>
      </c>
      <c r="B1459" s="12" t="str">
        <f>'[1]MARCH 2023'!B212</f>
        <v>rent</v>
      </c>
      <c r="C1459" s="3">
        <f>'[1]MARCH 2023'!C212</f>
        <v>0</v>
      </c>
      <c r="D1459" s="3">
        <f>'[1]MARCH 2023'!D212</f>
        <v>55000</v>
      </c>
      <c r="E1459" s="4">
        <f>'[1]MARCH 2023'!E212</f>
        <v>0</v>
      </c>
      <c r="F1459" s="6">
        <f>'[1]MARCH 2023'!F212</f>
        <v>0</v>
      </c>
      <c r="G1459" s="4"/>
      <c r="H1459" s="4"/>
    </row>
    <row r="1460" spans="1:8" x14ac:dyDescent="0.2">
      <c r="A1460" s="23">
        <f>'[1]MARCH 2023'!A213</f>
        <v>45016</v>
      </c>
      <c r="B1460" s="12" t="str">
        <f>'[1]MARCH 2023'!B213</f>
        <v>LM</v>
      </c>
      <c r="C1460" s="3">
        <f>'[1]MARCH 2023'!C213</f>
        <v>0</v>
      </c>
      <c r="D1460" s="3">
        <f>'[1]MARCH 2023'!D213</f>
        <v>2240</v>
      </c>
      <c r="E1460" s="4">
        <f>'[1]MARCH 2023'!E213</f>
        <v>0</v>
      </c>
      <c r="F1460" s="6">
        <f>'[1]MARCH 2023'!F213</f>
        <v>0</v>
      </c>
      <c r="G1460" s="4"/>
      <c r="H1460" s="4"/>
    </row>
    <row r="1461" spans="1:8" x14ac:dyDescent="0.2">
      <c r="A1461" s="20">
        <f>'[1]MARCH 2023'!A214</f>
        <v>45016</v>
      </c>
      <c r="B1461" s="12" t="str">
        <f>'[1]MARCH 2023'!B214</f>
        <v>VM</v>
      </c>
      <c r="C1461" s="3">
        <f>'[1]MARCH 2023'!C214</f>
        <v>0</v>
      </c>
      <c r="D1461" s="3">
        <f>'[1]MARCH 2023'!D214</f>
        <v>56</v>
      </c>
      <c r="E1461" s="4">
        <f>'[1]MARCH 2023'!E214</f>
        <v>0</v>
      </c>
      <c r="F1461" s="6">
        <f>'[1]MARCH 2023'!F214</f>
        <v>0</v>
      </c>
      <c r="G1461" s="4"/>
      <c r="H1461" s="4"/>
    </row>
    <row r="1462" spans="1:8" x14ac:dyDescent="0.2">
      <c r="A1462" s="23">
        <f>'[1]MARCH 2023'!A215</f>
        <v>45016</v>
      </c>
      <c r="B1462" s="12" t="str">
        <f>'[1]MARCH 2023'!B215</f>
        <v>Refill</v>
      </c>
      <c r="C1462" s="3">
        <f>'[1]MARCH 2023'!C215</f>
        <v>3057.5299999999997</v>
      </c>
      <c r="D1462" s="3">
        <f>'[1]MARCH 2023'!D215</f>
        <v>0</v>
      </c>
      <c r="E1462" s="4">
        <f>'[1]MARCH 2023'!E215</f>
        <v>0</v>
      </c>
      <c r="F1462" s="6">
        <f>'[1]MARCH 2023'!F215</f>
        <v>0</v>
      </c>
      <c r="G1462" s="4"/>
      <c r="H1462" s="4"/>
    </row>
    <row r="1463" spans="1:8" x14ac:dyDescent="0.2">
      <c r="A1463" s="20">
        <f>'[1]MARCH 2023'!A216</f>
        <v>45016</v>
      </c>
      <c r="B1463" s="12" t="str">
        <f>'[1]MARCH 2023'!B216</f>
        <v>LM</v>
      </c>
      <c r="C1463" s="3">
        <f>'[1]MARCH 2023'!C216</f>
        <v>0</v>
      </c>
      <c r="D1463" s="3">
        <f>'[1]MARCH 2023'!D216</f>
        <v>209.36</v>
      </c>
      <c r="E1463" s="4">
        <f>'[1]MARCH 2023'!E216</f>
        <v>0</v>
      </c>
      <c r="F1463" s="6">
        <f>'[1]MARCH 2023'!F216</f>
        <v>0</v>
      </c>
      <c r="G1463" s="4"/>
      <c r="H1463" s="4"/>
    </row>
    <row r="1464" spans="1:8" x14ac:dyDescent="0.2">
      <c r="A1464" s="23">
        <f>'[1]APRIL 2023'!A2</f>
        <v>45017</v>
      </c>
      <c r="B1464" s="12" t="str">
        <f>'[1]APRIL 2023'!B2</f>
        <v>LM</v>
      </c>
      <c r="C1464" s="3">
        <f>'[1]APRIL 2023'!C2</f>
        <v>0</v>
      </c>
      <c r="D1464" s="3">
        <f>'[1]APRIL 2023'!D2</f>
        <v>1296.5899999999999</v>
      </c>
      <c r="E1464" s="4">
        <f>'[1]APRIL 2023'!E2</f>
        <v>0</v>
      </c>
      <c r="F1464" s="6">
        <f>'[1]APRIL 2023'!F2</f>
        <v>0</v>
      </c>
      <c r="G1464" s="4"/>
      <c r="H1464" s="4"/>
    </row>
    <row r="1465" spans="1:8" x14ac:dyDescent="0.2">
      <c r="A1465" s="20">
        <f>'[1]APRIL 2023'!A9</f>
        <v>45018</v>
      </c>
      <c r="B1465" s="12" t="str">
        <f>'[1]APRIL 2023'!B9</f>
        <v>VM</v>
      </c>
      <c r="C1465" s="3">
        <f>'[1]APRIL 2023'!C9</f>
        <v>0</v>
      </c>
      <c r="D1465" s="3">
        <f>'[1]APRIL 2023'!D9</f>
        <v>56</v>
      </c>
      <c r="E1465" s="4">
        <f>'[1]APRIL 2023'!E9</f>
        <v>0</v>
      </c>
      <c r="F1465" s="6">
        <f>'[1]APRIL 2023'!F9</f>
        <v>0</v>
      </c>
      <c r="G1465" s="4"/>
      <c r="H1465" s="4"/>
    </row>
    <row r="1466" spans="1:8" x14ac:dyDescent="0.2">
      <c r="A1466" s="23">
        <f>'[1]APRIL 2023'!A16</f>
        <v>45019</v>
      </c>
      <c r="B1466" s="12" t="str">
        <f>'[1]APRIL 2023'!B16</f>
        <v>Rauchen</v>
      </c>
      <c r="C1466" s="3">
        <f>'[1]APRIL 2023'!C16</f>
        <v>0</v>
      </c>
      <c r="D1466" s="3">
        <f>'[1]APRIL 2023'!D16</f>
        <v>145</v>
      </c>
      <c r="E1466" s="4">
        <f>'[1]APRIL 2023'!E16</f>
        <v>0</v>
      </c>
      <c r="F1466" s="6">
        <f>'[1]APRIL 2023'!F16</f>
        <v>0</v>
      </c>
      <c r="G1466" s="4"/>
      <c r="H1466" s="4"/>
    </row>
    <row r="1467" spans="1:8" x14ac:dyDescent="0.2">
      <c r="A1467" s="20">
        <f>'[1]APRIL 2023'!A23</f>
        <v>45020</v>
      </c>
      <c r="B1467" s="12" t="str">
        <f>'[1]APRIL 2023'!B23</f>
        <v>LM</v>
      </c>
      <c r="C1467" s="3">
        <f>'[1]APRIL 2023'!C23</f>
        <v>0</v>
      </c>
      <c r="D1467" s="3">
        <f>'[1]APRIL 2023'!D23</f>
        <v>443</v>
      </c>
      <c r="E1467" s="4">
        <f>'[1]APRIL 2023'!E23</f>
        <v>0</v>
      </c>
      <c r="F1467" s="6">
        <f>'[1]APRIL 2023'!F23</f>
        <v>0</v>
      </c>
      <c r="G1467" s="4"/>
      <c r="H1467" s="4"/>
    </row>
    <row r="1468" spans="1:8" x14ac:dyDescent="0.2">
      <c r="A1468" s="23">
        <f>'[1]APRIL 2023'!A24</f>
        <v>45020</v>
      </c>
      <c r="B1468" s="12" t="str">
        <f>'[1]APRIL 2023'!B24</f>
        <v>VM</v>
      </c>
      <c r="C1468" s="3">
        <f>'[1]APRIL 2023'!C24</f>
        <v>0</v>
      </c>
      <c r="D1468" s="3">
        <f>'[1]APRIL 2023'!D24</f>
        <v>750</v>
      </c>
      <c r="E1468" s="4">
        <f>'[1]APRIL 2023'!E24</f>
        <v>0</v>
      </c>
      <c r="F1468" s="6">
        <f>'[1]APRIL 2023'!F24</f>
        <v>0</v>
      </c>
      <c r="G1468" s="4"/>
      <c r="H1468" s="4"/>
    </row>
    <row r="1469" spans="1:8" x14ac:dyDescent="0.2">
      <c r="A1469" s="23">
        <f>'[1]APRIL 2023'!A30</f>
        <v>45021</v>
      </c>
      <c r="B1469" s="12" t="str">
        <f>'[1]APRIL 2023'!B30</f>
        <v>LM</v>
      </c>
      <c r="C1469" s="3">
        <f>'[1]APRIL 2023'!C30</f>
        <v>0</v>
      </c>
      <c r="D1469" s="3">
        <f>'[1]APRIL 2023'!D30</f>
        <v>644.89</v>
      </c>
      <c r="E1469" s="4">
        <f>'[1]APRIL 2023'!E30</f>
        <v>0</v>
      </c>
      <c r="F1469" s="6">
        <f>'[1]APRIL 2023'!F30</f>
        <v>0</v>
      </c>
      <c r="G1469" s="4"/>
      <c r="H1469" s="4"/>
    </row>
    <row r="1470" spans="1:8" x14ac:dyDescent="0.2">
      <c r="A1470" s="20">
        <f>'[1]APRIL 2023'!A31</f>
        <v>45021</v>
      </c>
      <c r="B1470" s="12" t="str">
        <f>'[1]APRIL 2023'!B31</f>
        <v>Rauchen</v>
      </c>
      <c r="C1470" s="3">
        <f>'[1]APRIL 2023'!C31</f>
        <v>0</v>
      </c>
      <c r="D1470" s="3">
        <f>'[1]APRIL 2023'!D31</f>
        <v>140</v>
      </c>
      <c r="E1470" s="4">
        <f>'[1]APRIL 2023'!E31</f>
        <v>0</v>
      </c>
      <c r="F1470" s="6">
        <f>'[1]APRIL 2023'!F31</f>
        <v>0</v>
      </c>
      <c r="G1470" s="4"/>
      <c r="H1470" s="4"/>
    </row>
    <row r="1471" spans="1:8" x14ac:dyDescent="0.2">
      <c r="A1471" s="20">
        <f>'[1]APRIL 2023'!A37</f>
        <v>45022</v>
      </c>
      <c r="B1471" s="12" t="str">
        <f>'[1]APRIL 2023'!B37</f>
        <v>Andere</v>
      </c>
      <c r="C1471" s="3">
        <f>'[1]APRIL 2023'!C37</f>
        <v>0</v>
      </c>
      <c r="D1471" s="3">
        <f>'[1]APRIL 2023'!D37</f>
        <v>600</v>
      </c>
      <c r="E1471" s="4">
        <f>'[1]APRIL 2023'!E37</f>
        <v>0</v>
      </c>
      <c r="F1471" s="6">
        <f>'[1]APRIL 2023'!F37</f>
        <v>0</v>
      </c>
      <c r="G1471" s="4"/>
      <c r="H1471" s="4"/>
    </row>
    <row r="1472" spans="1:8" x14ac:dyDescent="0.2">
      <c r="A1472" s="23">
        <f>'[1]APRIL 2023'!A38</f>
        <v>45022</v>
      </c>
      <c r="B1472" s="12" t="str">
        <f>'[1]APRIL 2023'!B38</f>
        <v>VM</v>
      </c>
      <c r="C1472" s="3">
        <f>'[1]APRIL 2023'!C38</f>
        <v>0</v>
      </c>
      <c r="D1472" s="3">
        <f>'[1]APRIL 2023'!D38</f>
        <v>470</v>
      </c>
      <c r="E1472" s="4">
        <f>'[1]APRIL 2023'!E38</f>
        <v>0</v>
      </c>
      <c r="F1472" s="6">
        <f>'[1]APRIL 2023'!F38</f>
        <v>22.5</v>
      </c>
      <c r="G1472" s="4"/>
      <c r="H1472" s="4"/>
    </row>
    <row r="1473" spans="1:8" x14ac:dyDescent="0.2">
      <c r="A1473" s="20">
        <f>'[1]APRIL 2023'!A39</f>
        <v>45022</v>
      </c>
      <c r="B1473" s="12" t="str">
        <f>'[1]APRIL 2023'!B39</f>
        <v>LM</v>
      </c>
      <c r="C1473" s="3">
        <f>'[1]APRIL 2023'!C39</f>
        <v>0</v>
      </c>
      <c r="D1473" s="3">
        <f>'[1]APRIL 2023'!D39</f>
        <v>250.79</v>
      </c>
      <c r="E1473" s="4">
        <f>'[1]APRIL 2023'!E39</f>
        <v>0</v>
      </c>
      <c r="F1473" s="6">
        <f>'[1]APRIL 2023'!F39</f>
        <v>0</v>
      </c>
      <c r="G1473" s="4"/>
      <c r="H1473" s="4"/>
    </row>
    <row r="1474" spans="1:8" x14ac:dyDescent="0.2">
      <c r="A1474" s="23">
        <f>'[1]APRIL 2023'!A44</f>
        <v>45023</v>
      </c>
      <c r="B1474" s="12" t="str">
        <f>'[1]APRIL 2023'!B44</f>
        <v>Andere</v>
      </c>
      <c r="C1474" s="3">
        <f>'[1]APRIL 2023'!C44</f>
        <v>0</v>
      </c>
      <c r="D1474" s="3">
        <f>'[1]APRIL 2023'!D44</f>
        <v>700</v>
      </c>
      <c r="E1474" s="4">
        <f>'[1]APRIL 2023'!E44</f>
        <v>0</v>
      </c>
      <c r="F1474" s="6">
        <f>'[1]APRIL 2023'!F44</f>
        <v>0</v>
      </c>
      <c r="G1474" s="4"/>
      <c r="H1474" s="4"/>
    </row>
    <row r="1475" spans="1:8" x14ac:dyDescent="0.2">
      <c r="A1475" s="20">
        <f>'[1]APRIL 2023'!A45</f>
        <v>45023</v>
      </c>
      <c r="B1475" s="12" t="str">
        <f>'[1]APRIL 2023'!B45</f>
        <v>LM</v>
      </c>
      <c r="C1475" s="3">
        <f>'[1]APRIL 2023'!C45</f>
        <v>0</v>
      </c>
      <c r="D1475" s="3">
        <f>'[1]APRIL 2023'!D45</f>
        <v>60</v>
      </c>
      <c r="E1475" s="4">
        <f>'[1]APRIL 2023'!E45</f>
        <v>0</v>
      </c>
      <c r="F1475" s="6">
        <f>'[1]APRIL 2023'!F45</f>
        <v>0</v>
      </c>
      <c r="G1475" s="4"/>
      <c r="H1475" s="4"/>
    </row>
    <row r="1476" spans="1:8" x14ac:dyDescent="0.2">
      <c r="A1476" s="23">
        <f>'[1]APRIL 2023'!A46</f>
        <v>45023</v>
      </c>
      <c r="B1476" s="12" t="str">
        <f>'[1]APRIL 2023'!B46</f>
        <v>Refill</v>
      </c>
      <c r="C1476" s="3">
        <f>'[1]APRIL 2023'!C46</f>
        <v>59412.91</v>
      </c>
      <c r="D1476" s="3">
        <f>'[1]APRIL 2023'!D46</f>
        <v>0</v>
      </c>
      <c r="E1476" s="4">
        <f>'[1]APRIL 2023'!E46</f>
        <v>0</v>
      </c>
      <c r="F1476" s="6">
        <f>'[1]APRIL 2023'!F46</f>
        <v>0</v>
      </c>
      <c r="G1476" s="4"/>
      <c r="H1476" s="4"/>
    </row>
    <row r="1477" spans="1:8" x14ac:dyDescent="0.2">
      <c r="A1477" s="20">
        <f>'[1]APRIL 2023'!A47</f>
        <v>45023</v>
      </c>
      <c r="B1477" s="12" t="str">
        <f>'[1]APRIL 2023'!B47</f>
        <v>VM</v>
      </c>
      <c r="C1477" s="3">
        <f>'[1]APRIL 2023'!C47</f>
        <v>0</v>
      </c>
      <c r="D1477" s="3">
        <f>'[1]APRIL 2023'!D47</f>
        <v>0</v>
      </c>
      <c r="E1477" s="4">
        <f>'[1]APRIL 2023'!E47</f>
        <v>0</v>
      </c>
      <c r="F1477" s="6">
        <f>'[1]APRIL 2023'!F47</f>
        <v>171.5</v>
      </c>
      <c r="G1477" s="4"/>
      <c r="H1477" s="4"/>
    </row>
    <row r="1478" spans="1:8" x14ac:dyDescent="0.2">
      <c r="A1478" s="20">
        <f>'[1]APRIL 2023'!A51</f>
        <v>45024</v>
      </c>
      <c r="B1478" s="12" t="str">
        <f>'[1]APRIL 2023'!B51</f>
        <v>LM</v>
      </c>
      <c r="C1478" s="3">
        <f>'[1]APRIL 2023'!C51</f>
        <v>0</v>
      </c>
      <c r="D1478" s="3">
        <f>'[1]APRIL 2023'!D51</f>
        <v>817.86</v>
      </c>
      <c r="E1478" s="4">
        <f>'[1]APRIL 2023'!E51</f>
        <v>0</v>
      </c>
      <c r="F1478" s="6">
        <f>'[1]APRIL 2023'!F51</f>
        <v>0</v>
      </c>
      <c r="G1478" s="4"/>
      <c r="H1478" s="4"/>
    </row>
    <row r="1479" spans="1:8" x14ac:dyDescent="0.2">
      <c r="A1479" s="23">
        <f>'[1]APRIL 2023'!A58</f>
        <v>45025</v>
      </c>
      <c r="B1479" s="12" t="str">
        <f>'[1]APRIL 2023'!B58</f>
        <v>Andere</v>
      </c>
      <c r="C1479" s="3">
        <f>'[1]APRIL 2023'!C58</f>
        <v>0</v>
      </c>
      <c r="D1479" s="3">
        <f>'[1]APRIL 2023'!D58</f>
        <v>579</v>
      </c>
      <c r="E1479" s="4">
        <f>'[1]APRIL 2023'!E58</f>
        <v>0</v>
      </c>
      <c r="F1479" s="6">
        <f>'[1]APRIL 2023'!F58</f>
        <v>0</v>
      </c>
      <c r="G1479" s="4"/>
      <c r="H1479" s="4"/>
    </row>
    <row r="1480" spans="1:8" x14ac:dyDescent="0.2">
      <c r="A1480" s="20">
        <f>'[1]APRIL 2023'!A59</f>
        <v>45025</v>
      </c>
      <c r="B1480" s="12" t="str">
        <f>'[1]APRIL 2023'!B59</f>
        <v>LM</v>
      </c>
      <c r="C1480" s="3">
        <f>'[1]APRIL 2023'!C59</f>
        <v>0</v>
      </c>
      <c r="D1480" s="3">
        <f>'[1]APRIL 2023'!D59</f>
        <v>1746.38</v>
      </c>
      <c r="E1480" s="4">
        <f>'[1]APRIL 2023'!E59</f>
        <v>0</v>
      </c>
      <c r="F1480" s="6">
        <f>'[1]APRIL 2023'!F59</f>
        <v>0</v>
      </c>
      <c r="G1480" s="4"/>
      <c r="H1480" s="4"/>
    </row>
    <row r="1481" spans="1:8" x14ac:dyDescent="0.2">
      <c r="A1481" s="23">
        <f>'[1]APRIL 2023'!A60</f>
        <v>45025</v>
      </c>
      <c r="B1481" s="12" t="str">
        <f>'[1]APRIL 2023'!B60</f>
        <v>VM</v>
      </c>
      <c r="C1481" s="3">
        <f>'[1]APRIL 2023'!C60</f>
        <v>0</v>
      </c>
      <c r="D1481" s="3">
        <f>'[1]APRIL 2023'!D60</f>
        <v>0</v>
      </c>
      <c r="E1481" s="4">
        <f>'[1]APRIL 2023'!E60</f>
        <v>0</v>
      </c>
      <c r="F1481" s="6">
        <f>'[1]APRIL 2023'!F60</f>
        <v>14</v>
      </c>
      <c r="G1481" s="4"/>
      <c r="H1481" s="4"/>
    </row>
    <row r="1482" spans="1:8" x14ac:dyDescent="0.2">
      <c r="A1482" s="20">
        <f>'[1]APRIL 2023'!A65</f>
        <v>45026</v>
      </c>
      <c r="B1482" s="12" t="str">
        <f>'[1]APRIL 2023'!B65</f>
        <v>Rauchen</v>
      </c>
      <c r="C1482" s="3">
        <f>'[1]APRIL 2023'!C65</f>
        <v>0</v>
      </c>
      <c r="D1482" s="3">
        <f>'[1]APRIL 2023'!D65</f>
        <v>140</v>
      </c>
      <c r="E1482" s="4">
        <f>'[1]APRIL 2023'!E65</f>
        <v>0</v>
      </c>
      <c r="F1482" s="6">
        <f>'[1]APRIL 2023'!F65</f>
        <v>0</v>
      </c>
      <c r="G1482" s="4"/>
      <c r="H1482" s="4"/>
    </row>
    <row r="1483" spans="1:8" x14ac:dyDescent="0.2">
      <c r="A1483" s="23">
        <f>'[1]APRIL 2023'!A72</f>
        <v>45027</v>
      </c>
      <c r="B1483" s="12" t="str">
        <f>'[1]APRIL 2023'!B72</f>
        <v>LM</v>
      </c>
      <c r="C1483" s="3">
        <f>'[1]APRIL 2023'!C72</f>
        <v>0</v>
      </c>
      <c r="D1483" s="3">
        <f>'[1]APRIL 2023'!D72</f>
        <v>560</v>
      </c>
      <c r="E1483" s="4">
        <f>'[1]APRIL 2023'!E72</f>
        <v>0</v>
      </c>
      <c r="F1483" s="6">
        <f>'[1]APRIL 2023'!F72</f>
        <v>0</v>
      </c>
      <c r="G1483" s="4"/>
      <c r="H1483" s="4"/>
    </row>
    <row r="1484" spans="1:8" x14ac:dyDescent="0.2">
      <c r="A1484" s="20">
        <f>'[1]APRIL 2023'!A73</f>
        <v>45027</v>
      </c>
      <c r="B1484" s="12" t="str">
        <f>'[1]APRIL 2023'!B73</f>
        <v>VM</v>
      </c>
      <c r="C1484" s="3">
        <f>'[1]APRIL 2023'!C73</f>
        <v>0</v>
      </c>
      <c r="D1484" s="3">
        <f>'[1]APRIL 2023'!D73</f>
        <v>0</v>
      </c>
      <c r="E1484" s="4">
        <f>'[1]APRIL 2023'!E73</f>
        <v>0</v>
      </c>
      <c r="F1484" s="6">
        <f>'[1]APRIL 2023'!F73</f>
        <v>37.5</v>
      </c>
      <c r="G1484" s="4"/>
      <c r="H1484" s="4"/>
    </row>
    <row r="1485" spans="1:8" x14ac:dyDescent="0.2">
      <c r="A1485" s="23">
        <f>'[1]APRIL 2023'!A74</f>
        <v>45027</v>
      </c>
      <c r="B1485" s="12" t="str">
        <f>'[1]APRIL 2023'!B74</f>
        <v>none</v>
      </c>
      <c r="C1485" s="3">
        <f>'[1]APRIL 2023'!C74</f>
        <v>0</v>
      </c>
      <c r="D1485" s="3">
        <f>'[1]APRIL 2023'!D74</f>
        <v>800</v>
      </c>
      <c r="E1485" s="4">
        <f>'[1]APRIL 2023'!E74</f>
        <v>800</v>
      </c>
      <c r="F1485" s="6">
        <f>'[1]APRIL 2023'!F74</f>
        <v>0</v>
      </c>
      <c r="G1485" s="4"/>
      <c r="H1485" s="4"/>
    </row>
    <row r="1486" spans="1:8" x14ac:dyDescent="0.2">
      <c r="A1486" s="20">
        <f>'[1]APRIL 2023'!A79</f>
        <v>45028</v>
      </c>
      <c r="B1486" s="12" t="str">
        <f>'[1]APRIL 2023'!B79</f>
        <v>Frauen</v>
      </c>
      <c r="C1486" s="3">
        <f>'[1]APRIL 2023'!C79</f>
        <v>0</v>
      </c>
      <c r="D1486" s="3">
        <f>'[1]APRIL 2023'!D79</f>
        <v>1526</v>
      </c>
      <c r="E1486" s="4">
        <f>'[1]APRIL 2023'!E79</f>
        <v>0</v>
      </c>
      <c r="F1486" s="6">
        <f>'[1]APRIL 2023'!F79</f>
        <v>0</v>
      </c>
      <c r="G1486" s="4"/>
      <c r="H1486" s="4"/>
    </row>
    <row r="1487" spans="1:8" x14ac:dyDescent="0.2">
      <c r="A1487" s="23">
        <f>'[1]APRIL 2023'!A80</f>
        <v>45028</v>
      </c>
      <c r="B1487" s="12" t="str">
        <f>'[1]APRIL 2023'!B80</f>
        <v>LM</v>
      </c>
      <c r="C1487" s="3">
        <f>'[1]APRIL 2023'!C80</f>
        <v>0</v>
      </c>
      <c r="D1487" s="3">
        <f>'[1]APRIL 2023'!D80</f>
        <v>590</v>
      </c>
      <c r="E1487" s="4">
        <f>'[1]APRIL 2023'!E80</f>
        <v>0</v>
      </c>
      <c r="F1487" s="6">
        <f>'[1]APRIL 2023'!F80</f>
        <v>0</v>
      </c>
      <c r="G1487" s="4"/>
      <c r="H1487" s="4"/>
    </row>
    <row r="1488" spans="1:8" x14ac:dyDescent="0.2">
      <c r="A1488" s="20">
        <f>'[1]APRIL 2023'!A81</f>
        <v>45028</v>
      </c>
      <c r="B1488" s="12" t="str">
        <f>'[1]APRIL 2023'!B81</f>
        <v>Rauchen</v>
      </c>
      <c r="C1488" s="3">
        <f>'[1]APRIL 2023'!C81</f>
        <v>0</v>
      </c>
      <c r="D1488" s="3">
        <f>'[1]APRIL 2023'!D81</f>
        <v>140</v>
      </c>
      <c r="E1488" s="4">
        <f>'[1]APRIL 2023'!E81</f>
        <v>0</v>
      </c>
      <c r="F1488" s="6">
        <f>'[1]APRIL 2023'!F81</f>
        <v>0</v>
      </c>
      <c r="G1488" s="4"/>
      <c r="H1488" s="4"/>
    </row>
    <row r="1489" spans="1:8" x14ac:dyDescent="0.2">
      <c r="A1489" s="23">
        <f>'[1]APRIL 2023'!A82</f>
        <v>45028</v>
      </c>
      <c r="B1489" s="12" t="str">
        <f>'[1]APRIL 2023'!B82</f>
        <v>VM</v>
      </c>
      <c r="C1489" s="3">
        <f>'[1]APRIL 2023'!C82</f>
        <v>0</v>
      </c>
      <c r="D1489" s="3">
        <f>'[1]APRIL 2023'!D82</f>
        <v>0</v>
      </c>
      <c r="E1489" s="4">
        <f>'[1]APRIL 2023'!E82</f>
        <v>0</v>
      </c>
      <c r="F1489" s="6">
        <f>'[1]APRIL 2023'!F82</f>
        <v>30.96</v>
      </c>
      <c r="G1489" s="4"/>
      <c r="H1489" s="4"/>
    </row>
    <row r="1490" spans="1:8" x14ac:dyDescent="0.2">
      <c r="A1490" s="23">
        <f>'[1]APRIL 2023'!A86</f>
        <v>45029</v>
      </c>
      <c r="B1490" s="12" t="str">
        <f>'[1]APRIL 2023'!B86</f>
        <v>LM</v>
      </c>
      <c r="C1490" s="3">
        <f>'[1]APRIL 2023'!C86</f>
        <v>0</v>
      </c>
      <c r="D1490" s="3">
        <f>'[1]APRIL 2023'!D86</f>
        <v>416</v>
      </c>
      <c r="E1490" s="4">
        <f>'[1]APRIL 2023'!E86</f>
        <v>0</v>
      </c>
      <c r="F1490" s="6">
        <f>'[1]APRIL 2023'!F86</f>
        <v>0</v>
      </c>
      <c r="G1490" s="4"/>
      <c r="H1490" s="4"/>
    </row>
    <row r="1491" spans="1:8" x14ac:dyDescent="0.2">
      <c r="A1491" s="20">
        <f>'[1]APRIL 2023'!A87</f>
        <v>45029</v>
      </c>
      <c r="B1491" s="12" t="str">
        <f>'[1]APRIL 2023'!B87</f>
        <v>VM</v>
      </c>
      <c r="C1491" s="3">
        <f>'[1]APRIL 2023'!C87</f>
        <v>0</v>
      </c>
      <c r="D1491" s="3">
        <f>'[1]APRIL 2023'!D87</f>
        <v>0</v>
      </c>
      <c r="E1491" s="4">
        <f>'[1]APRIL 2023'!E87</f>
        <v>0</v>
      </c>
      <c r="F1491" s="6">
        <f>'[1]APRIL 2023'!F87</f>
        <v>30</v>
      </c>
      <c r="G1491" s="4"/>
      <c r="H1491" s="4"/>
    </row>
    <row r="1492" spans="1:8" x14ac:dyDescent="0.2">
      <c r="A1492" s="23">
        <f>'[1]APRIL 2023'!A88</f>
        <v>45029</v>
      </c>
      <c r="B1492" s="12" t="str">
        <f>'[1]APRIL 2023'!B88</f>
        <v>none</v>
      </c>
      <c r="C1492" s="3">
        <f>'[1]APRIL 2023'!C88</f>
        <v>100</v>
      </c>
      <c r="D1492" s="3">
        <f>'[1]APRIL 2023'!D88</f>
        <v>0</v>
      </c>
      <c r="E1492" s="4">
        <f>'[1]APRIL 2023'!E88</f>
        <v>0</v>
      </c>
      <c r="F1492" s="6">
        <f>'[1]APRIL 2023'!F88</f>
        <v>0</v>
      </c>
      <c r="G1492" s="4"/>
      <c r="H1492" s="4"/>
    </row>
    <row r="1493" spans="1:8" x14ac:dyDescent="0.2">
      <c r="A1493" s="20">
        <f>'[1]APRIL 2023'!A93</f>
        <v>45030</v>
      </c>
      <c r="B1493" s="12" t="str">
        <f>'[1]APRIL 2023'!B93</f>
        <v>LM</v>
      </c>
      <c r="C1493" s="3">
        <f>'[1]APRIL 2023'!C93</f>
        <v>0</v>
      </c>
      <c r="D1493" s="3">
        <f>'[1]APRIL 2023'!D93</f>
        <v>1140</v>
      </c>
      <c r="E1493" s="4">
        <f>'[1]APRIL 2023'!E93</f>
        <v>0</v>
      </c>
      <c r="F1493" s="6">
        <f>'[1]APRIL 2023'!F93</f>
        <v>0</v>
      </c>
      <c r="G1493" s="4"/>
      <c r="H1493" s="4"/>
    </row>
    <row r="1494" spans="1:8" x14ac:dyDescent="0.2">
      <c r="A1494" s="23">
        <f>'[1]APRIL 2023'!A94</f>
        <v>45030</v>
      </c>
      <c r="B1494" s="12" t="str">
        <f>'[1]APRIL 2023'!B94</f>
        <v>VM</v>
      </c>
      <c r="C1494" s="3">
        <f>'[1]APRIL 2023'!C94</f>
        <v>0</v>
      </c>
      <c r="D1494" s="3">
        <f>'[1]APRIL 2023'!D94</f>
        <v>0</v>
      </c>
      <c r="E1494" s="4">
        <f>'[1]APRIL 2023'!E94</f>
        <v>0</v>
      </c>
      <c r="F1494" s="6">
        <f>'[1]APRIL 2023'!F94</f>
        <v>7.5</v>
      </c>
      <c r="G1494" s="4"/>
      <c r="H1494" s="4"/>
    </row>
    <row r="1495" spans="1:8" x14ac:dyDescent="0.2">
      <c r="A1495" s="23">
        <f>'[1]APRIL 2023'!A100</f>
        <v>45031</v>
      </c>
      <c r="B1495" s="12" t="str">
        <f>'[1]APRIL 2023'!B100</f>
        <v>Rauchen</v>
      </c>
      <c r="C1495" s="3">
        <f>'[1]APRIL 2023'!C100</f>
        <v>0</v>
      </c>
      <c r="D1495" s="3">
        <f>'[1]APRIL 2023'!D100</f>
        <v>155</v>
      </c>
      <c r="E1495" s="4">
        <f>'[1]APRIL 2023'!E100</f>
        <v>0</v>
      </c>
      <c r="F1495" s="6">
        <f>'[1]APRIL 2023'!F100</f>
        <v>0</v>
      </c>
      <c r="G1495" s="4"/>
      <c r="H1495" s="4"/>
    </row>
    <row r="1496" spans="1:8" x14ac:dyDescent="0.2">
      <c r="A1496" s="20">
        <f>'[1]APRIL 2023'!A101</f>
        <v>45031</v>
      </c>
      <c r="B1496" s="12" t="str">
        <f>'[1]APRIL 2023'!B101</f>
        <v>Andere</v>
      </c>
      <c r="C1496" s="3">
        <f>'[1]APRIL 2023'!C101</f>
        <v>0</v>
      </c>
      <c r="D1496" s="3">
        <f>'[1]APRIL 2023'!D101</f>
        <v>311</v>
      </c>
      <c r="E1496" s="4">
        <f>'[1]APRIL 2023'!E101</f>
        <v>0</v>
      </c>
      <c r="F1496" s="6">
        <f>'[1]APRIL 2023'!F101</f>
        <v>0</v>
      </c>
      <c r="G1496" s="4"/>
      <c r="H1496" s="4"/>
    </row>
    <row r="1497" spans="1:8" x14ac:dyDescent="0.2">
      <c r="A1497" s="23">
        <f>'[1]APRIL 2023'!A102</f>
        <v>45031</v>
      </c>
      <c r="B1497" s="12" t="str">
        <f>'[1]APRIL 2023'!B102</f>
        <v>VM</v>
      </c>
      <c r="C1497" s="3">
        <f>'[1]APRIL 2023'!C102</f>
        <v>0</v>
      </c>
      <c r="D1497" s="3">
        <f>'[1]APRIL 2023'!D102</f>
        <v>0</v>
      </c>
      <c r="E1497" s="4">
        <f>'[1]APRIL 2023'!E102</f>
        <v>0</v>
      </c>
      <c r="F1497" s="6">
        <f>'[1]APRIL 2023'!F102</f>
        <v>528.5</v>
      </c>
      <c r="G1497" s="4"/>
      <c r="H1497" s="4"/>
    </row>
    <row r="1498" spans="1:8" x14ac:dyDescent="0.2">
      <c r="A1498" s="20">
        <f>'[1]APRIL 2023'!A107</f>
        <v>45032</v>
      </c>
      <c r="B1498" s="12" t="str">
        <f>'[1]APRIL 2023'!B107</f>
        <v>Party</v>
      </c>
      <c r="C1498" s="3">
        <f>'[1]APRIL 2023'!C107</f>
        <v>0</v>
      </c>
      <c r="D1498" s="3">
        <f>'[1]APRIL 2023'!D107</f>
        <v>3200</v>
      </c>
      <c r="E1498" s="4">
        <f>'[1]APRIL 2023'!E107</f>
        <v>0</v>
      </c>
      <c r="F1498" s="6">
        <f>'[1]APRIL 2023'!F107</f>
        <v>0</v>
      </c>
      <c r="G1498" s="4"/>
      <c r="H1498" s="4"/>
    </row>
    <row r="1499" spans="1:8" x14ac:dyDescent="0.2">
      <c r="A1499" s="23">
        <f>'[1]APRIL 2023'!A108</f>
        <v>45032</v>
      </c>
      <c r="B1499" s="12" t="str">
        <f>'[1]APRIL 2023'!B108</f>
        <v>LM</v>
      </c>
      <c r="C1499" s="3">
        <f>'[1]APRIL 2023'!C108</f>
        <v>0</v>
      </c>
      <c r="D1499" s="3">
        <f>'[1]APRIL 2023'!D108</f>
        <v>432.68</v>
      </c>
      <c r="E1499" s="4">
        <f>'[1]APRIL 2023'!E108</f>
        <v>0</v>
      </c>
      <c r="F1499" s="6">
        <f>'[1]APRIL 2023'!F108</f>
        <v>0</v>
      </c>
      <c r="G1499" s="4"/>
      <c r="H1499" s="4"/>
    </row>
    <row r="1500" spans="1:8" x14ac:dyDescent="0.2">
      <c r="A1500" s="23">
        <f>'[1]APRIL 2023'!A114</f>
        <v>45033</v>
      </c>
      <c r="B1500" s="12" t="str">
        <f>'[1]APRIL 2023'!B114</f>
        <v>LM</v>
      </c>
      <c r="C1500" s="3">
        <f>'[1]APRIL 2023'!C114</f>
        <v>0</v>
      </c>
      <c r="D1500" s="3">
        <f>'[1]APRIL 2023'!D114</f>
        <v>622.97</v>
      </c>
      <c r="E1500" s="4">
        <f>'[1]APRIL 2023'!E114</f>
        <v>0</v>
      </c>
      <c r="F1500" s="6">
        <f>'[1]APRIL 2023'!F114</f>
        <v>0</v>
      </c>
      <c r="G1500" s="4"/>
      <c r="H1500" s="4"/>
    </row>
    <row r="1501" spans="1:8" x14ac:dyDescent="0.2">
      <c r="A1501" s="20">
        <f>'[1]APRIL 2023'!A121</f>
        <v>45034</v>
      </c>
      <c r="B1501" s="12" t="str">
        <f>'[1]APRIL 2023'!B121</f>
        <v>LM</v>
      </c>
      <c r="C1501" s="3">
        <f>'[1]APRIL 2023'!C121</f>
        <v>0</v>
      </c>
      <c r="D1501" s="3">
        <f>'[1]APRIL 2023'!D121</f>
        <v>215</v>
      </c>
      <c r="E1501" s="4">
        <f>'[1]APRIL 2023'!E121</f>
        <v>0</v>
      </c>
      <c r="F1501" s="6">
        <f>'[1]APRIL 2023'!F121</f>
        <v>0</v>
      </c>
      <c r="G1501" s="4"/>
      <c r="H1501" s="4"/>
    </row>
    <row r="1502" spans="1:8" x14ac:dyDescent="0.2">
      <c r="A1502" s="23">
        <f>'[1]APRIL 2023'!A122</f>
        <v>45034</v>
      </c>
      <c r="B1502" s="12" t="str">
        <f>'[1]APRIL 2023'!B122</f>
        <v>VM</v>
      </c>
      <c r="C1502" s="3">
        <f>'[1]APRIL 2023'!C122</f>
        <v>0</v>
      </c>
      <c r="D1502" s="3">
        <f>'[1]APRIL 2023'!D122</f>
        <v>0</v>
      </c>
      <c r="E1502" s="4">
        <f>'[1]APRIL 2023'!E122</f>
        <v>0</v>
      </c>
      <c r="F1502" s="6">
        <f>'[1]APRIL 2023'!F122</f>
        <v>29</v>
      </c>
      <c r="G1502" s="4"/>
      <c r="H1502" s="4"/>
    </row>
    <row r="1503" spans="1:8" x14ac:dyDescent="0.2">
      <c r="A1503" s="23">
        <f>'[1]APRIL 2023'!A128</f>
        <v>45035</v>
      </c>
      <c r="B1503" s="12" t="str">
        <f>'[1]APRIL 2023'!B128</f>
        <v>LM</v>
      </c>
      <c r="C1503" s="3">
        <f>'[1]APRIL 2023'!C128</f>
        <v>0</v>
      </c>
      <c r="D1503" s="3">
        <f>'[1]APRIL 2023'!D128</f>
        <v>1170</v>
      </c>
      <c r="E1503" s="4">
        <f>'[1]APRIL 2023'!E128</f>
        <v>0</v>
      </c>
      <c r="F1503" s="6">
        <f>'[1]APRIL 2023'!F128</f>
        <v>0</v>
      </c>
      <c r="G1503" s="4"/>
      <c r="H1503" s="4"/>
    </row>
    <row r="1504" spans="1:8" x14ac:dyDescent="0.2">
      <c r="A1504" s="20">
        <f>'[1]APRIL 2023'!A129</f>
        <v>45035</v>
      </c>
      <c r="B1504" s="12" t="str">
        <f>'[1]APRIL 2023'!B129</f>
        <v>VM</v>
      </c>
      <c r="C1504" s="3">
        <f>'[1]APRIL 2023'!C129</f>
        <v>0</v>
      </c>
      <c r="D1504" s="3">
        <f>'[1]APRIL 2023'!D129</f>
        <v>0</v>
      </c>
      <c r="E1504" s="4">
        <f>'[1]APRIL 2023'!E129</f>
        <v>0</v>
      </c>
      <c r="F1504" s="6">
        <f>'[1]APRIL 2023'!F129</f>
        <v>29.5</v>
      </c>
      <c r="G1504" s="4"/>
      <c r="H1504" s="4"/>
    </row>
    <row r="1505" spans="1:8" x14ac:dyDescent="0.2">
      <c r="A1505" s="20">
        <f>'[1]APRIL 2023'!A135</f>
        <v>45036</v>
      </c>
      <c r="B1505" s="12" t="str">
        <f>'[1]APRIL 2023'!B135</f>
        <v>LM</v>
      </c>
      <c r="C1505" s="3">
        <f>'[1]APRIL 2023'!C135</f>
        <v>0</v>
      </c>
      <c r="D1505" s="3">
        <f>'[1]APRIL 2023'!D135</f>
        <v>1121</v>
      </c>
      <c r="E1505" s="4">
        <f>'[1]APRIL 2023'!E135</f>
        <v>0</v>
      </c>
      <c r="F1505" s="6">
        <f>'[1]APRIL 2023'!F135</f>
        <v>0</v>
      </c>
      <c r="G1505" s="4"/>
      <c r="H1505" s="4"/>
    </row>
    <row r="1506" spans="1:8" x14ac:dyDescent="0.2">
      <c r="A1506" s="23">
        <f>'[1]APRIL 2023'!A136</f>
        <v>45036</v>
      </c>
      <c r="B1506" s="12" t="str">
        <f>'[1]APRIL 2023'!B136</f>
        <v>VM</v>
      </c>
      <c r="C1506" s="3">
        <f>'[1]APRIL 2023'!C136</f>
        <v>0</v>
      </c>
      <c r="D1506" s="3">
        <f>'[1]APRIL 2023'!D136</f>
        <v>0</v>
      </c>
      <c r="E1506" s="4">
        <f>'[1]APRIL 2023'!E136</f>
        <v>0</v>
      </c>
      <c r="F1506" s="6">
        <f>'[1]APRIL 2023'!F136</f>
        <v>32.96</v>
      </c>
      <c r="G1506" s="4"/>
      <c r="H1506" s="4"/>
    </row>
    <row r="1507" spans="1:8" x14ac:dyDescent="0.2">
      <c r="A1507" s="20">
        <f>'[1]APRIL 2023'!A149</f>
        <v>45038</v>
      </c>
      <c r="B1507" s="12" t="str">
        <f>'[1]APRIL 2023'!B149</f>
        <v>LM</v>
      </c>
      <c r="C1507" s="3">
        <f>'[1]APRIL 2023'!C149</f>
        <v>0</v>
      </c>
      <c r="D1507" s="3">
        <f>'[1]APRIL 2023'!D149</f>
        <v>1199.71</v>
      </c>
      <c r="E1507" s="4">
        <f>'[1]APRIL 2023'!E149</f>
        <v>0</v>
      </c>
      <c r="F1507" s="6">
        <f>'[1]APRIL 2023'!F149</f>
        <v>0</v>
      </c>
      <c r="G1507" s="4"/>
      <c r="H1507" s="4"/>
    </row>
    <row r="1508" spans="1:8" x14ac:dyDescent="0.2">
      <c r="A1508" s="23">
        <f>'[1]APRIL 2023'!A150</f>
        <v>45038</v>
      </c>
      <c r="B1508" s="12" t="str">
        <f>'[1]APRIL 2023'!B150</f>
        <v>Andere</v>
      </c>
      <c r="C1508" s="3">
        <f>'[1]APRIL 2023'!C150</f>
        <v>0</v>
      </c>
      <c r="D1508" s="3">
        <f>'[1]APRIL 2023'!D150</f>
        <v>382</v>
      </c>
      <c r="E1508" s="4">
        <f>'[1]APRIL 2023'!E150</f>
        <v>0</v>
      </c>
      <c r="F1508" s="6">
        <f>'[1]APRIL 2023'!F150</f>
        <v>0</v>
      </c>
      <c r="G1508" s="4"/>
      <c r="H1508" s="4"/>
    </row>
    <row r="1509" spans="1:8" x14ac:dyDescent="0.2">
      <c r="A1509" s="20">
        <f>'[1]APRIL 2023'!A151</f>
        <v>45038</v>
      </c>
      <c r="B1509" s="12" t="str">
        <f>'[1]APRIL 2023'!B151</f>
        <v>VM</v>
      </c>
      <c r="C1509" s="3">
        <f>'[1]APRIL 2023'!C151</f>
        <v>0</v>
      </c>
      <c r="D1509" s="3">
        <f>'[1]APRIL 2023'!D151</f>
        <v>16338</v>
      </c>
      <c r="E1509" s="4">
        <f>'[1]APRIL 2023'!E151</f>
        <v>0</v>
      </c>
      <c r="F1509" s="6">
        <f>'[1]APRIL 2023'!F151</f>
        <v>0</v>
      </c>
      <c r="G1509" s="4"/>
      <c r="H1509" s="4"/>
    </row>
    <row r="1510" spans="1:8" x14ac:dyDescent="0.2">
      <c r="A1510" s="20">
        <f>'[1]APRIL 2023'!A163</f>
        <v>45040</v>
      </c>
      <c r="B1510" s="12" t="str">
        <f>'[1]APRIL 2023'!B163</f>
        <v>Refill</v>
      </c>
      <c r="C1510" s="3">
        <f>'[1]APRIL 2023'!C163</f>
        <v>44892</v>
      </c>
      <c r="D1510" s="3">
        <f>'[1]APRIL 2023'!D163</f>
        <v>0</v>
      </c>
      <c r="E1510" s="4">
        <f>'[1]APRIL 2023'!E163</f>
        <v>0</v>
      </c>
      <c r="F1510" s="6">
        <f>'[1]APRIL 2023'!F163</f>
        <v>0</v>
      </c>
      <c r="G1510" s="4"/>
      <c r="H1510" s="4"/>
    </row>
    <row r="1511" spans="1:8" x14ac:dyDescent="0.2">
      <c r="A1511" s="23">
        <f>'[1]APRIL 2023'!A164</f>
        <v>45040</v>
      </c>
      <c r="B1511" s="12" t="str">
        <f>'[1]APRIL 2023'!B164</f>
        <v>LM</v>
      </c>
      <c r="C1511" s="3">
        <f>'[1]APRIL 2023'!C164</f>
        <v>0</v>
      </c>
      <c r="D1511" s="3">
        <f>'[1]APRIL 2023'!D164</f>
        <v>638.25</v>
      </c>
      <c r="E1511" s="4">
        <f>'[1]APRIL 2023'!E164</f>
        <v>0</v>
      </c>
      <c r="F1511" s="6">
        <f>'[1]APRIL 2023'!F164</f>
        <v>0</v>
      </c>
      <c r="G1511" s="4"/>
      <c r="H1511" s="4"/>
    </row>
    <row r="1512" spans="1:8" x14ac:dyDescent="0.2">
      <c r="A1512" s="20">
        <f>'[1]APRIL 2023'!A165</f>
        <v>45040</v>
      </c>
      <c r="B1512" s="12" t="str">
        <f>'[1]APRIL 2023'!B165</f>
        <v>Andere</v>
      </c>
      <c r="C1512" s="3">
        <f>'[1]APRIL 2023'!C165</f>
        <v>0</v>
      </c>
      <c r="D1512" s="3">
        <f>'[1]APRIL 2023'!D165</f>
        <v>1000</v>
      </c>
      <c r="E1512" s="4">
        <f>'[1]APRIL 2023'!E165</f>
        <v>0</v>
      </c>
      <c r="F1512" s="6">
        <f>'[1]APRIL 2023'!F165</f>
        <v>0</v>
      </c>
      <c r="G1512" s="4"/>
      <c r="H1512" s="4"/>
    </row>
    <row r="1513" spans="1:8" x14ac:dyDescent="0.2">
      <c r="A1513" s="23">
        <f>'[1]APRIL 2023'!A166</f>
        <v>45040</v>
      </c>
      <c r="B1513" s="12" t="str">
        <f>'[1]APRIL 2023'!B166</f>
        <v>none</v>
      </c>
      <c r="C1513" s="3">
        <f>'[1]APRIL 2023'!C166</f>
        <v>0</v>
      </c>
      <c r="D1513" s="3">
        <f>'[1]APRIL 2023'!D166</f>
        <v>6000</v>
      </c>
      <c r="E1513" s="4">
        <f>'[1]APRIL 2023'!E166</f>
        <v>6000</v>
      </c>
      <c r="F1513" s="6">
        <f>'[1]APRIL 2023'!F166</f>
        <v>0</v>
      </c>
      <c r="G1513" s="4"/>
      <c r="H1513" s="4"/>
    </row>
    <row r="1514" spans="1:8" x14ac:dyDescent="0.2">
      <c r="A1514" s="23">
        <f>'[1]APRIL 2023'!A170</f>
        <v>45041</v>
      </c>
      <c r="B1514" s="12" t="str">
        <f>'[1]APRIL 2023'!B170</f>
        <v>VM</v>
      </c>
      <c r="C1514" s="3">
        <f>'[1]APRIL 2023'!C170</f>
        <v>2564</v>
      </c>
      <c r="D1514" s="3">
        <f>'[1]APRIL 2023'!D170</f>
        <v>0</v>
      </c>
      <c r="E1514" s="4">
        <f>'[1]APRIL 2023'!E170</f>
        <v>0</v>
      </c>
      <c r="F1514" s="6">
        <f>'[1]APRIL 2023'!F170</f>
        <v>7780</v>
      </c>
      <c r="G1514" s="4"/>
      <c r="H1514" s="4"/>
    </row>
    <row r="1515" spans="1:8" x14ac:dyDescent="0.2">
      <c r="A1515" s="20">
        <f>'[1]APRIL 2023'!A171</f>
        <v>45041</v>
      </c>
      <c r="B1515" s="12" t="str">
        <f>'[1]APRIL 2023'!B171</f>
        <v>LM</v>
      </c>
      <c r="C1515" s="3">
        <f>'[1]APRIL 2023'!C171</f>
        <v>0</v>
      </c>
      <c r="D1515" s="3">
        <f>'[1]APRIL 2023'!D171</f>
        <v>1122</v>
      </c>
      <c r="E1515" s="4">
        <f>'[1]APRIL 2023'!E171</f>
        <v>0</v>
      </c>
      <c r="F1515" s="6">
        <f>'[1]APRIL 2023'!F171</f>
        <v>0</v>
      </c>
      <c r="G1515" s="4"/>
      <c r="H1515" s="4"/>
    </row>
    <row r="1516" spans="1:8" x14ac:dyDescent="0.2">
      <c r="A1516" s="20">
        <f>'[1]APRIL 2023'!A177</f>
        <v>45042</v>
      </c>
      <c r="B1516" s="12" t="str">
        <f>'[1]APRIL 2023'!B177</f>
        <v>LM</v>
      </c>
      <c r="C1516" s="3">
        <f>'[1]APRIL 2023'!C177</f>
        <v>0</v>
      </c>
      <c r="D1516" s="3">
        <f>'[1]APRIL 2023'!D177</f>
        <v>141.16999999999999</v>
      </c>
      <c r="E1516" s="4">
        <f>'[1]APRIL 2023'!E177</f>
        <v>0</v>
      </c>
      <c r="F1516" s="6">
        <f>'[1]APRIL 2023'!F177</f>
        <v>0</v>
      </c>
      <c r="G1516" s="4"/>
      <c r="H1516" s="4"/>
    </row>
    <row r="1517" spans="1:8" x14ac:dyDescent="0.2">
      <c r="A1517" s="23">
        <f>'[1]APRIL 2023'!A178</f>
        <v>45042</v>
      </c>
      <c r="B1517" s="12" t="str">
        <f>'[1]APRIL 2023'!B178</f>
        <v>LM</v>
      </c>
      <c r="C1517" s="3">
        <f>'[1]APRIL 2023'!C178</f>
        <v>0</v>
      </c>
      <c r="D1517" s="3">
        <f>'[1]APRIL 2023'!D178</f>
        <v>501</v>
      </c>
      <c r="E1517" s="4">
        <f>'[1]APRIL 2023'!E178</f>
        <v>0</v>
      </c>
      <c r="F1517" s="6">
        <f>'[1]APRIL 2023'!F178</f>
        <v>0</v>
      </c>
      <c r="G1517" s="4"/>
      <c r="H1517" s="4"/>
    </row>
    <row r="1518" spans="1:8" x14ac:dyDescent="0.2">
      <c r="A1518" s="23">
        <f>'[1]APRIL 2023'!A184</f>
        <v>45043</v>
      </c>
      <c r="B1518" s="12" t="str">
        <f>'[1]APRIL 2023'!B184</f>
        <v>LM</v>
      </c>
      <c r="C1518" s="3">
        <f>'[1]APRIL 2023'!C184</f>
        <v>0</v>
      </c>
      <c r="D1518" s="3">
        <f>'[1]APRIL 2023'!D184</f>
        <v>706</v>
      </c>
      <c r="E1518" s="4">
        <f>'[1]APRIL 2023'!E184</f>
        <v>0</v>
      </c>
      <c r="F1518" s="6">
        <f>'[1]APRIL 2023'!F184</f>
        <v>0</v>
      </c>
      <c r="G1518" s="4"/>
      <c r="H1518" s="4"/>
    </row>
    <row r="1519" spans="1:8" x14ac:dyDescent="0.2">
      <c r="A1519" s="20">
        <f>'[1]APRIL 2023'!A185</f>
        <v>45043</v>
      </c>
      <c r="B1519" s="12" t="str">
        <f>'[1]APRIL 2023'!B185</f>
        <v>Rauchen</v>
      </c>
      <c r="C1519" s="3">
        <f>'[1]APRIL 2023'!C185</f>
        <v>0</v>
      </c>
      <c r="D1519" s="3">
        <f>'[1]APRIL 2023'!D185</f>
        <v>150</v>
      </c>
      <c r="E1519" s="4">
        <f>'[1]APRIL 2023'!E185</f>
        <v>0</v>
      </c>
      <c r="F1519" s="6">
        <f>'[1]APRIL 2023'!F185</f>
        <v>0</v>
      </c>
      <c r="G1519" s="4"/>
      <c r="H1519" s="4"/>
    </row>
    <row r="1520" spans="1:8" x14ac:dyDescent="0.2">
      <c r="A1520" s="20">
        <f>'[1]APRIL 2023'!A191</f>
        <v>45044</v>
      </c>
      <c r="B1520" s="12" t="str">
        <f>'[1]APRIL 2023'!B191</f>
        <v>LM</v>
      </c>
      <c r="C1520" s="3">
        <f>'[1]APRIL 2023'!C191</f>
        <v>0</v>
      </c>
      <c r="D1520" s="3">
        <f>'[1]APRIL 2023'!D191</f>
        <v>990</v>
      </c>
      <c r="E1520" s="4">
        <f>'[1]APRIL 2023'!E191</f>
        <v>0</v>
      </c>
      <c r="F1520" s="6">
        <f>'[1]APRIL 2023'!F191</f>
        <v>0</v>
      </c>
      <c r="G1520" s="4"/>
      <c r="H1520" s="4"/>
    </row>
    <row r="1521" spans="1:8" x14ac:dyDescent="0.2">
      <c r="A1521" s="23">
        <f>'[1]APRIL 2023'!A198</f>
        <v>45045</v>
      </c>
      <c r="B1521" s="12" t="str">
        <f>'[1]APRIL 2023'!B198</f>
        <v>Andere</v>
      </c>
      <c r="C1521" s="3">
        <f>'[1]APRIL 2023'!C198</f>
        <v>0</v>
      </c>
      <c r="D1521" s="3">
        <f>'[1]APRIL 2023'!D198</f>
        <v>106</v>
      </c>
      <c r="E1521" s="4">
        <f>'[1]APRIL 2023'!E198</f>
        <v>0</v>
      </c>
      <c r="F1521" s="6">
        <f>'[1]APRIL 2023'!F198</f>
        <v>0</v>
      </c>
      <c r="G1521" s="4"/>
      <c r="H1521" s="4"/>
    </row>
    <row r="1522" spans="1:8" x14ac:dyDescent="0.2">
      <c r="A1522" s="20">
        <f>'[1]APRIL 2023'!A199</f>
        <v>45045</v>
      </c>
      <c r="B1522" s="12" t="str">
        <f>'[1]APRIL 2023'!B199</f>
        <v>Party</v>
      </c>
      <c r="C1522" s="3">
        <f>'[1]APRIL 2023'!C199</f>
        <v>0</v>
      </c>
      <c r="D1522" s="3">
        <f>'[1]APRIL 2023'!D199</f>
        <v>900</v>
      </c>
      <c r="E1522" s="4">
        <f>'[1]APRIL 2023'!E199</f>
        <v>0</v>
      </c>
      <c r="F1522" s="6">
        <f>'[1]APRIL 2023'!F199</f>
        <v>0</v>
      </c>
      <c r="G1522" s="4"/>
      <c r="H1522" s="4"/>
    </row>
    <row r="1523" spans="1:8" x14ac:dyDescent="0.2">
      <c r="A1523" s="23">
        <f>'[1]APRIL 2023'!A200</f>
        <v>45045</v>
      </c>
      <c r="B1523" s="12" t="str">
        <f>'[1]APRIL 2023'!B200</f>
        <v>LM</v>
      </c>
      <c r="C1523" s="3">
        <f>'[1]APRIL 2023'!C200</f>
        <v>0</v>
      </c>
      <c r="D1523" s="3">
        <f>'[1]APRIL 2023'!D200</f>
        <v>527</v>
      </c>
      <c r="E1523" s="4">
        <f>'[1]APRIL 2023'!E200</f>
        <v>0</v>
      </c>
      <c r="F1523" s="6">
        <f>'[1]APRIL 2023'!F200</f>
        <v>0</v>
      </c>
      <c r="G1523" s="4"/>
      <c r="H1523" s="4"/>
    </row>
    <row r="1524" spans="1:8" x14ac:dyDescent="0.2">
      <c r="A1524" s="20">
        <f>'[1]APRIL 2023'!A201</f>
        <v>45045</v>
      </c>
      <c r="B1524" s="12" t="str">
        <f>'[1]APRIL 2023'!B201</f>
        <v>Rauchen</v>
      </c>
      <c r="C1524" s="3">
        <f>'[1]APRIL 2023'!C201</f>
        <v>0</v>
      </c>
      <c r="D1524" s="3">
        <f>'[1]APRIL 2023'!D201</f>
        <v>140</v>
      </c>
      <c r="E1524" s="4">
        <f>'[1]APRIL 2023'!E201</f>
        <v>0</v>
      </c>
      <c r="F1524" s="6">
        <f>'[1]APRIL 2023'!F201</f>
        <v>0</v>
      </c>
      <c r="G1524" s="4"/>
      <c r="H1524" s="4"/>
    </row>
    <row r="1525" spans="1:8" x14ac:dyDescent="0.2">
      <c r="A1525" s="23">
        <f>'[1]APRIL 2023'!A202</f>
        <v>45045</v>
      </c>
      <c r="B1525" s="12" t="str">
        <f>'[1]APRIL 2023'!B202</f>
        <v>none</v>
      </c>
      <c r="C1525" s="3">
        <f>'[1]APRIL 2023'!C202</f>
        <v>0</v>
      </c>
      <c r="D1525" s="3">
        <f>'[1]APRIL 2023'!D202</f>
        <v>1800</v>
      </c>
      <c r="E1525" s="4">
        <f>'[1]APRIL 2023'!E202</f>
        <v>1800</v>
      </c>
      <c r="F1525" s="6">
        <f>'[1]APRIL 2023'!F202</f>
        <v>0</v>
      </c>
      <c r="G1525" s="4"/>
      <c r="H1525" s="4"/>
    </row>
    <row r="1526" spans="1:8" x14ac:dyDescent="0.2">
      <c r="A1526" s="20">
        <f>'[1]APRIL 2023'!A205</f>
        <v>45046</v>
      </c>
      <c r="B1526" s="12" t="str">
        <f>'[1]APRIL 2023'!B205</f>
        <v>Andere</v>
      </c>
      <c r="C1526" s="3">
        <f>'[1]APRIL 2023'!C205</f>
        <v>0</v>
      </c>
      <c r="D1526" s="3">
        <f>'[1]APRIL 2023'!D205</f>
        <v>1000</v>
      </c>
      <c r="E1526" s="4">
        <f>'[1]APRIL 2023'!E205</f>
        <v>0</v>
      </c>
      <c r="F1526" s="6">
        <f>'[1]APRIL 2023'!F205</f>
        <v>0</v>
      </c>
      <c r="G1526" s="4"/>
      <c r="H1526" s="4"/>
    </row>
    <row r="1527" spans="1:8" x14ac:dyDescent="0.2">
      <c r="A1527" s="23">
        <f>'[1]APRIL 2023'!A206</f>
        <v>45046</v>
      </c>
      <c r="B1527" s="12" t="str">
        <f>'[1]APRIL 2023'!B206</f>
        <v>VM</v>
      </c>
      <c r="C1527" s="3">
        <f>'[1]APRIL 2023'!C206</f>
        <v>0</v>
      </c>
      <c r="D1527" s="3">
        <f>'[1]APRIL 2023'!D206</f>
        <v>500</v>
      </c>
      <c r="E1527" s="4">
        <f>'[1]APRIL 2023'!E206</f>
        <v>0</v>
      </c>
      <c r="F1527" s="6">
        <f>'[1]APRIL 2023'!F206</f>
        <v>0</v>
      </c>
      <c r="G1527" s="4"/>
      <c r="H1527" s="4"/>
    </row>
    <row r="1528" spans="1:8" x14ac:dyDescent="0.2">
      <c r="A1528" s="20">
        <f>'[1]APRIL 2023'!A207</f>
        <v>45046</v>
      </c>
      <c r="B1528" s="12" t="str">
        <f>'[1]APRIL 2023'!B207</f>
        <v>Refill</v>
      </c>
      <c r="C1528" s="3">
        <f>'[1]APRIL 2023'!C207</f>
        <v>2866.44</v>
      </c>
      <c r="D1528" s="3">
        <f>'[1]APRIL 2023'!D207</f>
        <v>0</v>
      </c>
      <c r="E1528" s="4">
        <f>'[1]APRIL 2023'!E207</f>
        <v>0</v>
      </c>
      <c r="F1528" s="6">
        <f>'[1]APRIL 2023'!F207</f>
        <v>0</v>
      </c>
      <c r="G1528" s="4"/>
      <c r="H1528" s="4"/>
    </row>
    <row r="1529" spans="1:8" x14ac:dyDescent="0.2">
      <c r="A1529" s="23">
        <f>'[1]MAY 2023'!A2</f>
        <v>45047</v>
      </c>
      <c r="B1529" s="12" t="str">
        <f>'[1]MAY 2023'!B2</f>
        <v>rent</v>
      </c>
      <c r="C1529" s="3">
        <f>'[1]MAY 2023'!C2</f>
        <v>0</v>
      </c>
      <c r="D1529" s="3">
        <f>'[1]MAY 2023'!D2</f>
        <v>55000</v>
      </c>
      <c r="E1529" s="4">
        <f>'[1]MAY 2023'!E2</f>
        <v>0</v>
      </c>
      <c r="F1529" s="6">
        <f>'[1]MAY 2023'!F2</f>
        <v>0</v>
      </c>
      <c r="G1529" s="4"/>
      <c r="H1529" s="4"/>
    </row>
    <row r="1530" spans="1:8" x14ac:dyDescent="0.2">
      <c r="A1530" s="20">
        <f>'[1]MAY 2023'!A9</f>
        <v>45048</v>
      </c>
      <c r="B1530" s="12" t="str">
        <f>'[1]MAY 2023'!B9</f>
        <v>Rauchen</v>
      </c>
      <c r="C1530" s="3">
        <f>'[1]MAY 2023'!C9</f>
        <v>0</v>
      </c>
      <c r="D1530" s="3">
        <f>'[1]MAY 2023'!D9</f>
        <v>519.96</v>
      </c>
      <c r="E1530" s="4">
        <f>'[1]MAY 2023'!E9</f>
        <v>0</v>
      </c>
      <c r="F1530" s="6">
        <f>'[1]MAY 2023'!F9</f>
        <v>0</v>
      </c>
      <c r="G1530" s="4"/>
      <c r="H1530" s="4"/>
    </row>
    <row r="1531" spans="1:8" x14ac:dyDescent="0.2">
      <c r="A1531" s="23">
        <f>'[1]MAY 2023'!A30</f>
        <v>45051</v>
      </c>
      <c r="B1531" s="12" t="str">
        <f>'[1]MAY 2023'!B30</f>
        <v>LM</v>
      </c>
      <c r="C1531" s="3">
        <f>'[1]MAY 2023'!C30</f>
        <v>0</v>
      </c>
      <c r="D1531" s="3">
        <f>'[1]MAY 2023'!D30</f>
        <v>300</v>
      </c>
      <c r="E1531" s="4">
        <f>'[1]MAY 2023'!E30</f>
        <v>0</v>
      </c>
      <c r="F1531" s="6">
        <f>'[1]MAY 2023'!F30</f>
        <v>0</v>
      </c>
      <c r="G1531" s="4"/>
      <c r="H1531" s="4"/>
    </row>
    <row r="1532" spans="1:8" x14ac:dyDescent="0.2">
      <c r="A1532" s="20">
        <f>'[1]MAY 2023'!A31</f>
        <v>45051</v>
      </c>
      <c r="B1532" s="12" t="str">
        <f>'[1]MAY 2023'!B31</f>
        <v>Refill</v>
      </c>
      <c r="C1532" s="3">
        <f>'[1]MAY 2023'!C31</f>
        <v>52764.24</v>
      </c>
      <c r="D1532" s="3">
        <f>'[1]MAY 2023'!D31</f>
        <v>0</v>
      </c>
      <c r="E1532" s="4">
        <f>'[1]MAY 2023'!E31</f>
        <v>0</v>
      </c>
      <c r="F1532" s="6">
        <f>'[1]MAY 2023'!F31</f>
        <v>0</v>
      </c>
      <c r="G1532" s="4"/>
      <c r="H1532" s="4"/>
    </row>
    <row r="1533" spans="1:8" x14ac:dyDescent="0.2">
      <c r="A1533" s="20">
        <f>'[1]MAY 2023'!A37</f>
        <v>45052</v>
      </c>
      <c r="B1533" s="12" t="str">
        <f>'[1]MAY 2023'!B37</f>
        <v>LM</v>
      </c>
      <c r="C1533" s="3">
        <f>'[1]MAY 2023'!C37</f>
        <v>0</v>
      </c>
      <c r="D1533" s="3">
        <f>'[1]MAY 2023'!D37</f>
        <v>264.98</v>
      </c>
      <c r="E1533" s="4">
        <f>'[1]MAY 2023'!E37</f>
        <v>0</v>
      </c>
      <c r="F1533" s="6">
        <f>'[1]MAY 2023'!F37</f>
        <v>0</v>
      </c>
      <c r="G1533" s="4"/>
      <c r="H1533" s="4"/>
    </row>
    <row r="1534" spans="1:8" x14ac:dyDescent="0.2">
      <c r="A1534" s="23">
        <f>'[1]MAY 2023'!A38</f>
        <v>45052</v>
      </c>
      <c r="B1534" s="12" t="str">
        <f>'[1]MAY 2023'!B38</f>
        <v>Andere</v>
      </c>
      <c r="C1534" s="3">
        <f>'[1]MAY 2023'!C38</f>
        <v>0</v>
      </c>
      <c r="D1534" s="3">
        <f>'[1]MAY 2023'!D38</f>
        <v>1000</v>
      </c>
      <c r="E1534" s="4">
        <f>'[1]MAY 2023'!E38</f>
        <v>0</v>
      </c>
      <c r="F1534" s="6">
        <f>'[1]MAY 2023'!F38</f>
        <v>0</v>
      </c>
      <c r="G1534" s="4"/>
      <c r="H1534" s="4"/>
    </row>
    <row r="1535" spans="1:8" x14ac:dyDescent="0.2">
      <c r="A1535" s="23">
        <f>'[1]MAY 2023'!A44</f>
        <v>45053</v>
      </c>
      <c r="B1535" s="12" t="str">
        <f>'[1]MAY 2023'!B44</f>
        <v>LM</v>
      </c>
      <c r="C1535" s="3">
        <f>'[1]MAY 2023'!C44</f>
        <v>0</v>
      </c>
      <c r="D1535" s="3">
        <f>'[1]MAY 2023'!D44</f>
        <v>300</v>
      </c>
      <c r="E1535" s="4">
        <f>'[1]MAY 2023'!E44</f>
        <v>0</v>
      </c>
      <c r="F1535" s="6">
        <f>'[1]MAY 2023'!F44</f>
        <v>0</v>
      </c>
      <c r="G1535" s="4"/>
      <c r="H1535" s="4"/>
    </row>
    <row r="1536" spans="1:8" x14ac:dyDescent="0.2">
      <c r="A1536" s="20">
        <f>'[1]MAY 2023'!A51</f>
        <v>45054</v>
      </c>
      <c r="B1536" s="12" t="str">
        <f>'[1]MAY 2023'!B51</f>
        <v>LM</v>
      </c>
      <c r="C1536" s="3">
        <f>'[1]MAY 2023'!C51</f>
        <v>0</v>
      </c>
      <c r="D1536" s="3">
        <f>'[1]MAY 2023'!D51</f>
        <v>350</v>
      </c>
      <c r="E1536" s="4">
        <f>'[1]MAY 2023'!E51</f>
        <v>0</v>
      </c>
      <c r="F1536" s="6">
        <f>'[1]MAY 2023'!F51</f>
        <v>0</v>
      </c>
      <c r="G1536" s="4"/>
      <c r="H1536" s="4"/>
    </row>
    <row r="1537" spans="1:8" x14ac:dyDescent="0.2">
      <c r="A1537" s="23">
        <f>'[1]MAY 2023'!A52</f>
        <v>45054</v>
      </c>
      <c r="B1537" s="12" t="str">
        <f>'[1]MAY 2023'!B52</f>
        <v>VM</v>
      </c>
      <c r="C1537" s="3">
        <f>'[1]MAY 2023'!C52</f>
        <v>0</v>
      </c>
      <c r="D1537" s="3">
        <f>'[1]MAY 2023'!D52</f>
        <v>500</v>
      </c>
      <c r="E1537" s="4">
        <f>'[1]MAY 2023'!E52</f>
        <v>0</v>
      </c>
      <c r="F1537" s="6">
        <f>'[1]MAY 2023'!F52</f>
        <v>0</v>
      </c>
      <c r="G1537" s="4"/>
      <c r="H1537" s="4"/>
    </row>
    <row r="1538" spans="1:8" x14ac:dyDescent="0.2">
      <c r="A1538" s="20">
        <f>'[1]MAY 2023'!A53</f>
        <v>45054</v>
      </c>
      <c r="B1538" s="12" t="str">
        <f>'[1]MAY 2023'!B53</f>
        <v>VM</v>
      </c>
      <c r="C1538" s="3">
        <f>'[1]MAY 2023'!C53</f>
        <v>0</v>
      </c>
      <c r="D1538" s="3">
        <f>'[1]MAY 2023'!D53</f>
        <v>470</v>
      </c>
      <c r="E1538" s="4">
        <f>'[1]MAY 2023'!E53</f>
        <v>0</v>
      </c>
      <c r="F1538" s="6">
        <f>'[1]MAY 2023'!F53</f>
        <v>0</v>
      </c>
      <c r="G1538" s="4"/>
      <c r="H1538" s="4"/>
    </row>
    <row r="1539" spans="1:8" x14ac:dyDescent="0.2">
      <c r="A1539" s="23">
        <f>'[1]MAY 2023'!A58</f>
        <v>45055</v>
      </c>
      <c r="B1539" s="12" t="str">
        <f>'[1]MAY 2023'!B58</f>
        <v>LM</v>
      </c>
      <c r="C1539" s="3">
        <f>'[1]MAY 2023'!C58</f>
        <v>0</v>
      </c>
      <c r="D1539" s="3">
        <f>'[1]MAY 2023'!D58</f>
        <v>439</v>
      </c>
      <c r="E1539" s="4">
        <f>'[1]MAY 2023'!E58</f>
        <v>0</v>
      </c>
      <c r="F1539" s="6">
        <f>'[1]MAY 2023'!F58</f>
        <v>0</v>
      </c>
      <c r="G1539" s="4"/>
      <c r="H1539" s="4"/>
    </row>
    <row r="1540" spans="1:8" x14ac:dyDescent="0.2">
      <c r="A1540" s="20">
        <f>'[1]MAY 2023'!A59</f>
        <v>45055</v>
      </c>
      <c r="B1540" s="12" t="str">
        <f>'[1]MAY 2023'!B59</f>
        <v>Andere</v>
      </c>
      <c r="C1540" s="3">
        <f>'[1]MAY 2023'!C59</f>
        <v>0</v>
      </c>
      <c r="D1540" s="3">
        <f>'[1]MAY 2023'!D59</f>
        <v>2200</v>
      </c>
      <c r="E1540" s="4">
        <f>'[1]MAY 2023'!E59</f>
        <v>0</v>
      </c>
      <c r="F1540" s="6">
        <f>'[1]MAY 2023'!F59</f>
        <v>0</v>
      </c>
      <c r="G1540" s="4"/>
      <c r="H1540" s="4"/>
    </row>
    <row r="1541" spans="1:8" x14ac:dyDescent="0.2">
      <c r="A1541" s="23">
        <f>'[1]MAY 2023'!A60</f>
        <v>45055</v>
      </c>
      <c r="B1541" s="12" t="str">
        <f>'[1]MAY 2023'!B60</f>
        <v>LM</v>
      </c>
      <c r="C1541" s="3">
        <f>'[1]MAY 2023'!C60</f>
        <v>0</v>
      </c>
      <c r="D1541" s="3">
        <f>'[1]MAY 2023'!D60</f>
        <v>837.36</v>
      </c>
      <c r="E1541" s="4">
        <f>'[1]MAY 2023'!E60</f>
        <v>0</v>
      </c>
      <c r="F1541" s="6">
        <f>'[1]MAY 2023'!F60</f>
        <v>0</v>
      </c>
      <c r="G1541" s="4"/>
      <c r="H1541" s="4"/>
    </row>
    <row r="1542" spans="1:8" x14ac:dyDescent="0.2">
      <c r="A1542" s="20">
        <f>'[1]MAY 2023'!A65</f>
        <v>45056</v>
      </c>
      <c r="B1542" s="12" t="str">
        <f>'[1]MAY 2023'!B65</f>
        <v>Andere</v>
      </c>
      <c r="C1542" s="3">
        <f>'[1]MAY 2023'!C65</f>
        <v>0</v>
      </c>
      <c r="D1542" s="3">
        <f>'[1]MAY 2023'!D65</f>
        <v>200</v>
      </c>
      <c r="E1542" s="4">
        <f>'[1]MAY 2023'!E65</f>
        <v>0</v>
      </c>
      <c r="F1542" s="6">
        <f>'[1]MAY 2023'!F65</f>
        <v>0</v>
      </c>
      <c r="G1542" s="4"/>
      <c r="H1542" s="4"/>
    </row>
    <row r="1543" spans="1:8" x14ac:dyDescent="0.2">
      <c r="A1543" s="23">
        <f>'[1]MAY 2023'!A66</f>
        <v>45056</v>
      </c>
      <c r="B1543" s="12" t="str">
        <f>'[1]MAY 2023'!B66</f>
        <v>Andere</v>
      </c>
      <c r="C1543" s="3">
        <f>'[1]MAY 2023'!C66</f>
        <v>0</v>
      </c>
      <c r="D1543" s="3">
        <f>'[1]MAY 2023'!D66</f>
        <v>0</v>
      </c>
      <c r="E1543" s="4">
        <f>'[1]MAY 2023'!E66</f>
        <v>0</v>
      </c>
      <c r="F1543" s="6">
        <f>'[1]MAY 2023'!F66</f>
        <v>0</v>
      </c>
      <c r="G1543" s="4"/>
      <c r="H1543" s="4"/>
    </row>
    <row r="1544" spans="1:8" x14ac:dyDescent="0.2">
      <c r="A1544" s="23">
        <f>'[1]MAY 2023'!A72</f>
        <v>45057</v>
      </c>
      <c r="B1544" s="12" t="str">
        <f>'[1]MAY 2023'!B72</f>
        <v>LM</v>
      </c>
      <c r="C1544" s="3">
        <f>'[1]MAY 2023'!C72</f>
        <v>0</v>
      </c>
      <c r="D1544" s="3">
        <f>'[1]MAY 2023'!D72</f>
        <v>274</v>
      </c>
      <c r="E1544" s="4">
        <f>'[1]MAY 2023'!E72</f>
        <v>0</v>
      </c>
      <c r="F1544" s="6">
        <f>'[1]MAY 2023'!F72</f>
        <v>0</v>
      </c>
      <c r="G1544" s="4"/>
      <c r="H1544" s="4"/>
    </row>
    <row r="1545" spans="1:8" x14ac:dyDescent="0.2">
      <c r="A1545" s="20">
        <f>'[1]MAY 2023'!A73</f>
        <v>45057</v>
      </c>
      <c r="B1545" s="12" t="str">
        <f>'[1]MAY 2023'!B73</f>
        <v>Party</v>
      </c>
      <c r="C1545" s="3">
        <f>'[1]MAY 2023'!C73</f>
        <v>0</v>
      </c>
      <c r="D1545" s="3">
        <f>'[1]MAY 2023'!D73</f>
        <v>1390.5</v>
      </c>
      <c r="E1545" s="4">
        <f>'[1]MAY 2023'!E73</f>
        <v>0</v>
      </c>
      <c r="F1545" s="6">
        <f>'[1]MAY 2023'!F73</f>
        <v>0</v>
      </c>
      <c r="G1545" s="4"/>
      <c r="H1545" s="4"/>
    </row>
    <row r="1546" spans="1:8" x14ac:dyDescent="0.2">
      <c r="A1546" s="23">
        <f>'[1]MAY 2023'!A74</f>
        <v>45057</v>
      </c>
      <c r="B1546" s="12" t="str">
        <f>'[1]MAY 2023'!B74</f>
        <v>VM</v>
      </c>
      <c r="C1546" s="3">
        <f>'[1]MAY 2023'!C74</f>
        <v>0</v>
      </c>
      <c r="D1546" s="3">
        <f>'[1]MAY 2023'!D74</f>
        <v>0</v>
      </c>
      <c r="E1546" s="4">
        <f>'[1]MAY 2023'!E74</f>
        <v>0</v>
      </c>
      <c r="F1546" s="6">
        <f>'[1]MAY 2023'!F74</f>
        <v>397.93</v>
      </c>
      <c r="G1546" s="4"/>
      <c r="H1546" s="4"/>
    </row>
    <row r="1547" spans="1:8" x14ac:dyDescent="0.2">
      <c r="A1547" s="20">
        <f>'[1]MAY 2023'!A79</f>
        <v>45058</v>
      </c>
      <c r="B1547" s="12" t="str">
        <f>'[1]MAY 2023'!B79</f>
        <v>LM</v>
      </c>
      <c r="C1547" s="3">
        <f>'[1]MAY 2023'!C79</f>
        <v>0</v>
      </c>
      <c r="D1547" s="3">
        <f>'[1]MAY 2023'!D79</f>
        <v>2263.83</v>
      </c>
      <c r="E1547" s="4">
        <f>'[1]MAY 2023'!E79</f>
        <v>0</v>
      </c>
      <c r="F1547" s="6">
        <f>'[1]MAY 2023'!F79</f>
        <v>0</v>
      </c>
      <c r="G1547" s="4"/>
      <c r="H1547" s="4"/>
    </row>
    <row r="1548" spans="1:8" x14ac:dyDescent="0.2">
      <c r="A1548" s="23">
        <f>'[1]MAY 2023'!A80</f>
        <v>45058</v>
      </c>
      <c r="B1548" s="12" t="str">
        <f>'[1]MAY 2023'!B80</f>
        <v>VM</v>
      </c>
      <c r="C1548" s="3">
        <f>'[1]MAY 2023'!C80</f>
        <v>0</v>
      </c>
      <c r="D1548" s="3">
        <f>'[1]MAY 2023'!D80</f>
        <v>56</v>
      </c>
      <c r="E1548" s="4">
        <f>'[1]MAY 2023'!E80</f>
        <v>0</v>
      </c>
      <c r="F1548" s="6">
        <f>'[1]MAY 2023'!F80</f>
        <v>0</v>
      </c>
      <c r="G1548" s="4"/>
      <c r="H1548" s="4"/>
    </row>
    <row r="1549" spans="1:8" x14ac:dyDescent="0.2">
      <c r="A1549" s="23">
        <f>'[1]MAY 2023'!A86</f>
        <v>45059</v>
      </c>
      <c r="B1549" s="12" t="str">
        <f>'[1]MAY 2023'!B86</f>
        <v>VM</v>
      </c>
      <c r="C1549" s="3">
        <f>'[1]MAY 2023'!C86</f>
        <v>0</v>
      </c>
      <c r="D1549" s="3">
        <f>'[1]MAY 2023'!D86</f>
        <v>558</v>
      </c>
      <c r="E1549" s="4">
        <f>'[1]MAY 2023'!E86</f>
        <v>0</v>
      </c>
      <c r="F1549" s="6">
        <f>'[1]MAY 2023'!F86</f>
        <v>229.16</v>
      </c>
      <c r="G1549" s="4"/>
      <c r="H1549" s="4"/>
    </row>
    <row r="1550" spans="1:8" x14ac:dyDescent="0.2">
      <c r="A1550" s="20">
        <f>'[1]MAY 2023'!A87</f>
        <v>45059</v>
      </c>
      <c r="B1550" s="12" t="str">
        <f>'[1]MAY 2023'!B87</f>
        <v>LM</v>
      </c>
      <c r="C1550" s="3">
        <f>'[1]MAY 2023'!C87</f>
        <v>0</v>
      </c>
      <c r="D1550" s="3">
        <f>'[1]MAY 2023'!D87</f>
        <v>833</v>
      </c>
      <c r="E1550" s="4">
        <f>'[1]MAY 2023'!E87</f>
        <v>0</v>
      </c>
      <c r="F1550" s="6">
        <f>'[1]MAY 2023'!F87</f>
        <v>0</v>
      </c>
      <c r="G1550" s="4"/>
      <c r="H1550" s="4"/>
    </row>
    <row r="1551" spans="1:8" x14ac:dyDescent="0.2">
      <c r="A1551" s="23">
        <f>'[1]MAY 2023'!A88</f>
        <v>45059</v>
      </c>
      <c r="B1551" s="12" t="str">
        <f>'[1]MAY 2023'!B88</f>
        <v>Party</v>
      </c>
      <c r="C1551" s="3">
        <f>'[1]MAY 2023'!C88</f>
        <v>0</v>
      </c>
      <c r="D1551" s="3">
        <f>'[1]MAY 2023'!D88</f>
        <v>800</v>
      </c>
      <c r="E1551" s="4">
        <f>'[1]MAY 2023'!E88</f>
        <v>0</v>
      </c>
      <c r="F1551" s="6">
        <f>'[1]MAY 2023'!F88</f>
        <v>0</v>
      </c>
      <c r="G1551" s="4"/>
      <c r="H1551" s="4"/>
    </row>
    <row r="1552" spans="1:8" x14ac:dyDescent="0.2">
      <c r="A1552" s="20">
        <f>'[1]MAY 2023'!A89</f>
        <v>45059</v>
      </c>
      <c r="B1552" s="12" t="str">
        <f>'[1]MAY 2023'!B89</f>
        <v>Andere</v>
      </c>
      <c r="C1552" s="3">
        <f>'[1]MAY 2023'!C89</f>
        <v>0</v>
      </c>
      <c r="D1552" s="3">
        <f>'[1]MAY 2023'!D89</f>
        <v>2000</v>
      </c>
      <c r="E1552" s="4">
        <f>'[1]MAY 2023'!E89</f>
        <v>0</v>
      </c>
      <c r="F1552" s="6">
        <f>'[1]MAY 2023'!F89</f>
        <v>0</v>
      </c>
      <c r="G1552" s="4"/>
      <c r="H1552" s="4"/>
    </row>
    <row r="1553" spans="1:8" x14ac:dyDescent="0.2">
      <c r="A1553" s="20">
        <f>'[1]MAY 2023'!A91</f>
        <v>45059</v>
      </c>
      <c r="B1553" s="12" t="str">
        <f>'[1]MAY 2023'!B91</f>
        <v>none</v>
      </c>
      <c r="C1553" s="3">
        <f>'[1]MAY 2023'!C91</f>
        <v>0</v>
      </c>
      <c r="D1553" s="3">
        <f>'[1]MAY 2023'!D91</f>
        <v>0</v>
      </c>
      <c r="E1553" s="4">
        <f>'[1]MAY 2023'!E91</f>
        <v>450.08</v>
      </c>
      <c r="F1553" s="6">
        <f>'[1]MAY 2023'!F91</f>
        <v>0</v>
      </c>
      <c r="G1553" s="4"/>
      <c r="H1553" s="4"/>
    </row>
    <row r="1554" spans="1:8" x14ac:dyDescent="0.2">
      <c r="A1554" s="20">
        <f>'[1]MAY 2023'!A93</f>
        <v>45060</v>
      </c>
      <c r="B1554" s="12" t="str">
        <f>'[1]MAY 2023'!B93</f>
        <v>VM</v>
      </c>
      <c r="C1554" s="3">
        <f>'[1]MAY 2023'!C93</f>
        <v>0</v>
      </c>
      <c r="D1554" s="3">
        <f>'[1]MAY 2023'!D93</f>
        <v>56</v>
      </c>
      <c r="E1554" s="4">
        <f>'[1]MAY 2023'!E93</f>
        <v>0</v>
      </c>
      <c r="F1554" s="6">
        <f>'[1]MAY 2023'!F93</f>
        <v>0</v>
      </c>
      <c r="G1554" s="4"/>
      <c r="H1554" s="4"/>
    </row>
    <row r="1555" spans="1:8" x14ac:dyDescent="0.2">
      <c r="A1555" s="23">
        <f>'[1]MAY 2023'!A94</f>
        <v>45060</v>
      </c>
      <c r="B1555" s="12" t="str">
        <f>'[1]MAY 2023'!B94</f>
        <v>LM</v>
      </c>
      <c r="C1555" s="3">
        <f>'[1]MAY 2023'!C94</f>
        <v>0</v>
      </c>
      <c r="D1555" s="3">
        <f>'[1]MAY 2023'!D94</f>
        <v>979.36</v>
      </c>
      <c r="E1555" s="4">
        <f>'[1]MAY 2023'!E94</f>
        <v>0</v>
      </c>
      <c r="F1555" s="6">
        <f>'[1]MAY 2023'!F94</f>
        <v>0</v>
      </c>
      <c r="G1555" s="4"/>
      <c r="H1555" s="4"/>
    </row>
    <row r="1556" spans="1:8" x14ac:dyDescent="0.2">
      <c r="A1556" s="23">
        <f>'[1]MAY 2023'!A100</f>
        <v>45061</v>
      </c>
      <c r="B1556" s="12" t="str">
        <f>'[1]MAY 2023'!B100</f>
        <v>Andere</v>
      </c>
      <c r="C1556" s="3">
        <f>'[1]MAY 2023'!C100</f>
        <v>0</v>
      </c>
      <c r="D1556" s="3">
        <f>'[1]MAY 2023'!D100</f>
        <v>252.48</v>
      </c>
      <c r="E1556" s="4">
        <f>'[1]MAY 2023'!E100</f>
        <v>0</v>
      </c>
      <c r="F1556" s="6">
        <f>'[1]MAY 2023'!F100</f>
        <v>0</v>
      </c>
      <c r="G1556" s="4"/>
      <c r="H1556" s="4"/>
    </row>
    <row r="1557" spans="1:8" x14ac:dyDescent="0.2">
      <c r="A1557" s="20">
        <f>'[1]MAY 2023'!A101</f>
        <v>45061</v>
      </c>
      <c r="B1557" s="12" t="str">
        <f>'[1]MAY 2023'!B101</f>
        <v>VM</v>
      </c>
      <c r="C1557" s="3">
        <f>'[1]MAY 2023'!C101</f>
        <v>0</v>
      </c>
      <c r="D1557" s="3">
        <f>'[1]MAY 2023'!D101</f>
        <v>0</v>
      </c>
      <c r="E1557" s="4">
        <f>'[1]MAY 2023'!E101</f>
        <v>0</v>
      </c>
      <c r="F1557" s="6">
        <f>'[1]MAY 2023'!F101</f>
        <v>97.86</v>
      </c>
      <c r="G1557" s="4"/>
      <c r="H1557" s="4"/>
    </row>
    <row r="1558" spans="1:8" x14ac:dyDescent="0.2">
      <c r="A1558" s="20">
        <f>'[1]MAY 2023'!A107</f>
        <v>45062</v>
      </c>
      <c r="B1558" s="12" t="str">
        <f>'[1]MAY 2023'!B107</f>
        <v>LM</v>
      </c>
      <c r="C1558" s="3">
        <f>'[1]MAY 2023'!C107</f>
        <v>0</v>
      </c>
      <c r="D1558" s="3">
        <f>'[1]MAY 2023'!D107</f>
        <v>544.99</v>
      </c>
      <c r="E1558" s="4">
        <f>'[1]MAY 2023'!E107</f>
        <v>0</v>
      </c>
      <c r="F1558" s="6">
        <f>'[1]MAY 2023'!F107</f>
        <v>0</v>
      </c>
      <c r="G1558" s="4"/>
      <c r="H1558" s="4"/>
    </row>
    <row r="1559" spans="1:8" x14ac:dyDescent="0.2">
      <c r="A1559" s="23">
        <f>'[1]MAY 2023'!A108</f>
        <v>45062</v>
      </c>
      <c r="B1559" s="12" t="str">
        <f>'[1]MAY 2023'!B108</f>
        <v>VM</v>
      </c>
      <c r="C1559" s="3">
        <f>'[1]MAY 2023'!C108</f>
        <v>0</v>
      </c>
      <c r="D1559" s="3">
        <f>'[1]MAY 2023'!D108</f>
        <v>0</v>
      </c>
      <c r="E1559" s="4">
        <f>'[1]MAY 2023'!E108</f>
        <v>0</v>
      </c>
      <c r="F1559" s="6">
        <f>'[1]MAY 2023'!F108</f>
        <v>27.96</v>
      </c>
      <c r="G1559" s="4"/>
      <c r="H1559" s="4"/>
    </row>
    <row r="1560" spans="1:8" x14ac:dyDescent="0.2">
      <c r="A1560" s="23">
        <f>'[1]MAY 2023'!A114</f>
        <v>45063</v>
      </c>
      <c r="B1560" s="12" t="str">
        <f>'[1]MAY 2023'!B114</f>
        <v>LM</v>
      </c>
      <c r="C1560" s="3">
        <f>'[1]MAY 2023'!C114</f>
        <v>0</v>
      </c>
      <c r="D1560" s="3">
        <f>'[1]MAY 2023'!D114</f>
        <v>1084.58</v>
      </c>
      <c r="E1560" s="4">
        <f>'[1]MAY 2023'!E114</f>
        <v>0</v>
      </c>
      <c r="F1560" s="6">
        <f>'[1]MAY 2023'!F114</f>
        <v>0</v>
      </c>
      <c r="G1560" s="4"/>
      <c r="H1560" s="4"/>
    </row>
    <row r="1561" spans="1:8" x14ac:dyDescent="0.2">
      <c r="A1561" s="23">
        <f>'[1]MAY 2023'!A128</f>
        <v>45065</v>
      </c>
      <c r="B1561" s="12" t="str">
        <f>'[1]MAY 2023'!B128</f>
        <v>LM</v>
      </c>
      <c r="C1561" s="3">
        <f>'[1]MAY 2023'!C128</f>
        <v>0</v>
      </c>
      <c r="D1561" s="3">
        <f>'[1]MAY 2023'!D128</f>
        <v>505.96</v>
      </c>
      <c r="E1561" s="4">
        <f>'[1]MAY 2023'!E128</f>
        <v>0</v>
      </c>
      <c r="F1561" s="6">
        <f>'[1]MAY 2023'!F128</f>
        <v>0</v>
      </c>
      <c r="G1561" s="4"/>
      <c r="H1561" s="4"/>
    </row>
    <row r="1562" spans="1:8" x14ac:dyDescent="0.2">
      <c r="A1562" s="20">
        <f>'[1]MAY 2023'!A135</f>
        <v>45066</v>
      </c>
      <c r="B1562" s="12" t="str">
        <f>'[1]MAY 2023'!B135</f>
        <v>Kleidung</v>
      </c>
      <c r="C1562" s="3">
        <f>'[1]MAY 2023'!C135</f>
        <v>0</v>
      </c>
      <c r="D1562" s="3">
        <f>'[1]MAY 2023'!D135</f>
        <v>5695</v>
      </c>
      <c r="E1562" s="4">
        <f>'[1]MAY 2023'!E135</f>
        <v>0</v>
      </c>
      <c r="F1562" s="6">
        <f>'[1]MAY 2023'!F135</f>
        <v>0</v>
      </c>
      <c r="G1562" s="4"/>
      <c r="H1562" s="4"/>
    </row>
    <row r="1563" spans="1:8" x14ac:dyDescent="0.2">
      <c r="A1563" s="23">
        <f>'[1]MAY 2023'!A136</f>
        <v>45066</v>
      </c>
      <c r="B1563" s="12" t="str">
        <f>'[1]MAY 2023'!B136</f>
        <v>LM</v>
      </c>
      <c r="C1563" s="3">
        <f>'[1]MAY 2023'!C136</f>
        <v>0</v>
      </c>
      <c r="D1563" s="3">
        <f>'[1]MAY 2023'!D136</f>
        <v>565</v>
      </c>
      <c r="E1563" s="4">
        <f>'[1]MAY 2023'!E136</f>
        <v>0</v>
      </c>
      <c r="F1563" s="6">
        <f>'[1]MAY 2023'!F136</f>
        <v>0</v>
      </c>
      <c r="G1563" s="4"/>
      <c r="H1563" s="4"/>
    </row>
    <row r="1564" spans="1:8" x14ac:dyDescent="0.2">
      <c r="A1564" s="20">
        <f>'[1]MAY 2023'!A137</f>
        <v>45066</v>
      </c>
      <c r="B1564" s="12" t="str">
        <f>'[1]MAY 2023'!B137</f>
        <v>Andere</v>
      </c>
      <c r="C1564" s="3">
        <f>'[1]MAY 2023'!C137</f>
        <v>0</v>
      </c>
      <c r="D1564" s="3">
        <f>'[1]MAY 2023'!D137</f>
        <v>500</v>
      </c>
      <c r="E1564" s="4">
        <f>'[1]MAY 2023'!E137</f>
        <v>0</v>
      </c>
      <c r="F1564" s="6">
        <f>'[1]MAY 2023'!F137</f>
        <v>0</v>
      </c>
      <c r="G1564" s="4"/>
      <c r="H1564" s="4"/>
    </row>
    <row r="1565" spans="1:8" x14ac:dyDescent="0.2">
      <c r="A1565" s="23">
        <f>'[1]MAY 2023'!A138</f>
        <v>45066</v>
      </c>
      <c r="B1565" s="12" t="str">
        <f>'[1]MAY 2023'!B138</f>
        <v>VM</v>
      </c>
      <c r="C1565" s="3">
        <f>'[1]MAY 2023'!C138</f>
        <v>0</v>
      </c>
      <c r="D1565" s="3">
        <f>'[1]MAY 2023'!D138</f>
        <v>0</v>
      </c>
      <c r="E1565" s="4">
        <f>'[1]MAY 2023'!E138</f>
        <v>0</v>
      </c>
      <c r="F1565" s="6">
        <f>'[1]MAY 2023'!F138</f>
        <v>106.55</v>
      </c>
      <c r="G1565" s="4"/>
      <c r="H1565" s="4"/>
    </row>
    <row r="1566" spans="1:8" x14ac:dyDescent="0.2">
      <c r="A1566" s="23">
        <f>'[1]MAY 2023'!A142</f>
        <v>45067</v>
      </c>
      <c r="B1566" s="12" t="str">
        <f>'[1]MAY 2023'!B142</f>
        <v>Party</v>
      </c>
      <c r="C1566" s="3">
        <f>'[1]MAY 2023'!C142</f>
        <v>0</v>
      </c>
      <c r="D1566" s="3">
        <f>'[1]MAY 2023'!D142</f>
        <v>2800</v>
      </c>
      <c r="E1566" s="4">
        <f>'[1]MAY 2023'!E142</f>
        <v>0</v>
      </c>
      <c r="F1566" s="6">
        <f>'[1]MAY 2023'!F142</f>
        <v>0</v>
      </c>
      <c r="G1566" s="4"/>
      <c r="H1566" s="4"/>
    </row>
    <row r="1567" spans="1:8" x14ac:dyDescent="0.2">
      <c r="A1567" s="20">
        <f>'[1]MAY 2023'!A143</f>
        <v>45067</v>
      </c>
      <c r="B1567" s="12" t="str">
        <f>'[1]MAY 2023'!B143</f>
        <v>VM</v>
      </c>
      <c r="C1567" s="3">
        <f>'[1]MAY 2023'!C143</f>
        <v>0</v>
      </c>
      <c r="D1567" s="3">
        <f>'[1]MAY 2023'!D143</f>
        <v>56</v>
      </c>
      <c r="E1567" s="4">
        <f>'[1]MAY 2023'!E143</f>
        <v>0</v>
      </c>
      <c r="F1567" s="6">
        <f>'[1]MAY 2023'!F143</f>
        <v>102.06</v>
      </c>
      <c r="G1567" s="4"/>
      <c r="H1567" s="4"/>
    </row>
    <row r="1568" spans="1:8" x14ac:dyDescent="0.2">
      <c r="A1568" s="23">
        <f>'[1]MAY 2023'!A144</f>
        <v>45067</v>
      </c>
      <c r="B1568" s="12" t="str">
        <f>'[1]MAY 2023'!B144</f>
        <v>LM</v>
      </c>
      <c r="C1568" s="3">
        <f>'[1]MAY 2023'!C144</f>
        <v>0</v>
      </c>
      <c r="D1568" s="3">
        <f>'[1]MAY 2023'!D144</f>
        <v>1376.96</v>
      </c>
      <c r="E1568" s="4">
        <f>'[1]MAY 2023'!E144</f>
        <v>0</v>
      </c>
      <c r="F1568" s="6">
        <f>'[1]MAY 2023'!F144</f>
        <v>0</v>
      </c>
      <c r="G1568" s="4"/>
      <c r="H1568" s="4"/>
    </row>
    <row r="1569" spans="1:8" x14ac:dyDescent="0.2">
      <c r="A1569" s="20">
        <f>'[1]MAY 2023'!A149</f>
        <v>45068</v>
      </c>
      <c r="B1569" s="12" t="str">
        <f>'[1]MAY 2023'!B149</f>
        <v>VM</v>
      </c>
      <c r="C1569" s="3">
        <f>'[1]MAY 2023'!C149</f>
        <v>0</v>
      </c>
      <c r="D1569" s="3">
        <f>'[1]MAY 2023'!D149</f>
        <v>56</v>
      </c>
      <c r="E1569" s="4">
        <f>'[1]MAY 2023'!E149</f>
        <v>0</v>
      </c>
      <c r="F1569" s="6">
        <f>'[1]MAY 2023'!F149</f>
        <v>0</v>
      </c>
      <c r="G1569" s="4"/>
      <c r="H1569" s="4"/>
    </row>
    <row r="1570" spans="1:8" x14ac:dyDescent="0.2">
      <c r="A1570" s="23">
        <f>'[1]MAY 2023'!A150</f>
        <v>45068</v>
      </c>
      <c r="B1570" s="12" t="str">
        <f>'[1]MAY 2023'!B150</f>
        <v>LM</v>
      </c>
      <c r="C1570" s="3">
        <f>'[1]MAY 2023'!C150</f>
        <v>0</v>
      </c>
      <c r="D1570" s="3">
        <f>'[1]MAY 2023'!D150</f>
        <v>247.96</v>
      </c>
      <c r="E1570" s="4">
        <f>'[1]MAY 2023'!E150</f>
        <v>0</v>
      </c>
      <c r="F1570" s="6">
        <f>'[1]MAY 2023'!F150</f>
        <v>0</v>
      </c>
      <c r="G1570" s="4"/>
      <c r="H1570" s="4"/>
    </row>
    <row r="1571" spans="1:8" x14ac:dyDescent="0.2">
      <c r="A1571" s="23">
        <f>'[1]MAY 2023'!A156</f>
        <v>45069</v>
      </c>
      <c r="B1571" s="12" t="str">
        <f>'[1]MAY 2023'!B156</f>
        <v>LM</v>
      </c>
      <c r="C1571" s="3">
        <f>'[1]MAY 2023'!C156</f>
        <v>0</v>
      </c>
      <c r="D1571" s="3">
        <f>'[1]MAY 2023'!D156</f>
        <v>390</v>
      </c>
      <c r="E1571" s="4">
        <f>'[1]MAY 2023'!E156</f>
        <v>0</v>
      </c>
      <c r="F1571" s="6">
        <f>'[1]MAY 2023'!F156</f>
        <v>0</v>
      </c>
      <c r="G1571" s="4"/>
      <c r="H1571" s="4"/>
    </row>
    <row r="1572" spans="1:8" x14ac:dyDescent="0.2">
      <c r="A1572" s="20">
        <f>'[1]MAY 2023'!A157</f>
        <v>45069</v>
      </c>
      <c r="B1572" s="12" t="str">
        <f>'[1]MAY 2023'!B157</f>
        <v>VM</v>
      </c>
      <c r="C1572" s="3">
        <f>'[1]MAY 2023'!C157</f>
        <v>0</v>
      </c>
      <c r="D1572" s="3">
        <f>'[1]MAY 2023'!D157</f>
        <v>0</v>
      </c>
      <c r="E1572" s="4">
        <f>'[1]MAY 2023'!E157</f>
        <v>0</v>
      </c>
      <c r="F1572" s="6">
        <f>'[1]MAY 2023'!F157</f>
        <v>20.97</v>
      </c>
      <c r="G1572" s="4"/>
      <c r="H1572" s="4"/>
    </row>
    <row r="1573" spans="1:8" x14ac:dyDescent="0.2">
      <c r="A1573" s="20">
        <f>'[1]MAY 2023'!A163</f>
        <v>45070</v>
      </c>
      <c r="B1573" s="12" t="str">
        <f>'[1]MAY 2023'!B163</f>
        <v>LM</v>
      </c>
      <c r="C1573" s="3">
        <f>'[1]MAY 2023'!C163</f>
        <v>0</v>
      </c>
      <c r="D1573" s="3">
        <f>'[1]MAY 2023'!D163</f>
        <v>1506.8000000000002</v>
      </c>
      <c r="E1573" s="4">
        <f>'[1]MAY 2023'!E163</f>
        <v>0</v>
      </c>
      <c r="F1573" s="6">
        <f>'[1]MAY 2023'!F163</f>
        <v>0</v>
      </c>
      <c r="G1573" s="4"/>
      <c r="H1573" s="4"/>
    </row>
    <row r="1574" spans="1:8" x14ac:dyDescent="0.2">
      <c r="A1574" s="23">
        <f>'[1]MAY 2023'!A164</f>
        <v>45070</v>
      </c>
      <c r="B1574" s="12" t="str">
        <f>'[1]MAY 2023'!B164</f>
        <v>Refill</v>
      </c>
      <c r="C1574" s="3">
        <f>'[1]MAY 2023'!C164</f>
        <v>35913</v>
      </c>
      <c r="D1574" s="3">
        <f>'[1]MAY 2023'!D164</f>
        <v>0</v>
      </c>
      <c r="E1574" s="4">
        <f>'[1]MAY 2023'!E164</f>
        <v>0</v>
      </c>
      <c r="F1574" s="6">
        <f>'[1]MAY 2023'!F164</f>
        <v>0</v>
      </c>
      <c r="G1574" s="4"/>
      <c r="H1574" s="4"/>
    </row>
    <row r="1575" spans="1:8" x14ac:dyDescent="0.2">
      <c r="A1575" s="20">
        <f>'[1]MAY 2023'!A165</f>
        <v>45070</v>
      </c>
      <c r="B1575" s="12" t="str">
        <f>'[1]MAY 2023'!B165</f>
        <v>VM</v>
      </c>
      <c r="C1575" s="3">
        <f>'[1]MAY 2023'!C165</f>
        <v>0</v>
      </c>
      <c r="D1575" s="3">
        <f>'[1]MAY 2023'!D165</f>
        <v>0</v>
      </c>
      <c r="E1575" s="4">
        <f>'[1]MAY 2023'!E165</f>
        <v>0</v>
      </c>
      <c r="F1575" s="6">
        <f>'[1]MAY 2023'!F165</f>
        <v>41.94</v>
      </c>
      <c r="G1575" s="4"/>
      <c r="H1575" s="4"/>
    </row>
    <row r="1576" spans="1:8" x14ac:dyDescent="0.2">
      <c r="A1576" s="23">
        <f>'[1]MAY 2023'!A170</f>
        <v>45071</v>
      </c>
      <c r="B1576" s="12" t="str">
        <f>'[1]MAY 2023'!B170</f>
        <v>LM</v>
      </c>
      <c r="C1576" s="3">
        <f>'[1]MAY 2023'!C170</f>
        <v>0</v>
      </c>
      <c r="D1576" s="3">
        <f>'[1]MAY 2023'!D170</f>
        <v>250</v>
      </c>
      <c r="E1576" s="4">
        <f>'[1]MAY 2023'!E170</f>
        <v>0</v>
      </c>
      <c r="F1576" s="6">
        <f>'[1]MAY 2023'!F170</f>
        <v>0</v>
      </c>
      <c r="G1576" s="4"/>
      <c r="H1576" s="4"/>
    </row>
    <row r="1577" spans="1:8" x14ac:dyDescent="0.2">
      <c r="A1577" s="20">
        <f>'[1]MAY 2023'!A171</f>
        <v>45071</v>
      </c>
      <c r="B1577" s="12" t="str">
        <f>'[1]MAY 2023'!B171</f>
        <v>LM</v>
      </c>
      <c r="C1577" s="3">
        <f>'[1]MAY 2023'!C171</f>
        <v>0</v>
      </c>
      <c r="D1577" s="3">
        <f>'[1]MAY 2023'!D171</f>
        <v>169</v>
      </c>
      <c r="E1577" s="4">
        <f>'[1]MAY 2023'!E171</f>
        <v>0</v>
      </c>
      <c r="F1577" s="6">
        <f>'[1]MAY 2023'!F171</f>
        <v>0</v>
      </c>
      <c r="G1577" s="4"/>
      <c r="H1577" s="4"/>
    </row>
    <row r="1578" spans="1:8" x14ac:dyDescent="0.2">
      <c r="A1578" s="23">
        <f>'[1]MAY 2023'!A172</f>
        <v>45071</v>
      </c>
      <c r="B1578" s="12" t="str">
        <f>'[1]MAY 2023'!B172</f>
        <v>VM</v>
      </c>
      <c r="C1578" s="3">
        <f>'[1]MAY 2023'!C172</f>
        <v>0</v>
      </c>
      <c r="D1578" s="3">
        <f>'[1]MAY 2023'!D172</f>
        <v>0</v>
      </c>
      <c r="E1578" s="4">
        <f>'[1]MAY 2023'!E172</f>
        <v>0</v>
      </c>
      <c r="F1578" s="6">
        <f>'[1]MAY 2023'!F172</f>
        <v>128.34</v>
      </c>
      <c r="G1578" s="4"/>
      <c r="H1578" s="4"/>
    </row>
    <row r="1579" spans="1:8" x14ac:dyDescent="0.2">
      <c r="A1579" s="20">
        <f>'[1]MAY 2023'!A177</f>
        <v>45072</v>
      </c>
      <c r="B1579" s="12" t="str">
        <f>'[1]MAY 2023'!B177</f>
        <v>Andere</v>
      </c>
      <c r="C1579" s="3">
        <f>'[1]MAY 2023'!C177</f>
        <v>0</v>
      </c>
      <c r="D1579" s="3">
        <f>'[1]MAY 2023'!D177</f>
        <v>352</v>
      </c>
      <c r="E1579" s="4">
        <f>'[1]MAY 2023'!E177</f>
        <v>0</v>
      </c>
      <c r="F1579" s="6">
        <f>'[1]MAY 2023'!F177</f>
        <v>0</v>
      </c>
      <c r="G1579" s="4"/>
      <c r="H1579" s="4"/>
    </row>
    <row r="1580" spans="1:8" x14ac:dyDescent="0.2">
      <c r="A1580" s="23">
        <f>'[1]MAY 2023'!A178</f>
        <v>45072</v>
      </c>
      <c r="B1580" s="12" t="str">
        <f>'[1]MAY 2023'!B178</f>
        <v>Kleidung</v>
      </c>
      <c r="C1580" s="3">
        <f>'[1]MAY 2023'!C178</f>
        <v>0</v>
      </c>
      <c r="D1580" s="3">
        <f>'[1]MAY 2023'!D178</f>
        <v>607</v>
      </c>
      <c r="E1580" s="4">
        <f>'[1]MAY 2023'!E178</f>
        <v>0</v>
      </c>
      <c r="F1580" s="6">
        <f>'[1]MAY 2023'!F178</f>
        <v>0</v>
      </c>
      <c r="G1580" s="4"/>
      <c r="H1580" s="4"/>
    </row>
    <row r="1581" spans="1:8" x14ac:dyDescent="0.2">
      <c r="A1581" s="20">
        <f>'[1]MAY 2023'!A179</f>
        <v>45072</v>
      </c>
      <c r="B1581" s="12" t="str">
        <f>'[1]MAY 2023'!B179</f>
        <v>LM</v>
      </c>
      <c r="C1581" s="3">
        <f>'[1]MAY 2023'!C179</f>
        <v>0</v>
      </c>
      <c r="D1581" s="3">
        <f>'[1]MAY 2023'!D179</f>
        <v>774.99</v>
      </c>
      <c r="E1581" s="4">
        <f>'[1]MAY 2023'!E179</f>
        <v>0</v>
      </c>
      <c r="F1581" s="6">
        <f>'[1]MAY 2023'!F179</f>
        <v>0</v>
      </c>
      <c r="G1581" s="4"/>
      <c r="H1581" s="4"/>
    </row>
    <row r="1582" spans="1:8" x14ac:dyDescent="0.2">
      <c r="A1582" s="23">
        <f>'[1]MAY 2023'!A180</f>
        <v>45072</v>
      </c>
      <c r="B1582" s="12" t="str">
        <f>'[1]MAY 2023'!B180</f>
        <v>VM</v>
      </c>
      <c r="C1582" s="3">
        <f>'[1]MAY 2023'!C180</f>
        <v>0</v>
      </c>
      <c r="D1582" s="3">
        <f>'[1]MAY 2023'!D180</f>
        <v>0</v>
      </c>
      <c r="E1582" s="4">
        <f>'[1]MAY 2023'!E180</f>
        <v>0</v>
      </c>
      <c r="F1582" s="6">
        <f>'[1]MAY 2023'!F180</f>
        <v>118.83</v>
      </c>
      <c r="G1582" s="4"/>
      <c r="H1582" s="4"/>
    </row>
    <row r="1583" spans="1:8" x14ac:dyDescent="0.2">
      <c r="A1583" s="20">
        <f>'[1]MAY 2023'!A191</f>
        <v>45074</v>
      </c>
      <c r="B1583" s="12" t="str">
        <f>'[1]MAY 2023'!B191</f>
        <v>Andere</v>
      </c>
      <c r="C1583" s="3">
        <f>'[1]MAY 2023'!C191</f>
        <v>0</v>
      </c>
      <c r="D1583" s="3">
        <f>'[1]MAY 2023'!D191</f>
        <v>2010</v>
      </c>
      <c r="E1583" s="4">
        <f>'[1]MAY 2023'!E191</f>
        <v>0</v>
      </c>
      <c r="F1583" s="6">
        <f>'[1]MAY 2023'!F191</f>
        <v>0</v>
      </c>
      <c r="G1583" s="4"/>
      <c r="H1583" s="4"/>
    </row>
    <row r="1584" spans="1:8" x14ac:dyDescent="0.2">
      <c r="A1584" s="23">
        <f>'[1]MAY 2023'!A192</f>
        <v>45074</v>
      </c>
      <c r="B1584" s="12" t="str">
        <f>'[1]MAY 2023'!B192</f>
        <v>LM</v>
      </c>
      <c r="C1584" s="3">
        <f>'[1]MAY 2023'!C192</f>
        <v>0</v>
      </c>
      <c r="D1584" s="3">
        <f>'[1]MAY 2023'!D192</f>
        <v>533</v>
      </c>
      <c r="E1584" s="4">
        <f>'[1]MAY 2023'!E192</f>
        <v>0</v>
      </c>
      <c r="F1584" s="6">
        <f>'[1]MAY 2023'!F192</f>
        <v>0</v>
      </c>
      <c r="G1584" s="4"/>
      <c r="H1584" s="4"/>
    </row>
    <row r="1585" spans="1:8" x14ac:dyDescent="0.2">
      <c r="A1585" s="23">
        <f>'[1]MAY 2023'!A198</f>
        <v>45075</v>
      </c>
      <c r="B1585" s="12" t="str">
        <f>'[1]MAY 2023'!B198</f>
        <v>LM</v>
      </c>
      <c r="C1585" s="3">
        <f>'[1]MAY 2023'!C198</f>
        <v>0</v>
      </c>
      <c r="D1585" s="3">
        <f>'[1]MAY 2023'!D198</f>
        <v>304.47000000000003</v>
      </c>
      <c r="E1585" s="4">
        <f>'[1]MAY 2023'!E198</f>
        <v>0</v>
      </c>
      <c r="F1585" s="6">
        <f>'[1]MAY 2023'!F198</f>
        <v>0</v>
      </c>
      <c r="G1585" s="4"/>
      <c r="H1585" s="4"/>
    </row>
    <row r="1586" spans="1:8" x14ac:dyDescent="0.2">
      <c r="A1586" s="20">
        <f>'[1]MAY 2023'!A199</f>
        <v>45075</v>
      </c>
      <c r="B1586" s="12" t="str">
        <f>'[1]MAY 2023'!B199</f>
        <v>VM</v>
      </c>
      <c r="C1586" s="3">
        <f>'[1]MAY 2023'!C199</f>
        <v>0</v>
      </c>
      <c r="D1586" s="3">
        <f>'[1]MAY 2023'!D199</f>
        <v>0</v>
      </c>
      <c r="E1586" s="4">
        <f>'[1]MAY 2023'!E199</f>
        <v>0</v>
      </c>
      <c r="F1586" s="6">
        <f>'[1]MAY 2023'!F199</f>
        <v>130.29</v>
      </c>
      <c r="G1586" s="4"/>
      <c r="H1586" s="4"/>
    </row>
    <row r="1587" spans="1:8" x14ac:dyDescent="0.2">
      <c r="A1587" s="20">
        <f>'[1]MAY 2023'!A201</f>
        <v>45075</v>
      </c>
      <c r="B1587" s="12" t="str">
        <f>'[1]MAY 2023'!B201</f>
        <v>for me</v>
      </c>
      <c r="C1587" s="3">
        <f>'[1]MAY 2023'!C201</f>
        <v>0</v>
      </c>
      <c r="D1587" s="3">
        <f>'[1]MAY 2023'!D201</f>
        <v>0</v>
      </c>
      <c r="E1587" s="4">
        <f>'[1]MAY 2023'!E201</f>
        <v>0</v>
      </c>
      <c r="F1587" s="6">
        <f>'[1]MAY 2023'!F201</f>
        <v>0</v>
      </c>
      <c r="G1587" s="4"/>
      <c r="H1587" s="4"/>
    </row>
    <row r="1588" spans="1:8" x14ac:dyDescent="0.2">
      <c r="A1588" s="20">
        <f>'[1]MAY 2023'!A205</f>
        <v>45076</v>
      </c>
      <c r="B1588" s="12" t="str">
        <f>'[1]MAY 2023'!B205</f>
        <v>Andere</v>
      </c>
      <c r="C1588" s="3">
        <f>'[1]MAY 2023'!C205</f>
        <v>0</v>
      </c>
      <c r="D1588" s="3">
        <f>'[1]MAY 2023'!D205</f>
        <v>307</v>
      </c>
      <c r="E1588" s="4">
        <f>'[1]MAY 2023'!E205</f>
        <v>0</v>
      </c>
      <c r="F1588" s="6">
        <f>'[1]MAY 2023'!F205</f>
        <v>0</v>
      </c>
      <c r="G1588" s="4"/>
      <c r="H1588" s="4"/>
    </row>
    <row r="1589" spans="1:8" x14ac:dyDescent="0.2">
      <c r="A1589" s="23">
        <f>'[1]MAY 2023'!A206</f>
        <v>45076</v>
      </c>
      <c r="B1589" s="12" t="str">
        <f>'[1]MAY 2023'!B206</f>
        <v>LM</v>
      </c>
      <c r="C1589" s="3">
        <f>'[1]MAY 2023'!C206</f>
        <v>0</v>
      </c>
      <c r="D1589" s="3">
        <f>'[1]MAY 2023'!D206</f>
        <v>1318</v>
      </c>
      <c r="E1589" s="4">
        <f>'[1]MAY 2023'!E206</f>
        <v>0</v>
      </c>
      <c r="F1589" s="6">
        <f>'[1]MAY 2023'!F206</f>
        <v>0</v>
      </c>
      <c r="G1589" s="4"/>
      <c r="H1589" s="4"/>
    </row>
    <row r="1590" spans="1:8" x14ac:dyDescent="0.2">
      <c r="A1590" s="20">
        <f>'[1]MAY 2023'!A207</f>
        <v>45076</v>
      </c>
      <c r="B1590" s="12" t="str">
        <f>'[1]MAY 2023'!B207</f>
        <v>VM</v>
      </c>
      <c r="C1590" s="3">
        <f>'[1]MAY 2023'!C207</f>
        <v>0</v>
      </c>
      <c r="D1590" s="3">
        <f>'[1]MAY 2023'!D207</f>
        <v>0</v>
      </c>
      <c r="E1590" s="4">
        <f>'[1]MAY 2023'!E207</f>
        <v>0</v>
      </c>
      <c r="F1590" s="6">
        <f>'[1]MAY 2023'!F207</f>
        <v>169.56</v>
      </c>
      <c r="G1590" s="4"/>
      <c r="H1590" s="4"/>
    </row>
    <row r="1591" spans="1:8" x14ac:dyDescent="0.2">
      <c r="A1591" s="23">
        <f>'[1]MAY 2023'!A212</f>
        <v>45077</v>
      </c>
      <c r="B1591" s="12" t="str">
        <f>'[1]MAY 2023'!B212</f>
        <v>LM</v>
      </c>
      <c r="C1591" s="3">
        <f>'[1]MAY 2023'!C212</f>
        <v>0</v>
      </c>
      <c r="D1591" s="3">
        <f>'[1]MAY 2023'!D212</f>
        <v>446.99</v>
      </c>
      <c r="E1591" s="4">
        <f>'[1]MAY 2023'!E212</f>
        <v>0</v>
      </c>
      <c r="F1591" s="6">
        <f>'[1]MAY 2023'!F212</f>
        <v>0</v>
      </c>
      <c r="G1591" s="4"/>
      <c r="H1591" s="4"/>
    </row>
    <row r="1592" spans="1:8" x14ac:dyDescent="0.2">
      <c r="A1592" s="20">
        <f>'[1]MAY 2023'!A213</f>
        <v>45077</v>
      </c>
      <c r="B1592" s="12" t="str">
        <f>'[1]MAY 2023'!B213</f>
        <v>Refill</v>
      </c>
      <c r="C1592" s="3">
        <f>'[1]MAY 2023'!C213</f>
        <v>2930.1400000000003</v>
      </c>
      <c r="D1592" s="3">
        <f>'[1]MAY 2023'!D213</f>
        <v>0</v>
      </c>
      <c r="E1592" s="4">
        <f>'[1]MAY 2023'!E213</f>
        <v>0</v>
      </c>
      <c r="F1592" s="6">
        <f>'[1]MAY 2023'!F213</f>
        <v>0</v>
      </c>
      <c r="G1592" s="4"/>
      <c r="H1592" s="4"/>
    </row>
    <row r="1593" spans="1:8" x14ac:dyDescent="0.2">
      <c r="A1593" s="23">
        <f>'[1]MAY 2023'!A214</f>
        <v>45077</v>
      </c>
      <c r="B1593" s="12" t="str">
        <f>'[1]MAY 2023'!B214</f>
        <v>VM</v>
      </c>
      <c r="C1593" s="3">
        <f>'[1]MAY 2023'!C214</f>
        <v>0</v>
      </c>
      <c r="D1593" s="3">
        <f>'[1]MAY 2023'!D214</f>
        <v>0</v>
      </c>
      <c r="E1593" s="4">
        <f>'[1]MAY 2023'!E214</f>
        <v>0</v>
      </c>
      <c r="F1593" s="6">
        <f>'[1]MAY 2023'!F214</f>
        <v>71.900000000000006</v>
      </c>
      <c r="G1593" s="4"/>
      <c r="H1593" s="4"/>
    </row>
    <row r="1594" spans="1:8" x14ac:dyDescent="0.2">
      <c r="A1594" s="20">
        <f>'[1]JUNE 2023'!A2</f>
        <v>45078</v>
      </c>
      <c r="B1594" s="12" t="str">
        <f>'[1]JUNE 2023'!B2</f>
        <v>Andere</v>
      </c>
      <c r="C1594" s="3">
        <f>'[1]JUNE 2023'!C2</f>
        <v>0</v>
      </c>
      <c r="D1594" s="3">
        <f>'[1]JUNE 2023'!D2</f>
        <v>600</v>
      </c>
      <c r="E1594" s="4">
        <f>'[1]JUNE 2023'!E2</f>
        <v>0</v>
      </c>
      <c r="F1594" s="6">
        <f>'[1]JUNE 2023'!F2</f>
        <v>0</v>
      </c>
      <c r="G1594" s="4"/>
      <c r="H1594" s="4"/>
    </row>
    <row r="1595" spans="1:8" x14ac:dyDescent="0.2">
      <c r="A1595" s="23">
        <f>'[1]JUNE 2023'!A3</f>
        <v>45078</v>
      </c>
      <c r="B1595" s="12" t="str">
        <f>'[1]JUNE 2023'!B3</f>
        <v>LM</v>
      </c>
      <c r="C1595" s="3">
        <f>'[1]JUNE 2023'!C3</f>
        <v>0</v>
      </c>
      <c r="D1595" s="3">
        <f>'[1]JUNE 2023'!D3</f>
        <v>490</v>
      </c>
      <c r="E1595" s="4">
        <f>'[1]JUNE 2023'!E3</f>
        <v>0</v>
      </c>
      <c r="F1595" s="6">
        <f>'[1]JUNE 2023'!F3</f>
        <v>0</v>
      </c>
      <c r="G1595" s="4"/>
      <c r="H1595" s="4"/>
    </row>
    <row r="1596" spans="1:8" x14ac:dyDescent="0.2">
      <c r="A1596" s="20">
        <f>'[1]JUNE 2023'!A4</f>
        <v>45078</v>
      </c>
      <c r="B1596" s="12" t="str">
        <f>'[1]JUNE 2023'!B4</f>
        <v>VM</v>
      </c>
      <c r="C1596" s="3">
        <f>'[1]JUNE 2023'!C4</f>
        <v>0</v>
      </c>
      <c r="D1596" s="3">
        <f>'[1]JUNE 2023'!D4</f>
        <v>0</v>
      </c>
      <c r="E1596" s="4">
        <f>'[1]JUNE 2023'!E4</f>
        <v>0</v>
      </c>
      <c r="F1596" s="6">
        <f>'[1]JUNE 2023'!F4</f>
        <v>111.35</v>
      </c>
      <c r="G1596" s="4"/>
      <c r="H1596" s="4"/>
    </row>
    <row r="1597" spans="1:8" x14ac:dyDescent="0.2">
      <c r="A1597" s="20">
        <f>'[1]JUNE 2023'!A6</f>
        <v>45078</v>
      </c>
      <c r="B1597" s="12" t="str">
        <f>'[1]JUNE 2023'!B6</f>
        <v>Party</v>
      </c>
      <c r="C1597" s="3">
        <f>'[1]JUNE 2023'!C6</f>
        <v>0</v>
      </c>
      <c r="D1597" s="3">
        <f>'[1]JUNE 2023'!D6</f>
        <v>0</v>
      </c>
      <c r="E1597" s="4">
        <f>'[1]JUNE 2023'!E6</f>
        <v>0</v>
      </c>
      <c r="F1597" s="6">
        <f>'[1]JUNE 2023'!F6</f>
        <v>0</v>
      </c>
      <c r="G1597" s="4"/>
      <c r="H1597" s="4"/>
    </row>
    <row r="1598" spans="1:8" x14ac:dyDescent="0.2">
      <c r="A1598" s="23">
        <f>'[1]JUNE 2023'!A7</f>
        <v>45078</v>
      </c>
      <c r="B1598" s="12" t="str">
        <f>'[1]JUNE 2023'!B7</f>
        <v>Kleidung</v>
      </c>
      <c r="C1598" s="3">
        <f>'[1]JUNE 2023'!C7</f>
        <v>0</v>
      </c>
      <c r="D1598" s="3">
        <f>'[1]JUNE 2023'!D7</f>
        <v>0</v>
      </c>
      <c r="E1598" s="4">
        <f>'[1]JUNE 2023'!E7</f>
        <v>0</v>
      </c>
      <c r="F1598" s="6">
        <f>'[1]JUNE 2023'!F7</f>
        <v>0</v>
      </c>
      <c r="G1598" s="4"/>
      <c r="H1598" s="4"/>
    </row>
    <row r="1599" spans="1:8" x14ac:dyDescent="0.2">
      <c r="A1599" s="20">
        <f>'[1]JUNE 2023'!A8</f>
        <v>45078</v>
      </c>
      <c r="B1599" s="12" t="str">
        <f>'[1]JUNE 2023'!B8</f>
        <v>for me</v>
      </c>
      <c r="C1599" s="3">
        <f>'[1]JUNE 2023'!C8</f>
        <v>0</v>
      </c>
      <c r="D1599" s="3">
        <f>'[1]JUNE 2023'!D8</f>
        <v>0</v>
      </c>
      <c r="E1599" s="4">
        <f>'[1]JUNE 2023'!E8</f>
        <v>0</v>
      </c>
      <c r="F1599" s="6">
        <f>'[1]JUNE 2023'!F8</f>
        <v>0</v>
      </c>
      <c r="G1599" s="4"/>
      <c r="H1599" s="4"/>
    </row>
    <row r="1600" spans="1:8" x14ac:dyDescent="0.2">
      <c r="A1600" s="23">
        <f>'[1]JUNE 2023'!A9</f>
        <v>45079</v>
      </c>
      <c r="B1600" s="12" t="str">
        <f>'[1]JUNE 2023'!B9</f>
        <v>rent</v>
      </c>
      <c r="C1600" s="3">
        <f>'[1]JUNE 2023'!C9</f>
        <v>0</v>
      </c>
      <c r="D1600" s="3">
        <f>'[1]JUNE 2023'!D9</f>
        <v>55000</v>
      </c>
      <c r="E1600" s="4">
        <f>'[1]JUNE 2023'!E9</f>
        <v>0</v>
      </c>
      <c r="F1600" s="6">
        <f>'[1]JUNE 2023'!F9</f>
        <v>0</v>
      </c>
      <c r="G1600" s="4"/>
      <c r="H1600" s="4"/>
    </row>
    <row r="1601" spans="1:8" x14ac:dyDescent="0.2">
      <c r="A1601" s="20">
        <f>'[1]JUNE 2023'!A10</f>
        <v>45079</v>
      </c>
      <c r="B1601" s="12" t="str">
        <f>'[1]JUNE 2023'!B10</f>
        <v>LM</v>
      </c>
      <c r="C1601" s="3">
        <f>'[1]JUNE 2023'!C10</f>
        <v>0</v>
      </c>
      <c r="D1601" s="3">
        <f>'[1]JUNE 2023'!D10</f>
        <v>834.65</v>
      </c>
      <c r="E1601" s="4">
        <f>'[1]JUNE 2023'!E10</f>
        <v>0</v>
      </c>
      <c r="F1601" s="6">
        <f>'[1]JUNE 2023'!F10</f>
        <v>0</v>
      </c>
      <c r="G1601" s="4"/>
      <c r="H1601" s="4"/>
    </row>
    <row r="1602" spans="1:8" x14ac:dyDescent="0.2">
      <c r="A1602" s="23">
        <f>'[1]JUNE 2023'!A11</f>
        <v>45079</v>
      </c>
      <c r="B1602" s="12" t="str">
        <f>'[1]JUNE 2023'!B11</f>
        <v>Andere</v>
      </c>
      <c r="C1602" s="3">
        <f>'[1]JUNE 2023'!C11</f>
        <v>0</v>
      </c>
      <c r="D1602" s="3">
        <f>'[1]JUNE 2023'!D11</f>
        <v>204</v>
      </c>
      <c r="E1602" s="4">
        <f>'[1]JUNE 2023'!E11</f>
        <v>0</v>
      </c>
      <c r="F1602" s="6">
        <f>'[1]JUNE 2023'!F11</f>
        <v>0</v>
      </c>
      <c r="G1602" s="4"/>
      <c r="H1602" s="4"/>
    </row>
    <row r="1603" spans="1:8" x14ac:dyDescent="0.2">
      <c r="A1603" s="20">
        <f>'[1]JUNE 2023'!A12</f>
        <v>45079</v>
      </c>
      <c r="B1603" s="12" t="str">
        <f>'[1]JUNE 2023'!B12</f>
        <v>Rauchen</v>
      </c>
      <c r="C1603" s="3">
        <f>'[1]JUNE 2023'!C12</f>
        <v>0</v>
      </c>
      <c r="D1603" s="3">
        <f>'[1]JUNE 2023'!D12</f>
        <v>140</v>
      </c>
      <c r="E1603" s="4">
        <f>'[1]JUNE 2023'!E12</f>
        <v>0</v>
      </c>
      <c r="F1603" s="6">
        <f>'[1]JUNE 2023'!F12</f>
        <v>0</v>
      </c>
      <c r="G1603" s="4"/>
      <c r="H1603" s="4"/>
    </row>
    <row r="1604" spans="1:8" x14ac:dyDescent="0.2">
      <c r="A1604" s="20">
        <f>'[1]JUNE 2023'!A16</f>
        <v>45080</v>
      </c>
      <c r="B1604" s="12" t="str">
        <f>'[1]JUNE 2023'!B16</f>
        <v>Andere</v>
      </c>
      <c r="C1604" s="3">
        <f>'[1]JUNE 2023'!C16</f>
        <v>0</v>
      </c>
      <c r="D1604" s="3">
        <f>'[1]JUNE 2023'!D16</f>
        <v>26438</v>
      </c>
      <c r="E1604" s="4">
        <f>'[1]JUNE 2023'!E16</f>
        <v>0</v>
      </c>
      <c r="F1604" s="6">
        <f>'[1]JUNE 2023'!F16</f>
        <v>0</v>
      </c>
      <c r="G1604" s="4"/>
      <c r="H1604" s="4"/>
    </row>
    <row r="1605" spans="1:8" x14ac:dyDescent="0.2">
      <c r="A1605" s="23">
        <f>'[1]JUNE 2023'!A17</f>
        <v>45080</v>
      </c>
      <c r="B1605" s="12" t="str">
        <f>'[1]JUNE 2023'!B17</f>
        <v>VM</v>
      </c>
      <c r="C1605" s="3">
        <f>'[1]JUNE 2023'!C17</f>
        <v>0</v>
      </c>
      <c r="D1605" s="3">
        <f>'[1]JUNE 2023'!D17</f>
        <v>0</v>
      </c>
      <c r="E1605" s="4">
        <f>'[1]JUNE 2023'!E17</f>
        <v>0</v>
      </c>
      <c r="F1605" s="6">
        <f>'[1]JUNE 2023'!F17</f>
        <v>65.36</v>
      </c>
      <c r="G1605" s="4"/>
      <c r="H1605" s="4"/>
    </row>
    <row r="1606" spans="1:8" x14ac:dyDescent="0.2">
      <c r="A1606" s="23">
        <f>'[1]JUNE 2023'!A23</f>
        <v>45081</v>
      </c>
      <c r="B1606" s="12" t="str">
        <f>'[1]JUNE 2023'!B23</f>
        <v>LM</v>
      </c>
      <c r="C1606" s="3">
        <f>'[1]JUNE 2023'!C23</f>
        <v>0</v>
      </c>
      <c r="D1606" s="3">
        <f>'[1]JUNE 2023'!D23</f>
        <v>2921.4</v>
      </c>
      <c r="E1606" s="4">
        <f>'[1]JUNE 2023'!E23</f>
        <v>0</v>
      </c>
      <c r="F1606" s="6">
        <f>'[1]JUNE 2023'!F23</f>
        <v>0</v>
      </c>
      <c r="G1606" s="4"/>
      <c r="H1606" s="4"/>
    </row>
    <row r="1607" spans="1:8" x14ac:dyDescent="0.2">
      <c r="A1607" s="20">
        <f>'[1]JUNE 2023'!A24</f>
        <v>45081</v>
      </c>
      <c r="B1607" s="12" t="str">
        <f>'[1]JUNE 2023'!B24</f>
        <v>Andere</v>
      </c>
      <c r="C1607" s="3">
        <f>'[1]JUNE 2023'!C24</f>
        <v>0</v>
      </c>
      <c r="D1607" s="3">
        <f>'[1]JUNE 2023'!D24</f>
        <v>1290</v>
      </c>
      <c r="E1607" s="4">
        <f>'[1]JUNE 2023'!E24</f>
        <v>0</v>
      </c>
      <c r="F1607" s="6">
        <f>'[1]JUNE 2023'!F24</f>
        <v>0</v>
      </c>
      <c r="G1607" s="4"/>
      <c r="H1607" s="4"/>
    </row>
    <row r="1608" spans="1:8" x14ac:dyDescent="0.2">
      <c r="A1608" s="23">
        <f>'[1]JUNE 2023'!A25</f>
        <v>45081</v>
      </c>
      <c r="B1608" s="12" t="str">
        <f>'[1]JUNE 2023'!B25</f>
        <v>Party</v>
      </c>
      <c r="C1608" s="3">
        <f>'[1]JUNE 2023'!C25</f>
        <v>0</v>
      </c>
      <c r="D1608" s="3">
        <f>'[1]JUNE 2023'!D25</f>
        <v>270</v>
      </c>
      <c r="E1608" s="4">
        <f>'[1]JUNE 2023'!E25</f>
        <v>0</v>
      </c>
      <c r="F1608" s="6">
        <f>'[1]JUNE 2023'!F25</f>
        <v>0</v>
      </c>
      <c r="G1608" s="4"/>
      <c r="H1608" s="4"/>
    </row>
    <row r="1609" spans="1:8" x14ac:dyDescent="0.2">
      <c r="A1609" s="20">
        <f>'[1]JUNE 2023'!A26</f>
        <v>45081</v>
      </c>
      <c r="B1609" s="12" t="str">
        <f>'[1]JUNE 2023'!B26</f>
        <v>VM</v>
      </c>
      <c r="C1609" s="3">
        <f>'[1]JUNE 2023'!C26</f>
        <v>0</v>
      </c>
      <c r="D1609" s="3">
        <f>'[1]JUNE 2023'!D26</f>
        <v>0</v>
      </c>
      <c r="E1609" s="4">
        <f>'[1]JUNE 2023'!E26</f>
        <v>0</v>
      </c>
      <c r="F1609" s="6">
        <f>'[1]JUNE 2023'!F26</f>
        <v>15.18</v>
      </c>
      <c r="G1609" s="4"/>
      <c r="H1609" s="4"/>
    </row>
    <row r="1610" spans="1:8" x14ac:dyDescent="0.2">
      <c r="A1610" s="20">
        <f>'[1]JUNE 2023'!A30</f>
        <v>45082</v>
      </c>
      <c r="B1610" s="12" t="str">
        <f>'[1]JUNE 2023'!B30</f>
        <v>Rauchen</v>
      </c>
      <c r="C1610" s="3">
        <f>'[1]JUNE 2023'!C30</f>
        <v>0</v>
      </c>
      <c r="D1610" s="3">
        <f>'[1]JUNE 2023'!D30</f>
        <v>140</v>
      </c>
      <c r="E1610" s="4">
        <f>'[1]JUNE 2023'!E30</f>
        <v>0</v>
      </c>
      <c r="F1610" s="6">
        <f>'[1]JUNE 2023'!F30</f>
        <v>0</v>
      </c>
      <c r="G1610" s="4"/>
      <c r="H1610" s="4"/>
    </row>
    <row r="1611" spans="1:8" x14ac:dyDescent="0.2">
      <c r="A1611" s="23">
        <f>'[1]JUNE 2023'!A31</f>
        <v>45082</v>
      </c>
      <c r="B1611" s="12" t="str">
        <f>'[1]JUNE 2023'!B31</f>
        <v>VM</v>
      </c>
      <c r="C1611" s="3">
        <f>'[1]JUNE 2023'!C31</f>
        <v>0</v>
      </c>
      <c r="D1611" s="3">
        <f>'[1]JUNE 2023'!D31</f>
        <v>0</v>
      </c>
      <c r="E1611" s="4">
        <f>'[1]JUNE 2023'!E31</f>
        <v>0</v>
      </c>
      <c r="F1611" s="6">
        <f>'[1]JUNE 2023'!F31</f>
        <v>14.38</v>
      </c>
      <c r="G1611" s="4"/>
      <c r="H1611" s="4"/>
    </row>
    <row r="1612" spans="1:8" x14ac:dyDescent="0.2">
      <c r="A1612" s="23">
        <f>'[1]JUNE 2023'!A37</f>
        <v>45083</v>
      </c>
      <c r="B1612" s="12" t="str">
        <f>'[1]JUNE 2023'!B37</f>
        <v>Party</v>
      </c>
      <c r="C1612" s="3">
        <f>'[1]JUNE 2023'!C37</f>
        <v>0</v>
      </c>
      <c r="D1612" s="3">
        <f>'[1]JUNE 2023'!D37</f>
        <v>900</v>
      </c>
      <c r="E1612" s="4">
        <f>'[1]JUNE 2023'!E37</f>
        <v>0</v>
      </c>
      <c r="F1612" s="6">
        <f>'[1]JUNE 2023'!F37</f>
        <v>0</v>
      </c>
      <c r="G1612" s="4"/>
      <c r="H1612" s="4"/>
    </row>
    <row r="1613" spans="1:8" x14ac:dyDescent="0.2">
      <c r="A1613" s="20">
        <f>'[1]JUNE 2023'!A38</f>
        <v>45083</v>
      </c>
      <c r="B1613" s="12" t="str">
        <f>'[1]JUNE 2023'!B38</f>
        <v>Andere</v>
      </c>
      <c r="C1613" s="3">
        <f>'[1]JUNE 2023'!C38</f>
        <v>0</v>
      </c>
      <c r="D1613" s="3">
        <f>'[1]JUNE 2023'!D38</f>
        <v>1000</v>
      </c>
      <c r="E1613" s="4">
        <f>'[1]JUNE 2023'!E38</f>
        <v>0</v>
      </c>
      <c r="F1613" s="6">
        <f>'[1]JUNE 2023'!F38</f>
        <v>0</v>
      </c>
      <c r="G1613" s="4"/>
      <c r="H1613" s="4"/>
    </row>
    <row r="1614" spans="1:8" x14ac:dyDescent="0.2">
      <c r="A1614" s="23">
        <f>'[1]JUNE 2023'!A39</f>
        <v>45083</v>
      </c>
      <c r="B1614" s="12" t="str">
        <f>'[1]JUNE 2023'!B39</f>
        <v>Andere</v>
      </c>
      <c r="C1614" s="3">
        <f>'[1]JUNE 2023'!C39</f>
        <v>0</v>
      </c>
      <c r="D1614" s="3">
        <f>'[1]JUNE 2023'!D39</f>
        <v>13000</v>
      </c>
      <c r="E1614" s="4">
        <f>'[1]JUNE 2023'!E39</f>
        <v>0</v>
      </c>
      <c r="F1614" s="6">
        <f>'[1]JUNE 2023'!F39</f>
        <v>0</v>
      </c>
      <c r="G1614" s="4"/>
      <c r="H1614" s="4"/>
    </row>
    <row r="1615" spans="1:8" x14ac:dyDescent="0.2">
      <c r="A1615" s="20">
        <f>'[1]JUNE 2023'!A40</f>
        <v>45083</v>
      </c>
      <c r="B1615" s="12" t="str">
        <f>'[1]JUNE 2023'!B40</f>
        <v>LM</v>
      </c>
      <c r="C1615" s="3">
        <f>'[1]JUNE 2023'!C40</f>
        <v>0</v>
      </c>
      <c r="D1615" s="3">
        <f>'[1]JUNE 2023'!D40</f>
        <v>359.21</v>
      </c>
      <c r="E1615" s="4">
        <f>'[1]JUNE 2023'!E40</f>
        <v>0</v>
      </c>
      <c r="F1615" s="6">
        <f>'[1]JUNE 2023'!F40</f>
        <v>0</v>
      </c>
      <c r="G1615" s="4"/>
      <c r="H1615" s="4"/>
    </row>
    <row r="1616" spans="1:8" x14ac:dyDescent="0.2">
      <c r="A1616" s="20">
        <f>'[1]JUNE 2023'!A44</f>
        <v>45084</v>
      </c>
      <c r="B1616" s="12" t="str">
        <f>'[1]JUNE 2023'!B44</f>
        <v>VM</v>
      </c>
      <c r="C1616" s="3">
        <f>'[1]JUNE 2023'!C44</f>
        <v>0</v>
      </c>
      <c r="D1616" s="3">
        <f>'[1]JUNE 2023'!D44</f>
        <v>470</v>
      </c>
      <c r="E1616" s="4">
        <f>'[1]JUNE 2023'!E44</f>
        <v>0</v>
      </c>
      <c r="F1616" s="6">
        <f>'[1]JUNE 2023'!F44</f>
        <v>112.77</v>
      </c>
      <c r="G1616" s="4"/>
      <c r="H1616" s="4"/>
    </row>
    <row r="1617" spans="1:8" x14ac:dyDescent="0.2">
      <c r="A1617" s="23">
        <f>'[1]JUNE 2023'!A45</f>
        <v>45084</v>
      </c>
      <c r="B1617" s="12" t="str">
        <f>'[1]JUNE 2023'!B45</f>
        <v>Rauchen</v>
      </c>
      <c r="C1617" s="3">
        <f>'[1]JUNE 2023'!C45</f>
        <v>0</v>
      </c>
      <c r="D1617" s="3">
        <f>'[1]JUNE 2023'!D45</f>
        <v>140</v>
      </c>
      <c r="E1617" s="4">
        <f>'[1]JUNE 2023'!E45</f>
        <v>0</v>
      </c>
      <c r="F1617" s="6">
        <f>'[1]JUNE 2023'!F45</f>
        <v>0</v>
      </c>
      <c r="G1617" s="4"/>
      <c r="H1617" s="4"/>
    </row>
    <row r="1618" spans="1:8" x14ac:dyDescent="0.2">
      <c r="A1618" s="20">
        <f>'[1]JUNE 2023'!A46</f>
        <v>45084</v>
      </c>
      <c r="B1618" s="12" t="str">
        <f>'[1]JUNE 2023'!B46</f>
        <v>LM</v>
      </c>
      <c r="C1618" s="3">
        <f>'[1]JUNE 2023'!C46</f>
        <v>0</v>
      </c>
      <c r="D1618" s="3">
        <f>'[1]JUNE 2023'!D46</f>
        <v>616.98</v>
      </c>
      <c r="E1618" s="4">
        <f>'[1]JUNE 2023'!E46</f>
        <v>0</v>
      </c>
      <c r="F1618" s="6">
        <f>'[1]JUNE 2023'!F46</f>
        <v>0</v>
      </c>
      <c r="G1618" s="4"/>
      <c r="H1618" s="4"/>
    </row>
    <row r="1619" spans="1:8" x14ac:dyDescent="0.2">
      <c r="A1619" s="23">
        <f>'[1]JUNE 2023'!A51</f>
        <v>45085</v>
      </c>
      <c r="B1619" s="12" t="str">
        <f>'[1]JUNE 2023'!B51</f>
        <v>LM</v>
      </c>
      <c r="C1619" s="3">
        <f>'[1]JUNE 2023'!C51</f>
        <v>0</v>
      </c>
      <c r="D1619" s="3">
        <f>'[1]JUNE 2023'!D51</f>
        <v>522.96</v>
      </c>
      <c r="E1619" s="4">
        <f>'[1]JUNE 2023'!E51</f>
        <v>0</v>
      </c>
      <c r="F1619" s="6">
        <f>'[1]JUNE 2023'!F51</f>
        <v>0</v>
      </c>
      <c r="G1619" s="4"/>
      <c r="H1619" s="4"/>
    </row>
    <row r="1620" spans="1:8" x14ac:dyDescent="0.2">
      <c r="A1620" s="20">
        <f>'[1]JUNE 2023'!A58</f>
        <v>45086</v>
      </c>
      <c r="B1620" s="12" t="str">
        <f>'[1]JUNE 2023'!B58</f>
        <v>Refill</v>
      </c>
      <c r="C1620" s="3">
        <f>'[1]JUNE 2023'!C58</f>
        <v>68095.899999999994</v>
      </c>
      <c r="D1620" s="3">
        <f>'[1]JUNE 2023'!D58</f>
        <v>0</v>
      </c>
      <c r="E1620" s="4">
        <f>'[1]JUNE 2023'!E58</f>
        <v>0</v>
      </c>
      <c r="F1620" s="6">
        <f>'[1]JUNE 2023'!F58</f>
        <v>0</v>
      </c>
      <c r="G1620" s="4"/>
      <c r="H1620" s="4"/>
    </row>
    <row r="1621" spans="1:8" x14ac:dyDescent="0.2">
      <c r="A1621" s="23">
        <f>'[1]JUNE 2023'!A59</f>
        <v>45086</v>
      </c>
      <c r="B1621" s="12" t="str">
        <f>'[1]JUNE 2023'!B59</f>
        <v>LM</v>
      </c>
      <c r="C1621" s="3">
        <f>'[1]JUNE 2023'!C59</f>
        <v>0</v>
      </c>
      <c r="D1621" s="3">
        <f>'[1]JUNE 2023'!D59</f>
        <v>484.9</v>
      </c>
      <c r="E1621" s="4">
        <f>'[1]JUNE 2023'!E59</f>
        <v>0</v>
      </c>
      <c r="F1621" s="6">
        <f>'[1]JUNE 2023'!F59</f>
        <v>0</v>
      </c>
      <c r="G1621" s="4"/>
      <c r="H1621" s="4"/>
    </row>
    <row r="1622" spans="1:8" x14ac:dyDescent="0.2">
      <c r="A1622" s="20">
        <f>'[1]JUNE 2023'!A60</f>
        <v>45086</v>
      </c>
      <c r="B1622" s="12" t="str">
        <f>'[1]JUNE 2023'!B60</f>
        <v>VM</v>
      </c>
      <c r="C1622" s="3">
        <f>'[1]JUNE 2023'!C60</f>
        <v>0</v>
      </c>
      <c r="D1622" s="3">
        <f>'[1]JUNE 2023'!D60</f>
        <v>0</v>
      </c>
      <c r="E1622" s="4">
        <f>'[1]JUNE 2023'!E60</f>
        <v>0</v>
      </c>
      <c r="F1622" s="6">
        <f>'[1]JUNE 2023'!F60</f>
        <v>64.709999999999994</v>
      </c>
      <c r="G1622" s="4"/>
      <c r="H1622" s="4"/>
    </row>
    <row r="1623" spans="1:8" x14ac:dyDescent="0.2">
      <c r="A1623" s="23">
        <f>'[1]JUNE 2023'!A65</f>
        <v>45087</v>
      </c>
      <c r="B1623" s="12" t="str">
        <f>'[1]JUNE 2023'!B65</f>
        <v>LM</v>
      </c>
      <c r="C1623" s="3">
        <f>'[1]JUNE 2023'!C65</f>
        <v>0</v>
      </c>
      <c r="D1623" s="3">
        <f>'[1]JUNE 2023'!D65</f>
        <v>720.73</v>
      </c>
      <c r="E1623" s="4">
        <f>'[1]JUNE 2023'!E65</f>
        <v>0</v>
      </c>
      <c r="F1623" s="6">
        <f>'[1]JUNE 2023'!F65</f>
        <v>0</v>
      </c>
      <c r="G1623" s="4"/>
      <c r="H1623" s="4"/>
    </row>
    <row r="1624" spans="1:8" x14ac:dyDescent="0.2">
      <c r="A1624" s="20">
        <f>'[1]JUNE 2023'!A66</f>
        <v>45087</v>
      </c>
      <c r="B1624" s="12" t="str">
        <f>'[1]JUNE 2023'!B66</f>
        <v>VM</v>
      </c>
      <c r="C1624" s="3">
        <f>'[1]JUNE 2023'!C66</f>
        <v>0</v>
      </c>
      <c r="D1624" s="3">
        <f>'[1]JUNE 2023'!D66</f>
        <v>0</v>
      </c>
      <c r="E1624" s="4">
        <f>'[1]JUNE 2023'!E66</f>
        <v>0</v>
      </c>
      <c r="F1624" s="6">
        <f>'[1]JUNE 2023'!F66</f>
        <v>22.77</v>
      </c>
      <c r="G1624" s="4"/>
      <c r="H1624" s="4"/>
    </row>
    <row r="1625" spans="1:8" x14ac:dyDescent="0.2">
      <c r="A1625" s="20">
        <f>'[1]JUNE 2023'!A72</f>
        <v>45088</v>
      </c>
      <c r="B1625" s="12" t="str">
        <f>'[1]JUNE 2023'!B72</f>
        <v>Andere</v>
      </c>
      <c r="C1625" s="3">
        <f>'[1]JUNE 2023'!C72</f>
        <v>0</v>
      </c>
      <c r="D1625" s="3">
        <f>'[1]JUNE 2023'!D72</f>
        <v>770</v>
      </c>
      <c r="E1625" s="4">
        <f>'[1]JUNE 2023'!E72</f>
        <v>0</v>
      </c>
      <c r="F1625" s="6">
        <f>'[1]JUNE 2023'!F72</f>
        <v>0</v>
      </c>
      <c r="G1625" s="4"/>
      <c r="H1625" s="4"/>
    </row>
    <row r="1626" spans="1:8" x14ac:dyDescent="0.2">
      <c r="A1626" s="23">
        <f>'[1]JUNE 2023'!A73</f>
        <v>45088</v>
      </c>
      <c r="B1626" s="12" t="str">
        <f>'[1]JUNE 2023'!B73</f>
        <v>LM</v>
      </c>
      <c r="C1626" s="3">
        <f>'[1]JUNE 2023'!C73</f>
        <v>0</v>
      </c>
      <c r="D1626" s="3">
        <f>'[1]JUNE 2023'!D73</f>
        <v>575</v>
      </c>
      <c r="E1626" s="4">
        <f>'[1]JUNE 2023'!E73</f>
        <v>0</v>
      </c>
      <c r="F1626" s="6">
        <f>'[1]JUNE 2023'!F73</f>
        <v>0</v>
      </c>
      <c r="G1626" s="4"/>
      <c r="H1626" s="4"/>
    </row>
    <row r="1627" spans="1:8" x14ac:dyDescent="0.2">
      <c r="A1627" s="23">
        <f>'[1]JUNE 2023'!A79</f>
        <v>45089</v>
      </c>
      <c r="B1627" s="12" t="str">
        <f>'[1]JUNE 2023'!B79</f>
        <v>Rauchen</v>
      </c>
      <c r="C1627" s="3">
        <f>'[1]JUNE 2023'!C79</f>
        <v>0</v>
      </c>
      <c r="D1627" s="3">
        <f>'[1]JUNE 2023'!D79</f>
        <v>150</v>
      </c>
      <c r="E1627" s="4">
        <f>'[1]JUNE 2023'!E79</f>
        <v>0</v>
      </c>
      <c r="F1627" s="6">
        <f>'[1]JUNE 2023'!F79</f>
        <v>0</v>
      </c>
      <c r="G1627" s="4"/>
      <c r="H1627" s="4"/>
    </row>
    <row r="1628" spans="1:8" x14ac:dyDescent="0.2">
      <c r="A1628" s="20">
        <f>'[1]JUNE 2023'!A80</f>
        <v>45089</v>
      </c>
      <c r="B1628" s="12" t="str">
        <f>'[1]JUNE 2023'!B80</f>
        <v>LM</v>
      </c>
      <c r="C1628" s="3">
        <f>'[1]JUNE 2023'!C80</f>
        <v>0</v>
      </c>
      <c r="D1628" s="3">
        <f>'[1]JUNE 2023'!D80</f>
        <v>1149.99</v>
      </c>
      <c r="E1628" s="4">
        <f>'[1]JUNE 2023'!E80</f>
        <v>0</v>
      </c>
      <c r="F1628" s="6">
        <f>'[1]JUNE 2023'!F80</f>
        <v>0</v>
      </c>
      <c r="G1628" s="4"/>
      <c r="H1628" s="4"/>
    </row>
    <row r="1629" spans="1:8" x14ac:dyDescent="0.2">
      <c r="A1629" s="23">
        <f>'[1]JUNE 2023'!A81</f>
        <v>45089</v>
      </c>
      <c r="B1629" s="12" t="str">
        <f>'[1]JUNE 2023'!B81</f>
        <v>VM</v>
      </c>
      <c r="C1629" s="3">
        <f>'[1]JUNE 2023'!C81</f>
        <v>0</v>
      </c>
      <c r="D1629" s="3">
        <f>'[1]JUNE 2023'!D81</f>
        <v>0</v>
      </c>
      <c r="E1629" s="4">
        <f>'[1]JUNE 2023'!E81</f>
        <v>0</v>
      </c>
      <c r="F1629" s="6">
        <f>'[1]JUNE 2023'!F81</f>
        <v>22.77</v>
      </c>
      <c r="G1629" s="4"/>
      <c r="H1629" s="4"/>
    </row>
    <row r="1630" spans="1:8" x14ac:dyDescent="0.2">
      <c r="A1630" s="20">
        <f>'[1]JUNE 2023'!A86</f>
        <v>45090</v>
      </c>
      <c r="B1630" s="12" t="str">
        <f>'[1]JUNE 2023'!B86</f>
        <v>VM</v>
      </c>
      <c r="C1630" s="3">
        <f>'[1]JUNE 2023'!C86</f>
        <v>0</v>
      </c>
      <c r="D1630" s="3">
        <f>'[1]JUNE 2023'!D86</f>
        <v>0</v>
      </c>
      <c r="E1630" s="4">
        <f>'[1]JUNE 2023'!E86</f>
        <v>0</v>
      </c>
      <c r="F1630" s="6">
        <f>'[1]JUNE 2023'!F86</f>
        <v>79.09</v>
      </c>
      <c r="G1630" s="4"/>
      <c r="H1630" s="4"/>
    </row>
    <row r="1631" spans="1:8" x14ac:dyDescent="0.2">
      <c r="A1631" s="20">
        <f>'[1]JUNE 2023'!A100</f>
        <v>45092</v>
      </c>
      <c r="B1631" s="12" t="str">
        <f>'[1]JUNE 2023'!B100</f>
        <v>LM</v>
      </c>
      <c r="C1631" s="3">
        <f>'[1]JUNE 2023'!C100</f>
        <v>0</v>
      </c>
      <c r="D1631" s="3">
        <f>'[1]JUNE 2023'!D100</f>
        <v>350</v>
      </c>
      <c r="E1631" s="4">
        <f>'[1]JUNE 2023'!E100</f>
        <v>0</v>
      </c>
      <c r="F1631" s="6">
        <f>'[1]JUNE 2023'!F100</f>
        <v>0</v>
      </c>
      <c r="G1631" s="4"/>
      <c r="H1631" s="4"/>
    </row>
    <row r="1632" spans="1:8" x14ac:dyDescent="0.2">
      <c r="A1632" s="23">
        <f>'[1]JUNE 2023'!A101</f>
        <v>45092</v>
      </c>
      <c r="B1632" s="12" t="str">
        <f>'[1]JUNE 2023'!B101</f>
        <v>Rauchen</v>
      </c>
      <c r="C1632" s="3">
        <f>'[1]JUNE 2023'!C101</f>
        <v>0</v>
      </c>
      <c r="D1632" s="3">
        <f>'[1]JUNE 2023'!D101</f>
        <v>145</v>
      </c>
      <c r="E1632" s="4">
        <f>'[1]JUNE 2023'!E101</f>
        <v>0</v>
      </c>
      <c r="F1632" s="6">
        <f>'[1]JUNE 2023'!F101</f>
        <v>0</v>
      </c>
      <c r="G1632" s="4"/>
      <c r="H1632" s="4"/>
    </row>
    <row r="1633" spans="1:8" x14ac:dyDescent="0.2">
      <c r="A1633" s="20">
        <f>'[1]JUNE 2023'!A102</f>
        <v>45092</v>
      </c>
      <c r="B1633" s="12" t="str">
        <f>'[1]JUNE 2023'!B102</f>
        <v>VM</v>
      </c>
      <c r="C1633" s="3">
        <f>'[1]JUNE 2023'!C102</f>
        <v>0</v>
      </c>
      <c r="D1633" s="3">
        <f>'[1]JUNE 2023'!D102</f>
        <v>0</v>
      </c>
      <c r="E1633" s="4">
        <f>'[1]JUNE 2023'!E102</f>
        <v>0</v>
      </c>
      <c r="F1633" s="6">
        <f>'[1]JUNE 2023'!F102</f>
        <v>136.38</v>
      </c>
      <c r="G1633" s="4"/>
      <c r="H1633" s="4"/>
    </row>
    <row r="1634" spans="1:8" x14ac:dyDescent="0.2">
      <c r="A1634" s="23">
        <f>'[1]JUNE 2023'!A107</f>
        <v>45093</v>
      </c>
      <c r="B1634" s="12" t="str">
        <f>'[1]JUNE 2023'!B107</f>
        <v>LM</v>
      </c>
      <c r="C1634" s="3">
        <f>'[1]JUNE 2023'!C107</f>
        <v>0</v>
      </c>
      <c r="D1634" s="3">
        <f>'[1]JUNE 2023'!D107</f>
        <v>869.6</v>
      </c>
      <c r="E1634" s="4">
        <f>'[1]JUNE 2023'!E107</f>
        <v>0</v>
      </c>
      <c r="F1634" s="6">
        <f>'[1]JUNE 2023'!F107</f>
        <v>0</v>
      </c>
      <c r="G1634" s="4"/>
      <c r="H1634" s="4"/>
    </row>
    <row r="1635" spans="1:8" x14ac:dyDescent="0.2">
      <c r="A1635" s="20">
        <f>'[1]JUNE 2023'!A108</f>
        <v>45093</v>
      </c>
      <c r="B1635" s="12" t="str">
        <f>'[1]JUNE 2023'!B108</f>
        <v>VM</v>
      </c>
      <c r="C1635" s="3">
        <f>'[1]JUNE 2023'!C108</f>
        <v>0</v>
      </c>
      <c r="D1635" s="3">
        <f>'[1]JUNE 2023'!D108</f>
        <v>0</v>
      </c>
      <c r="E1635" s="4">
        <f>'[1]JUNE 2023'!E108</f>
        <v>0</v>
      </c>
      <c r="F1635" s="6">
        <f>'[1]JUNE 2023'!F108</f>
        <v>71.900000000000006</v>
      </c>
      <c r="G1635" s="4"/>
      <c r="H1635" s="4"/>
    </row>
    <row r="1636" spans="1:8" x14ac:dyDescent="0.2">
      <c r="A1636" s="20">
        <f>'[1]JUNE 2023'!A114</f>
        <v>45094</v>
      </c>
      <c r="B1636" s="12" t="str">
        <f>'[1]JUNE 2023'!B114</f>
        <v>LM</v>
      </c>
      <c r="C1636" s="3">
        <f>'[1]JUNE 2023'!C114</f>
        <v>0</v>
      </c>
      <c r="D1636" s="3">
        <f>'[1]JUNE 2023'!D114</f>
        <v>337.16999999999996</v>
      </c>
      <c r="E1636" s="4">
        <f>'[1]JUNE 2023'!E114</f>
        <v>0</v>
      </c>
      <c r="F1636" s="6">
        <f>'[1]JUNE 2023'!F114</f>
        <v>0</v>
      </c>
      <c r="G1636" s="4"/>
      <c r="H1636" s="4"/>
    </row>
    <row r="1637" spans="1:8" x14ac:dyDescent="0.2">
      <c r="A1637" s="23">
        <f>'[1]JUNE 2023'!A115</f>
        <v>45094</v>
      </c>
      <c r="B1637" s="12" t="str">
        <f>'[1]JUNE 2023'!B115</f>
        <v>LM</v>
      </c>
      <c r="C1637" s="3">
        <f>'[1]JUNE 2023'!C115</f>
        <v>0</v>
      </c>
      <c r="D1637" s="3">
        <f>'[1]JUNE 2023'!D115</f>
        <v>899</v>
      </c>
      <c r="E1637" s="4">
        <f>'[1]JUNE 2023'!E115</f>
        <v>0</v>
      </c>
      <c r="F1637" s="6">
        <f>'[1]JUNE 2023'!F115</f>
        <v>0</v>
      </c>
      <c r="G1637" s="4"/>
      <c r="H1637" s="4"/>
    </row>
    <row r="1638" spans="1:8" x14ac:dyDescent="0.2">
      <c r="A1638" s="20">
        <f>'[1]JUNE 2023'!A116</f>
        <v>45094</v>
      </c>
      <c r="B1638" s="12" t="str">
        <f>'[1]JUNE 2023'!B116</f>
        <v>VM</v>
      </c>
      <c r="C1638" s="3">
        <f>'[1]JUNE 2023'!C116</f>
        <v>0</v>
      </c>
      <c r="D1638" s="3">
        <f>'[1]JUNE 2023'!D116</f>
        <v>0</v>
      </c>
      <c r="E1638" s="4">
        <f>'[1]JUNE 2023'!E116</f>
        <v>0</v>
      </c>
      <c r="F1638" s="6">
        <f>'[1]JUNE 2023'!F116</f>
        <v>136.62</v>
      </c>
      <c r="G1638" s="4"/>
      <c r="H1638" s="4"/>
    </row>
    <row r="1639" spans="1:8" x14ac:dyDescent="0.2">
      <c r="A1639" s="23">
        <f>'[1]JUNE 2023'!A117</f>
        <v>45094</v>
      </c>
      <c r="B1639" s="12" t="str">
        <f>'[1]JUNE 2023'!B117</f>
        <v>for me</v>
      </c>
      <c r="C1639" s="3">
        <f>'[1]JUNE 2023'!C117</f>
        <v>0</v>
      </c>
      <c r="D1639" s="3">
        <f>'[1]JUNE 2023'!D117</f>
        <v>0</v>
      </c>
      <c r="E1639" s="4">
        <f>'[1]JUNE 2023'!E117</f>
        <v>0</v>
      </c>
      <c r="F1639" s="6">
        <f>'[1]JUNE 2023'!F117</f>
        <v>100</v>
      </c>
      <c r="G1639" s="4"/>
      <c r="H1639" s="4"/>
    </row>
    <row r="1640" spans="1:8" x14ac:dyDescent="0.2">
      <c r="A1640" s="23">
        <f>'[1]JUNE 2023'!A121</f>
        <v>45095</v>
      </c>
      <c r="B1640" s="12" t="str">
        <f>'[1]JUNE 2023'!B121</f>
        <v>LM</v>
      </c>
      <c r="C1640" s="3">
        <f>'[1]JUNE 2023'!C121</f>
        <v>0</v>
      </c>
      <c r="D1640" s="3">
        <f>'[1]JUNE 2023'!D121</f>
        <v>530</v>
      </c>
      <c r="E1640" s="4">
        <f>'[1]JUNE 2023'!E121</f>
        <v>0</v>
      </c>
      <c r="F1640" s="6">
        <f>'[1]JUNE 2023'!F121</f>
        <v>0</v>
      </c>
      <c r="G1640" s="4"/>
      <c r="H1640" s="4"/>
    </row>
    <row r="1641" spans="1:8" x14ac:dyDescent="0.2">
      <c r="A1641" s="20">
        <f>'[1]JUNE 2023'!A122</f>
        <v>45095</v>
      </c>
      <c r="B1641" s="12" t="str">
        <f>'[1]JUNE 2023'!B122</f>
        <v>LM</v>
      </c>
      <c r="C1641" s="3">
        <f>'[1]JUNE 2023'!C122</f>
        <v>0</v>
      </c>
      <c r="D1641" s="3">
        <f>'[1]JUNE 2023'!D122</f>
        <v>574</v>
      </c>
      <c r="E1641" s="4">
        <f>'[1]JUNE 2023'!E122</f>
        <v>0</v>
      </c>
      <c r="F1641" s="6">
        <f>'[1]JUNE 2023'!F122</f>
        <v>0</v>
      </c>
      <c r="G1641" s="4"/>
      <c r="H1641" s="4"/>
    </row>
    <row r="1642" spans="1:8" x14ac:dyDescent="0.2">
      <c r="A1642" s="23">
        <f>'[1]JUNE 2023'!A123</f>
        <v>45095</v>
      </c>
      <c r="B1642" s="12" t="str">
        <f>'[1]JUNE 2023'!B123</f>
        <v>for me</v>
      </c>
      <c r="C1642" s="3">
        <f>'[1]JUNE 2023'!C123</f>
        <v>0</v>
      </c>
      <c r="D1642" s="3">
        <f>'[1]JUNE 2023'!D123</f>
        <v>539</v>
      </c>
      <c r="E1642" s="4">
        <f>'[1]JUNE 2023'!E123</f>
        <v>0</v>
      </c>
      <c r="F1642" s="6">
        <f>'[1]JUNE 2023'!F123</f>
        <v>0</v>
      </c>
      <c r="G1642" s="4"/>
      <c r="H1642" s="4"/>
    </row>
    <row r="1643" spans="1:8" x14ac:dyDescent="0.2">
      <c r="A1643" s="20">
        <f>'[1]JUNE 2023'!A124</f>
        <v>45095</v>
      </c>
      <c r="B1643" s="12" t="str">
        <f>'[1]JUNE 2023'!B124</f>
        <v>VM</v>
      </c>
      <c r="C1643" s="3">
        <f>'[1]JUNE 2023'!C124</f>
        <v>0</v>
      </c>
      <c r="D1643" s="3">
        <f>'[1]JUNE 2023'!D124</f>
        <v>0</v>
      </c>
      <c r="E1643" s="4">
        <f>'[1]JUNE 2023'!E124</f>
        <v>0</v>
      </c>
      <c r="F1643" s="6">
        <f>'[1]JUNE 2023'!F124</f>
        <v>43.74</v>
      </c>
      <c r="G1643" s="4"/>
      <c r="H1643" s="4"/>
    </row>
    <row r="1644" spans="1:8" x14ac:dyDescent="0.2">
      <c r="A1644" s="23">
        <f>'[1]JUNE 2023'!A125</f>
        <v>45095</v>
      </c>
      <c r="B1644" s="12" t="str">
        <f>'[1]JUNE 2023'!B125</f>
        <v>LM</v>
      </c>
      <c r="C1644" s="3">
        <f>'[1]JUNE 2023'!C125</f>
        <v>0</v>
      </c>
      <c r="D1644" s="3">
        <f>'[1]JUNE 2023'!D125</f>
        <v>989.2</v>
      </c>
      <c r="E1644" s="4">
        <f>'[1]JUNE 2023'!E125</f>
        <v>700</v>
      </c>
      <c r="F1644" s="6">
        <f>'[1]JUNE 2023'!F125</f>
        <v>0</v>
      </c>
      <c r="G1644" s="4"/>
      <c r="H1644" s="4"/>
    </row>
    <row r="1645" spans="1:8" x14ac:dyDescent="0.2">
      <c r="A1645" s="20">
        <f>'[1]JUNE 2023'!A128</f>
        <v>45096</v>
      </c>
      <c r="B1645" s="12" t="str">
        <f>'[1]JUNE 2023'!B128</f>
        <v>LM</v>
      </c>
      <c r="C1645" s="3">
        <f>'[1]JUNE 2023'!C128</f>
        <v>0</v>
      </c>
      <c r="D1645" s="3">
        <f>'[1]JUNE 2023'!D128</f>
        <v>793.98</v>
      </c>
      <c r="E1645" s="4">
        <f>'[1]JUNE 2023'!E128</f>
        <v>0</v>
      </c>
      <c r="F1645" s="6">
        <f>'[1]JUNE 2023'!F128</f>
        <v>0</v>
      </c>
      <c r="G1645" s="4"/>
      <c r="H1645" s="4"/>
    </row>
    <row r="1646" spans="1:8" x14ac:dyDescent="0.2">
      <c r="A1646" s="23">
        <f>'[1]JUNE 2023'!A129</f>
        <v>45096</v>
      </c>
      <c r="B1646" s="12" t="str">
        <f>'[1]JUNE 2023'!B129</f>
        <v>VM</v>
      </c>
      <c r="C1646" s="3">
        <f>'[1]JUNE 2023'!C129</f>
        <v>0</v>
      </c>
      <c r="D1646" s="3">
        <f>'[1]JUNE 2023'!D129</f>
        <v>112</v>
      </c>
      <c r="E1646" s="4">
        <f>'[1]JUNE 2023'!E129</f>
        <v>0</v>
      </c>
      <c r="F1646" s="6">
        <f>'[1]JUNE 2023'!F129</f>
        <v>37.950000000000003</v>
      </c>
      <c r="G1646" s="4"/>
      <c r="H1646" s="4"/>
    </row>
    <row r="1647" spans="1:8" x14ac:dyDescent="0.2">
      <c r="A1647" s="23">
        <f>'[1]JUNE 2023'!A135</f>
        <v>45097</v>
      </c>
      <c r="B1647" s="12" t="str">
        <f>'[1]JUNE 2023'!B135</f>
        <v>VM</v>
      </c>
      <c r="C1647" s="3">
        <f>'[1]JUNE 2023'!C135</f>
        <v>0</v>
      </c>
      <c r="D1647" s="3">
        <f>'[1]JUNE 2023'!D135</f>
        <v>112</v>
      </c>
      <c r="E1647" s="4">
        <f>'[1]JUNE 2023'!E135</f>
        <v>0</v>
      </c>
      <c r="F1647" s="6">
        <f>'[1]JUNE 2023'!F135</f>
        <v>57.52</v>
      </c>
      <c r="G1647" s="4"/>
      <c r="H1647" s="4"/>
    </row>
    <row r="1648" spans="1:8" x14ac:dyDescent="0.2">
      <c r="A1648" s="20">
        <f>'[1]JUNE 2023'!A136</f>
        <v>45097</v>
      </c>
      <c r="B1648" s="12" t="str">
        <f>'[1]JUNE 2023'!B136</f>
        <v>LM</v>
      </c>
      <c r="C1648" s="3">
        <f>'[1]JUNE 2023'!C136</f>
        <v>0</v>
      </c>
      <c r="D1648" s="3">
        <f>'[1]JUNE 2023'!D136</f>
        <v>410</v>
      </c>
      <c r="E1648" s="4">
        <f>'[1]JUNE 2023'!E136</f>
        <v>0</v>
      </c>
      <c r="F1648" s="6">
        <f>'[1]JUNE 2023'!F136</f>
        <v>0</v>
      </c>
      <c r="G1648" s="4"/>
      <c r="H1648" s="4"/>
    </row>
    <row r="1649" spans="1:8" x14ac:dyDescent="0.2">
      <c r="A1649" s="23">
        <f>'[1]JUNE 2023'!A137</f>
        <v>45097</v>
      </c>
      <c r="B1649" s="12" t="str">
        <f>'[1]JUNE 2023'!B137</f>
        <v>Rauchen</v>
      </c>
      <c r="C1649" s="3">
        <f>'[1]JUNE 2023'!C137</f>
        <v>0</v>
      </c>
      <c r="D1649" s="3">
        <f>'[1]JUNE 2023'!D137</f>
        <v>145</v>
      </c>
      <c r="E1649" s="4">
        <f>'[1]JUNE 2023'!E137</f>
        <v>0</v>
      </c>
      <c r="F1649" s="6">
        <f>'[1]JUNE 2023'!F137</f>
        <v>0</v>
      </c>
      <c r="G1649" s="4"/>
      <c r="H1649" s="4"/>
    </row>
    <row r="1650" spans="1:8" x14ac:dyDescent="0.2">
      <c r="A1650" s="20">
        <f>'[1]JUNE 2023'!A142</f>
        <v>45098</v>
      </c>
      <c r="B1650" s="12" t="str">
        <f>'[1]JUNE 2023'!B142</f>
        <v>LM</v>
      </c>
      <c r="C1650" s="3">
        <f>'[1]JUNE 2023'!C142</f>
        <v>0</v>
      </c>
      <c r="D1650" s="3">
        <f>'[1]JUNE 2023'!D142</f>
        <v>794.99</v>
      </c>
      <c r="E1650" s="4">
        <f>'[1]JUNE 2023'!E142</f>
        <v>0</v>
      </c>
      <c r="F1650" s="6">
        <f>'[1]JUNE 2023'!F142</f>
        <v>0</v>
      </c>
      <c r="G1650" s="4"/>
      <c r="H1650" s="4"/>
    </row>
    <row r="1651" spans="1:8" x14ac:dyDescent="0.2">
      <c r="A1651" s="23">
        <f>'[1]JUNE 2023'!A149</f>
        <v>45099</v>
      </c>
      <c r="B1651" s="12" t="str">
        <f>'[1]JUNE 2023'!B149</f>
        <v>LM</v>
      </c>
      <c r="C1651" s="3">
        <f>'[1]JUNE 2023'!C149</f>
        <v>0</v>
      </c>
      <c r="D1651" s="3">
        <f>'[1]JUNE 2023'!D149</f>
        <v>1451</v>
      </c>
      <c r="E1651" s="4">
        <f>'[1]JUNE 2023'!E149</f>
        <v>0</v>
      </c>
      <c r="F1651" s="6">
        <f>'[1]JUNE 2023'!F149</f>
        <v>0</v>
      </c>
      <c r="G1651" s="4"/>
      <c r="H1651" s="4"/>
    </row>
    <row r="1652" spans="1:8" x14ac:dyDescent="0.2">
      <c r="A1652" s="20">
        <f>'[1]JUNE 2023'!A150</f>
        <v>45099</v>
      </c>
      <c r="B1652" s="12" t="str">
        <f>'[1]JUNE 2023'!B150</f>
        <v>Rauchen</v>
      </c>
      <c r="C1652" s="3">
        <f>'[1]JUNE 2023'!C150</f>
        <v>0</v>
      </c>
      <c r="D1652" s="3">
        <f>'[1]JUNE 2023'!D150</f>
        <v>150</v>
      </c>
      <c r="E1652" s="4">
        <f>'[1]JUNE 2023'!E150</f>
        <v>0</v>
      </c>
      <c r="F1652" s="6">
        <f>'[1]JUNE 2023'!F150</f>
        <v>0</v>
      </c>
      <c r="G1652" s="4"/>
      <c r="H1652" s="4"/>
    </row>
    <row r="1653" spans="1:8" x14ac:dyDescent="0.2">
      <c r="A1653" s="20">
        <f>'[1]JUNE 2023'!A156</f>
        <v>45100</v>
      </c>
      <c r="B1653" s="12" t="str">
        <f>'[1]JUNE 2023'!B156</f>
        <v>Refill</v>
      </c>
      <c r="C1653" s="3">
        <f>'[1]JUNE 2023'!C156</f>
        <v>42753.86</v>
      </c>
      <c r="D1653" s="3">
        <f>'[1]JUNE 2023'!D156</f>
        <v>0</v>
      </c>
      <c r="E1653" s="4">
        <f>'[1]JUNE 2023'!E156</f>
        <v>0</v>
      </c>
      <c r="F1653" s="6">
        <f>'[1]JUNE 2023'!F156</f>
        <v>0</v>
      </c>
      <c r="G1653" s="4"/>
      <c r="H1653" s="4"/>
    </row>
    <row r="1654" spans="1:8" x14ac:dyDescent="0.2">
      <c r="A1654" s="23">
        <f>'[1]JUNE 2023'!A157</f>
        <v>45100</v>
      </c>
      <c r="B1654" s="12" t="str">
        <f>'[1]JUNE 2023'!B157</f>
        <v>LM</v>
      </c>
      <c r="C1654" s="3">
        <f>'[1]JUNE 2023'!C157</f>
        <v>0</v>
      </c>
      <c r="D1654" s="3">
        <f>'[1]JUNE 2023'!D157</f>
        <v>830</v>
      </c>
      <c r="E1654" s="4">
        <f>'[1]JUNE 2023'!E157</f>
        <v>0</v>
      </c>
      <c r="F1654" s="6">
        <f>'[1]JUNE 2023'!F157</f>
        <v>0</v>
      </c>
      <c r="G1654" s="4"/>
      <c r="H1654" s="4"/>
    </row>
    <row r="1655" spans="1:8" x14ac:dyDescent="0.2">
      <c r="A1655" s="20">
        <f>'[1]JUNE 2023'!A158</f>
        <v>45100</v>
      </c>
      <c r="B1655" s="12" t="str">
        <f>'[1]JUNE 2023'!B158</f>
        <v>VM</v>
      </c>
      <c r="C1655" s="3">
        <f>'[1]JUNE 2023'!C158</f>
        <v>0</v>
      </c>
      <c r="D1655" s="3">
        <f>'[1]JUNE 2023'!D158</f>
        <v>0</v>
      </c>
      <c r="E1655" s="4">
        <f>'[1]JUNE 2023'!E158</f>
        <v>0</v>
      </c>
      <c r="F1655" s="6">
        <f>'[1]JUNE 2023'!F158</f>
        <v>45.54</v>
      </c>
      <c r="G1655" s="4"/>
      <c r="H1655" s="4"/>
    </row>
    <row r="1656" spans="1:8" x14ac:dyDescent="0.2">
      <c r="A1656" s="23">
        <f>'[1]JUNE 2023'!A163</f>
        <v>45101</v>
      </c>
      <c r="B1656" s="12" t="str">
        <f>'[1]JUNE 2023'!B163</f>
        <v>LM</v>
      </c>
      <c r="C1656" s="3">
        <f>'[1]JUNE 2023'!C163</f>
        <v>0</v>
      </c>
      <c r="D1656" s="3">
        <f>'[1]JUNE 2023'!D163</f>
        <v>100</v>
      </c>
      <c r="E1656" s="4">
        <f>'[1]JUNE 2023'!E163</f>
        <v>0</v>
      </c>
      <c r="F1656" s="6">
        <f>'[1]JUNE 2023'!F163</f>
        <v>0</v>
      </c>
      <c r="G1656" s="4"/>
      <c r="H1656" s="4"/>
    </row>
    <row r="1657" spans="1:8" x14ac:dyDescent="0.2">
      <c r="A1657" s="20">
        <f>'[1]JUNE 2023'!A164</f>
        <v>45101</v>
      </c>
      <c r="B1657" s="12" t="str">
        <f>'[1]JUNE 2023'!B164</f>
        <v>VM</v>
      </c>
      <c r="C1657" s="3">
        <f>'[1]JUNE 2023'!C164</f>
        <v>0</v>
      </c>
      <c r="D1657" s="3">
        <f>'[1]JUNE 2023'!D164</f>
        <v>0</v>
      </c>
      <c r="E1657" s="4">
        <f>'[1]JUNE 2023'!E164</f>
        <v>0</v>
      </c>
      <c r="F1657" s="6">
        <f>'[1]JUNE 2023'!F164</f>
        <v>23.37</v>
      </c>
      <c r="G1657" s="4"/>
      <c r="H1657" s="4"/>
    </row>
    <row r="1658" spans="1:8" x14ac:dyDescent="0.2">
      <c r="A1658" s="20">
        <f>'[1]JUNE 2023'!A170</f>
        <v>45102</v>
      </c>
      <c r="B1658" s="12" t="str">
        <f>'[1]JUNE 2023'!B170</f>
        <v>Party</v>
      </c>
      <c r="C1658" s="3">
        <f>'[1]JUNE 2023'!C170</f>
        <v>0</v>
      </c>
      <c r="D1658" s="3">
        <f>'[1]JUNE 2023'!D170</f>
        <v>3040</v>
      </c>
      <c r="E1658" s="4">
        <f>'[1]JUNE 2023'!E170</f>
        <v>0</v>
      </c>
      <c r="F1658" s="6">
        <f>'[1]JUNE 2023'!F170</f>
        <v>0</v>
      </c>
      <c r="G1658" s="4"/>
      <c r="H1658" s="4"/>
    </row>
    <row r="1659" spans="1:8" x14ac:dyDescent="0.2">
      <c r="A1659" s="23">
        <f>'[1]JUNE 2023'!A171</f>
        <v>45102</v>
      </c>
      <c r="B1659" s="12" t="str">
        <f>'[1]JUNE 2023'!B171</f>
        <v>LM</v>
      </c>
      <c r="C1659" s="3">
        <f>'[1]JUNE 2023'!C171</f>
        <v>0</v>
      </c>
      <c r="D1659" s="3">
        <f>'[1]JUNE 2023'!D171</f>
        <v>900</v>
      </c>
      <c r="E1659" s="4">
        <f>'[1]JUNE 2023'!E171</f>
        <v>0</v>
      </c>
      <c r="F1659" s="6">
        <f>'[1]JUNE 2023'!F171</f>
        <v>0</v>
      </c>
      <c r="G1659" s="4"/>
      <c r="H1659" s="4"/>
    </row>
    <row r="1660" spans="1:8" x14ac:dyDescent="0.2">
      <c r="A1660" s="20">
        <f>'[1]JUNE 2023'!A172</f>
        <v>45102</v>
      </c>
      <c r="B1660" s="12" t="str">
        <f>'[1]JUNE 2023'!B172</f>
        <v>Andere</v>
      </c>
      <c r="C1660" s="3">
        <f>'[1]JUNE 2023'!C172</f>
        <v>0</v>
      </c>
      <c r="D1660" s="3">
        <f>'[1]JUNE 2023'!D172</f>
        <v>200</v>
      </c>
      <c r="E1660" s="4">
        <f>'[1]JUNE 2023'!E172</f>
        <v>0</v>
      </c>
      <c r="F1660" s="6">
        <f>'[1]JUNE 2023'!F172</f>
        <v>0</v>
      </c>
      <c r="G1660" s="4"/>
      <c r="H1660" s="4"/>
    </row>
    <row r="1661" spans="1:8" x14ac:dyDescent="0.2">
      <c r="A1661" s="23">
        <f>'[1]JUNE 2023'!A173</f>
        <v>45102</v>
      </c>
      <c r="B1661" s="12" t="str">
        <f>'[1]JUNE 2023'!B173</f>
        <v>VM</v>
      </c>
      <c r="C1661" s="3">
        <f>'[1]JUNE 2023'!C173</f>
        <v>0</v>
      </c>
      <c r="D1661" s="3">
        <f>'[1]JUNE 2023'!D173</f>
        <v>0</v>
      </c>
      <c r="E1661" s="4">
        <f>'[1]JUNE 2023'!E173</f>
        <v>0</v>
      </c>
      <c r="F1661" s="6">
        <f>'[1]JUNE 2023'!F173</f>
        <v>166.98</v>
      </c>
      <c r="G1661" s="4"/>
      <c r="H1661" s="4"/>
    </row>
    <row r="1662" spans="1:8" x14ac:dyDescent="0.2">
      <c r="A1662" s="23">
        <f>'[1]JUNE 2023'!A177</f>
        <v>45103</v>
      </c>
      <c r="B1662" s="12" t="str">
        <f>'[1]JUNE 2023'!B177</f>
        <v>for me</v>
      </c>
      <c r="C1662" s="3">
        <f>'[1]JUNE 2023'!C177</f>
        <v>0</v>
      </c>
      <c r="D1662" s="3">
        <f>'[1]JUNE 2023'!D177</f>
        <v>388</v>
      </c>
      <c r="E1662" s="4">
        <f>'[1]JUNE 2023'!E177</f>
        <v>0</v>
      </c>
      <c r="F1662" s="6">
        <f>'[1]JUNE 2023'!F177</f>
        <v>0</v>
      </c>
      <c r="G1662" s="4"/>
      <c r="H1662" s="4"/>
    </row>
    <row r="1663" spans="1:8" x14ac:dyDescent="0.2">
      <c r="A1663" s="20">
        <f>'[1]JUNE 2023'!A178</f>
        <v>45103</v>
      </c>
      <c r="B1663" s="12" t="str">
        <f>'[1]JUNE 2023'!B178</f>
        <v>LM</v>
      </c>
      <c r="C1663" s="3">
        <f>'[1]JUNE 2023'!C178</f>
        <v>0</v>
      </c>
      <c r="D1663" s="3">
        <f>'[1]JUNE 2023'!D178</f>
        <v>562.85</v>
      </c>
      <c r="E1663" s="4">
        <f>'[1]JUNE 2023'!E178</f>
        <v>0</v>
      </c>
      <c r="F1663" s="6">
        <f>'[1]JUNE 2023'!F178</f>
        <v>0</v>
      </c>
      <c r="G1663" s="4"/>
      <c r="H1663" s="4"/>
    </row>
    <row r="1664" spans="1:8" x14ac:dyDescent="0.2">
      <c r="A1664" s="20">
        <f>'[1]JUNE 2023'!A184</f>
        <v>45104</v>
      </c>
      <c r="B1664" s="12" t="str">
        <f>'[1]JUNE 2023'!B184</f>
        <v>Rauchen</v>
      </c>
      <c r="C1664" s="3">
        <f>'[1]JUNE 2023'!C184</f>
        <v>0</v>
      </c>
      <c r="D1664" s="3">
        <f>'[1]JUNE 2023'!D184</f>
        <v>150</v>
      </c>
      <c r="E1664" s="4">
        <f>'[1]JUNE 2023'!E184</f>
        <v>0</v>
      </c>
      <c r="F1664" s="6">
        <f>'[1]JUNE 2023'!F184</f>
        <v>0</v>
      </c>
      <c r="G1664" s="4"/>
      <c r="H1664" s="4"/>
    </row>
    <row r="1665" spans="1:8" x14ac:dyDescent="0.2">
      <c r="A1665" s="23">
        <f>'[1]JUNE 2023'!A185</f>
        <v>45104</v>
      </c>
      <c r="B1665" s="12" t="str">
        <f>'[1]JUNE 2023'!B185</f>
        <v>LM</v>
      </c>
      <c r="C1665" s="3">
        <f>'[1]JUNE 2023'!C185</f>
        <v>0</v>
      </c>
      <c r="D1665" s="3">
        <f>'[1]JUNE 2023'!D185</f>
        <v>364.98</v>
      </c>
      <c r="E1665" s="4">
        <f>'[1]JUNE 2023'!E185</f>
        <v>0</v>
      </c>
      <c r="F1665" s="6">
        <f>'[1]JUNE 2023'!F185</f>
        <v>0</v>
      </c>
      <c r="G1665" s="4"/>
      <c r="H1665" s="4"/>
    </row>
    <row r="1666" spans="1:8" x14ac:dyDescent="0.2">
      <c r="A1666" s="20">
        <f>'[1]JUNE 2023'!A186</f>
        <v>45104</v>
      </c>
      <c r="B1666" s="12" t="str">
        <f>'[1]JUNE 2023'!B186</f>
        <v>VM</v>
      </c>
      <c r="C1666" s="3">
        <f>'[1]JUNE 2023'!C186</f>
        <v>0</v>
      </c>
      <c r="D1666" s="3">
        <f>'[1]JUNE 2023'!D186</f>
        <v>0</v>
      </c>
      <c r="E1666" s="4">
        <f>'[1]JUNE 2023'!E186</f>
        <v>0</v>
      </c>
      <c r="F1666" s="6">
        <f>'[1]JUNE 2023'!F186</f>
        <v>86.28</v>
      </c>
      <c r="G1666" s="4"/>
      <c r="H1666" s="4"/>
    </row>
    <row r="1667" spans="1:8" x14ac:dyDescent="0.2">
      <c r="A1667" s="23">
        <f>'[1]JUNE 2023'!A191</f>
        <v>45105</v>
      </c>
      <c r="B1667" s="12" t="str">
        <f>'[1]JUNE 2023'!B191</f>
        <v>Andere</v>
      </c>
      <c r="C1667" s="3">
        <f>'[1]JUNE 2023'!C191</f>
        <v>0</v>
      </c>
      <c r="D1667" s="3">
        <f>'[1]JUNE 2023'!D191</f>
        <v>593</v>
      </c>
      <c r="E1667" s="4">
        <f>'[1]JUNE 2023'!E191</f>
        <v>0</v>
      </c>
      <c r="F1667" s="6">
        <f>'[1]JUNE 2023'!F191</f>
        <v>0</v>
      </c>
      <c r="G1667" s="4"/>
      <c r="H1667" s="4"/>
    </row>
    <row r="1668" spans="1:8" x14ac:dyDescent="0.2">
      <c r="A1668" s="20">
        <f>'[1]JUNE 2023'!A192</f>
        <v>45105</v>
      </c>
      <c r="B1668" s="12" t="str">
        <f>'[1]JUNE 2023'!B192</f>
        <v>LM</v>
      </c>
      <c r="C1668" s="3">
        <f>'[1]JUNE 2023'!C192</f>
        <v>0</v>
      </c>
      <c r="D1668" s="3">
        <f>'[1]JUNE 2023'!D192</f>
        <v>456.97</v>
      </c>
      <c r="E1668" s="4">
        <f>'[1]JUNE 2023'!E192</f>
        <v>0</v>
      </c>
      <c r="F1668" s="6">
        <f>'[1]JUNE 2023'!F192</f>
        <v>0</v>
      </c>
      <c r="G1668" s="4"/>
      <c r="H1668" s="4"/>
    </row>
    <row r="1669" spans="1:8" x14ac:dyDescent="0.2">
      <c r="A1669" s="20">
        <f>'[1]JUNE 2023'!A198</f>
        <v>45106</v>
      </c>
      <c r="B1669" s="12" t="str">
        <f>'[1]JUNE 2023'!B198</f>
        <v>VM</v>
      </c>
      <c r="C1669" s="3">
        <f>'[1]JUNE 2023'!C198</f>
        <v>0</v>
      </c>
      <c r="D1669" s="3">
        <f>'[1]JUNE 2023'!D198</f>
        <v>11073</v>
      </c>
      <c r="E1669" s="4">
        <f>'[1]JUNE 2023'!E198</f>
        <v>0</v>
      </c>
      <c r="F1669" s="6">
        <f>'[1]JUNE 2023'!F198</f>
        <v>21.57</v>
      </c>
      <c r="G1669" s="4"/>
      <c r="H1669" s="4"/>
    </row>
    <row r="1670" spans="1:8" x14ac:dyDescent="0.2">
      <c r="A1670" s="23">
        <f>'[1]JUNE 2023'!A199</f>
        <v>45106</v>
      </c>
      <c r="B1670" s="12" t="str">
        <f>'[1]JUNE 2023'!B199</f>
        <v>Party</v>
      </c>
      <c r="C1670" s="3">
        <f>'[1]JUNE 2023'!C199</f>
        <v>0</v>
      </c>
      <c r="D1670" s="3">
        <f>'[1]JUNE 2023'!D199</f>
        <v>4396</v>
      </c>
      <c r="E1670" s="4">
        <f>'[1]JUNE 2023'!E199</f>
        <v>0</v>
      </c>
      <c r="F1670" s="6">
        <f>'[1]JUNE 2023'!F199</f>
        <v>0</v>
      </c>
      <c r="G1670" s="4"/>
      <c r="H1670" s="4"/>
    </row>
    <row r="1671" spans="1:8" x14ac:dyDescent="0.2">
      <c r="A1671" s="20">
        <f>'[1]JUNE 2023'!A200</f>
        <v>45106</v>
      </c>
      <c r="B1671" s="12" t="str">
        <f>'[1]JUNE 2023'!B200</f>
        <v>none</v>
      </c>
      <c r="C1671" s="3">
        <f>'[1]JUNE 2023'!C200</f>
        <v>0</v>
      </c>
      <c r="D1671" s="3">
        <f>'[1]JUNE 2023'!D200</f>
        <v>19340</v>
      </c>
      <c r="E1671" s="4">
        <f>'[1]JUNE 2023'!E200</f>
        <v>19390</v>
      </c>
      <c r="F1671" s="6">
        <f>'[1]JUNE 2023'!F200</f>
        <v>0</v>
      </c>
      <c r="G1671" s="4"/>
      <c r="H1671" s="4"/>
    </row>
    <row r="1672" spans="1:8" x14ac:dyDescent="0.2">
      <c r="A1672" s="23">
        <f>'[1]JUNE 2023'!A201</f>
        <v>45106</v>
      </c>
      <c r="B1672" s="12" t="str">
        <f>'[1]JUNE 2023'!B201</f>
        <v>none</v>
      </c>
      <c r="C1672" s="3">
        <f>'[1]JUNE 2023'!C201</f>
        <v>20000</v>
      </c>
      <c r="D1672" s="3">
        <f>'[1]JUNE 2023'!D201</f>
        <v>0</v>
      </c>
      <c r="E1672" s="4">
        <f>'[1]JUNE 2023'!E201</f>
        <v>0</v>
      </c>
      <c r="F1672" s="6">
        <f>'[1]JUNE 2023'!F201</f>
        <v>20000</v>
      </c>
      <c r="G1672" s="4"/>
      <c r="H1672" s="4"/>
    </row>
    <row r="1673" spans="1:8" x14ac:dyDescent="0.2">
      <c r="A1673" s="23">
        <f>'[1]JUNE 2023'!A205</f>
        <v>45107</v>
      </c>
      <c r="B1673" s="12" t="str">
        <f>'[1]JUNE 2023'!B205</f>
        <v>Refill</v>
      </c>
      <c r="C1673" s="3">
        <f>'[1]JUNE 2023'!C205</f>
        <v>2570.5500000000002</v>
      </c>
      <c r="D1673" s="3">
        <f>'[1]JUNE 2023'!D205</f>
        <v>0</v>
      </c>
      <c r="E1673" s="4">
        <f>'[1]JUNE 2023'!E205</f>
        <v>0</v>
      </c>
      <c r="F1673" s="6">
        <f>'[1]JUNE 2023'!F205</f>
        <v>0</v>
      </c>
      <c r="G1673" s="4"/>
      <c r="H1673" s="4"/>
    </row>
    <row r="1674" spans="1:8" x14ac:dyDescent="0.2">
      <c r="A1674" s="20">
        <f>'[1]JUNE 2023'!A206</f>
        <v>45107</v>
      </c>
      <c r="B1674" s="12" t="str">
        <f>'[1]JUNE 2023'!B206</f>
        <v>Party</v>
      </c>
      <c r="C1674" s="3">
        <f>'[1]JUNE 2023'!C206</f>
        <v>0</v>
      </c>
      <c r="D1674" s="3">
        <f>'[1]JUNE 2023'!D206</f>
        <v>4576.5</v>
      </c>
      <c r="E1674" s="4">
        <f>'[1]JUNE 2023'!E206</f>
        <v>0</v>
      </c>
      <c r="F1674" s="6">
        <f>'[1]JUNE 2023'!F206</f>
        <v>0</v>
      </c>
      <c r="G1674" s="4"/>
      <c r="H1674" s="4"/>
    </row>
    <row r="1675" spans="1:8" x14ac:dyDescent="0.2">
      <c r="A1675" s="23">
        <f>'[1]JUNE 2023'!A207</f>
        <v>45107</v>
      </c>
      <c r="B1675" s="12" t="str">
        <f>'[1]JUNE 2023'!B207</f>
        <v>VM</v>
      </c>
      <c r="C1675" s="3">
        <f>'[1]JUNE 2023'!C207</f>
        <v>0</v>
      </c>
      <c r="D1675" s="3">
        <f>'[1]JUNE 2023'!D207</f>
        <v>647</v>
      </c>
      <c r="E1675" s="4">
        <f>'[1]JUNE 2023'!E207</f>
        <v>0</v>
      </c>
      <c r="F1675" s="6">
        <f>'[1]JUNE 2023'!F207</f>
        <v>0</v>
      </c>
      <c r="G1675" s="4"/>
      <c r="H1675" s="4"/>
    </row>
    <row r="1676" spans="1:8" x14ac:dyDescent="0.2">
      <c r="A1676" s="20">
        <f>'[1]JUNE 2023'!A208</f>
        <v>45107</v>
      </c>
      <c r="B1676" s="12" t="str">
        <f>'[1]JUNE 2023'!B208</f>
        <v>none</v>
      </c>
      <c r="C1676" s="3">
        <f>'[1]JUNE 2023'!C208</f>
        <v>0</v>
      </c>
      <c r="D1676" s="3">
        <f>'[1]JUNE 2023'!D208</f>
        <v>14080</v>
      </c>
      <c r="E1676" s="4">
        <f>'[1]JUNE 2023'!E208</f>
        <v>14080</v>
      </c>
      <c r="F1676" s="6">
        <f>'[1]JUNE 2023'!F208</f>
        <v>0</v>
      </c>
      <c r="G1676" s="4"/>
      <c r="H1676" s="4"/>
    </row>
    <row r="1677" spans="1:8" x14ac:dyDescent="0.2">
      <c r="A1677" s="23">
        <f>'[1]JULY 2023'!A2</f>
        <v>45108</v>
      </c>
      <c r="B1677" s="12" t="str">
        <f>'[1]JULY 2023'!B2</f>
        <v>LM</v>
      </c>
      <c r="C1677" s="3">
        <f>'[1]JULY 2023'!C2</f>
        <v>0</v>
      </c>
      <c r="D1677" s="3">
        <f>'[1]JULY 2023'!D2</f>
        <v>907</v>
      </c>
      <c r="E1677" s="4">
        <f>'[1]JULY 2023'!E2</f>
        <v>0</v>
      </c>
      <c r="F1677" s="6">
        <f>'[1]JULY 2023'!F2</f>
        <v>0</v>
      </c>
      <c r="G1677" s="4"/>
      <c r="H1677" s="4"/>
    </row>
    <row r="1678" spans="1:8" x14ac:dyDescent="0.2">
      <c r="A1678" s="20">
        <f>'[1]JULY 2023'!A3</f>
        <v>45108</v>
      </c>
      <c r="B1678" s="12" t="str">
        <f>'[1]JULY 2023'!B3</f>
        <v>VM</v>
      </c>
      <c r="C1678" s="3">
        <f>'[1]JULY 2023'!C3</f>
        <v>0</v>
      </c>
      <c r="D1678" s="3">
        <f>'[1]JULY 2023'!D3</f>
        <v>0</v>
      </c>
      <c r="E1678" s="4">
        <f>'[1]JULY 2023'!E3</f>
        <v>0</v>
      </c>
      <c r="F1678" s="6">
        <f>'[1]JULY 2023'!F3</f>
        <v>0</v>
      </c>
      <c r="G1678" s="4"/>
      <c r="H1678" s="4"/>
    </row>
    <row r="1679" spans="1:8" x14ac:dyDescent="0.2">
      <c r="A1679" s="23">
        <f>'[1]JULY 2023'!A4</f>
        <v>45108</v>
      </c>
      <c r="B1679" s="12" t="str">
        <f>'[1]JULY 2023'!B4</f>
        <v>Party</v>
      </c>
      <c r="C1679" s="3">
        <f>'[1]JULY 2023'!C4</f>
        <v>0</v>
      </c>
      <c r="D1679" s="3">
        <f>'[1]JULY 2023'!D4</f>
        <v>0</v>
      </c>
      <c r="E1679" s="4">
        <f>'[1]JULY 2023'!E4</f>
        <v>0</v>
      </c>
      <c r="F1679" s="6">
        <f>'[1]JULY 2023'!F4</f>
        <v>0</v>
      </c>
      <c r="G1679" s="4"/>
      <c r="H1679" s="4"/>
    </row>
    <row r="1680" spans="1:8" x14ac:dyDescent="0.2">
      <c r="A1680" s="20">
        <f>'[1]JULY 2023'!A5</f>
        <v>45108</v>
      </c>
      <c r="B1680" s="12" t="str">
        <f>'[1]JULY 2023'!B5</f>
        <v>Andere</v>
      </c>
      <c r="C1680" s="3">
        <f>'[1]JULY 2023'!C5</f>
        <v>0</v>
      </c>
      <c r="D1680" s="3">
        <f>'[1]JULY 2023'!D5</f>
        <v>0</v>
      </c>
      <c r="E1680" s="4">
        <f>'[1]JULY 2023'!E5</f>
        <v>0</v>
      </c>
      <c r="F1680" s="6">
        <f>'[1]JULY 2023'!F5</f>
        <v>0</v>
      </c>
      <c r="G1680" s="4"/>
      <c r="H1680" s="4"/>
    </row>
    <row r="1681" spans="1:8" x14ac:dyDescent="0.2">
      <c r="A1681" s="23">
        <f>'[1]JULY 2023'!A6</f>
        <v>45108</v>
      </c>
      <c r="B1681" s="12" t="str">
        <f>'[1]JULY 2023'!B6</f>
        <v>Kleidung</v>
      </c>
      <c r="C1681" s="3">
        <f>'[1]JULY 2023'!C6</f>
        <v>0</v>
      </c>
      <c r="D1681" s="3">
        <f>'[1]JULY 2023'!D6</f>
        <v>0</v>
      </c>
      <c r="E1681" s="4">
        <f>'[1]JULY 2023'!E6</f>
        <v>0</v>
      </c>
      <c r="F1681" s="6">
        <f>'[1]JULY 2023'!F6</f>
        <v>0</v>
      </c>
      <c r="G1681" s="4"/>
      <c r="H1681" s="4"/>
    </row>
    <row r="1682" spans="1:8" x14ac:dyDescent="0.2">
      <c r="A1682" s="20">
        <f>'[1]JULY 2023'!A7</f>
        <v>45108</v>
      </c>
      <c r="B1682" s="12" t="str">
        <f>'[1]JULY 2023'!B7</f>
        <v>for me</v>
      </c>
      <c r="C1682" s="3">
        <f>'[1]JULY 2023'!C7</f>
        <v>0</v>
      </c>
      <c r="D1682" s="3">
        <f>'[1]JULY 2023'!D7</f>
        <v>0</v>
      </c>
      <c r="E1682" s="4">
        <f>'[1]JULY 2023'!E7</f>
        <v>0</v>
      </c>
      <c r="F1682" s="6">
        <f>'[1]JULY 2023'!F7</f>
        <v>0</v>
      </c>
      <c r="G1682" s="4"/>
      <c r="H1682" s="4"/>
    </row>
    <row r="1683" spans="1:8" x14ac:dyDescent="0.2">
      <c r="A1683" s="20">
        <f>'[1]JULY 2023'!A9</f>
        <v>45109</v>
      </c>
      <c r="B1683" s="12" t="str">
        <f>'[1]JULY 2023'!B9</f>
        <v>rent</v>
      </c>
      <c r="C1683" s="3">
        <f>'[1]JULY 2023'!C9</f>
        <v>0</v>
      </c>
      <c r="D1683" s="3">
        <f>'[1]JULY 2023'!D9</f>
        <v>55000</v>
      </c>
      <c r="E1683" s="4">
        <f>'[1]JULY 2023'!E9</f>
        <v>0</v>
      </c>
      <c r="F1683" s="6">
        <f>'[1]JULY 2023'!F9</f>
        <v>0</v>
      </c>
      <c r="G1683" s="4"/>
      <c r="H1683" s="4"/>
    </row>
    <row r="1684" spans="1:8" x14ac:dyDescent="0.2">
      <c r="A1684" s="23">
        <f>'[1]JULY 2023'!A10</f>
        <v>45109</v>
      </c>
      <c r="B1684" s="12" t="str">
        <f>'[1]JULY 2023'!B10</f>
        <v>LM</v>
      </c>
      <c r="C1684" s="3">
        <f>'[1]JULY 2023'!C10</f>
        <v>0</v>
      </c>
      <c r="D1684" s="3">
        <f>'[1]JULY 2023'!D10</f>
        <v>1733.91</v>
      </c>
      <c r="E1684" s="4">
        <f>'[1]JULY 2023'!E10</f>
        <v>0</v>
      </c>
      <c r="F1684" s="6">
        <f>'[1]JULY 2023'!F10</f>
        <v>0</v>
      </c>
      <c r="G1684" s="4"/>
      <c r="H1684" s="4"/>
    </row>
    <row r="1685" spans="1:8" x14ac:dyDescent="0.2">
      <c r="A1685" s="20">
        <f>'[1]JULY 2023'!A11</f>
        <v>45109</v>
      </c>
      <c r="B1685" s="12" t="str">
        <f>'[1]JULY 2023'!B11</f>
        <v>Rauchen</v>
      </c>
      <c r="C1685" s="3">
        <f>'[1]JULY 2023'!C11</f>
        <v>0</v>
      </c>
      <c r="D1685" s="3">
        <f>'[1]JULY 2023'!D11</f>
        <v>150</v>
      </c>
      <c r="E1685" s="4">
        <f>'[1]JULY 2023'!E11</f>
        <v>0</v>
      </c>
      <c r="F1685" s="6">
        <f>'[1]JULY 2023'!F11</f>
        <v>0</v>
      </c>
      <c r="G1685" s="4"/>
      <c r="H1685" s="4"/>
    </row>
    <row r="1686" spans="1:8" x14ac:dyDescent="0.2">
      <c r="A1686" s="23">
        <f>'[1]JULY 2023'!A12</f>
        <v>45109</v>
      </c>
      <c r="B1686" s="12" t="str">
        <f>'[1]JULY 2023'!B12</f>
        <v>VM</v>
      </c>
      <c r="C1686" s="3">
        <f>'[1]JULY 2023'!C12</f>
        <v>0</v>
      </c>
      <c r="D1686" s="3">
        <f>'[1]JULY 2023'!D12</f>
        <v>0</v>
      </c>
      <c r="E1686" s="4">
        <f>'[1]JULY 2023'!E12</f>
        <v>0</v>
      </c>
      <c r="F1686" s="6">
        <f>'[1]JULY 2023'!F12</f>
        <v>68.31</v>
      </c>
      <c r="G1686" s="4"/>
      <c r="H1686" s="4"/>
    </row>
    <row r="1687" spans="1:8" x14ac:dyDescent="0.2">
      <c r="A1687" s="23">
        <f>'[1]JULY 2023'!A16</f>
        <v>45110</v>
      </c>
      <c r="B1687" s="12" t="str">
        <f>'[1]JULY 2023'!B16</f>
        <v>LM</v>
      </c>
      <c r="C1687" s="3">
        <f>'[1]JULY 2023'!C16</f>
        <v>0</v>
      </c>
      <c r="D1687" s="3">
        <f>'[1]JULY 2023'!D16</f>
        <v>549.96</v>
      </c>
      <c r="E1687" s="4">
        <f>'[1]JULY 2023'!E16</f>
        <v>0</v>
      </c>
      <c r="F1687" s="6">
        <f>'[1]JULY 2023'!F16</f>
        <v>0</v>
      </c>
      <c r="G1687" s="4"/>
      <c r="H1687" s="4"/>
    </row>
    <row r="1688" spans="1:8" x14ac:dyDescent="0.2">
      <c r="A1688" s="20">
        <f>'[1]JULY 2023'!A17</f>
        <v>45110</v>
      </c>
      <c r="B1688" s="12" t="str">
        <f>'[1]JULY 2023'!B17</f>
        <v>none</v>
      </c>
      <c r="C1688" s="3">
        <f>'[1]JULY 2023'!C17</f>
        <v>15000</v>
      </c>
      <c r="D1688" s="3">
        <f>'[1]JULY 2023'!D17</f>
        <v>0</v>
      </c>
      <c r="E1688" s="4">
        <f>'[1]JULY 2023'!E17</f>
        <v>0</v>
      </c>
      <c r="F1688" s="6">
        <f>'[1]JULY 2023'!F17</f>
        <v>15000</v>
      </c>
      <c r="G1688" s="4"/>
      <c r="H1688" s="4"/>
    </row>
    <row r="1689" spans="1:8" x14ac:dyDescent="0.2">
      <c r="A1689" s="23">
        <f>'[1]JULY 2023'!A18</f>
        <v>45110</v>
      </c>
      <c r="B1689" s="12" t="str">
        <f>'[1]JULY 2023'!B18</f>
        <v>VM</v>
      </c>
      <c r="C1689" s="3">
        <f>'[1]JULY 2023'!C18</f>
        <v>0</v>
      </c>
      <c r="D1689" s="3">
        <f>'[1]JULY 2023'!D18</f>
        <v>0</v>
      </c>
      <c r="E1689" s="4">
        <f>'[1]JULY 2023'!E18</f>
        <v>0</v>
      </c>
      <c r="F1689" s="6">
        <f>'[1]JULY 2023'!F18</f>
        <v>84.48</v>
      </c>
      <c r="G1689" s="4"/>
      <c r="H1689" s="4"/>
    </row>
    <row r="1690" spans="1:8" x14ac:dyDescent="0.2">
      <c r="A1690" s="20">
        <f>'[1]JULY 2023'!A23</f>
        <v>45111</v>
      </c>
      <c r="B1690" s="12" t="str">
        <f>'[1]JULY 2023'!B23</f>
        <v>Rauchen</v>
      </c>
      <c r="C1690" s="3">
        <f>'[1]JULY 2023'!C23</f>
        <v>0</v>
      </c>
      <c r="D1690" s="3">
        <f>'[1]JULY 2023'!D23</f>
        <v>150</v>
      </c>
      <c r="E1690" s="4">
        <f>'[1]JULY 2023'!E23</f>
        <v>0</v>
      </c>
      <c r="F1690" s="6">
        <f>'[1]JULY 2023'!F23</f>
        <v>0</v>
      </c>
      <c r="G1690" s="4"/>
      <c r="H1690" s="4"/>
    </row>
    <row r="1691" spans="1:8" x14ac:dyDescent="0.2">
      <c r="A1691" s="23">
        <f>'[1]JULY 2023'!A24</f>
        <v>45111</v>
      </c>
      <c r="B1691" s="12" t="str">
        <f>'[1]JULY 2023'!B24</f>
        <v>LM</v>
      </c>
      <c r="C1691" s="3">
        <f>'[1]JULY 2023'!C24</f>
        <v>0</v>
      </c>
      <c r="D1691" s="3">
        <f>'[1]JULY 2023'!D24</f>
        <v>300</v>
      </c>
      <c r="E1691" s="4">
        <f>'[1]JULY 2023'!E24</f>
        <v>0</v>
      </c>
      <c r="F1691" s="6">
        <f>'[1]JULY 2023'!F24</f>
        <v>0</v>
      </c>
      <c r="G1691" s="4"/>
      <c r="H1691" s="4"/>
    </row>
    <row r="1692" spans="1:8" x14ac:dyDescent="0.2">
      <c r="A1692" s="20">
        <f>'[1]JULY 2023'!A25</f>
        <v>45111</v>
      </c>
      <c r="B1692" s="12" t="str">
        <f>'[1]JULY 2023'!B25</f>
        <v>VM</v>
      </c>
      <c r="C1692" s="3">
        <f>'[1]JULY 2023'!C25</f>
        <v>0</v>
      </c>
      <c r="D1692" s="3">
        <f>'[1]JULY 2023'!D25</f>
        <v>0</v>
      </c>
      <c r="E1692" s="4">
        <f>'[1]JULY 2023'!E25</f>
        <v>0</v>
      </c>
      <c r="F1692" s="6">
        <f>'[1]JULY 2023'!F25</f>
        <v>64.710000000000008</v>
      </c>
      <c r="G1692" s="4"/>
      <c r="H1692" s="4"/>
    </row>
    <row r="1693" spans="1:8" x14ac:dyDescent="0.2">
      <c r="A1693" s="23">
        <f>'[1]JULY 2023'!A30</f>
        <v>45112</v>
      </c>
      <c r="B1693" s="12" t="str">
        <f>'[1]JULY 2023'!B30</f>
        <v>LM</v>
      </c>
      <c r="C1693" s="3">
        <f>'[1]JULY 2023'!C30</f>
        <v>0</v>
      </c>
      <c r="D1693" s="3">
        <f>'[1]JULY 2023'!D30</f>
        <v>740</v>
      </c>
      <c r="E1693" s="4">
        <f>'[1]JULY 2023'!E30</f>
        <v>0</v>
      </c>
      <c r="F1693" s="6">
        <f>'[1]JULY 2023'!F30</f>
        <v>0</v>
      </c>
      <c r="G1693" s="4"/>
      <c r="H1693" s="4"/>
    </row>
    <row r="1694" spans="1:8" x14ac:dyDescent="0.2">
      <c r="A1694" s="20">
        <f>'[1]JULY 2023'!A31</f>
        <v>45112</v>
      </c>
      <c r="B1694" s="12" t="str">
        <f>'[1]JULY 2023'!B31</f>
        <v>for me</v>
      </c>
      <c r="C1694" s="3">
        <f>'[1]JULY 2023'!C31</f>
        <v>0</v>
      </c>
      <c r="D1694" s="3">
        <f>'[1]JULY 2023'!D31</f>
        <v>0</v>
      </c>
      <c r="E1694" s="4">
        <f>'[1]JULY 2023'!E31</f>
        <v>0</v>
      </c>
      <c r="F1694" s="6">
        <f>'[1]JULY 2023'!F31</f>
        <v>1100</v>
      </c>
      <c r="G1694" s="4"/>
      <c r="H1694" s="4"/>
    </row>
    <row r="1695" spans="1:8" x14ac:dyDescent="0.2">
      <c r="A1695" s="23">
        <f>'[1]JULY 2023'!A32</f>
        <v>45112</v>
      </c>
      <c r="B1695" s="12" t="str">
        <f>'[1]JULY 2023'!B32</f>
        <v>VM</v>
      </c>
      <c r="C1695" s="3">
        <f>'[1]JULY 2023'!C32</f>
        <v>0</v>
      </c>
      <c r="D1695" s="3">
        <f>'[1]JULY 2023'!D32</f>
        <v>0</v>
      </c>
      <c r="E1695" s="4">
        <f>'[1]JULY 2023'!E32</f>
        <v>0</v>
      </c>
      <c r="F1695" s="6">
        <f>'[1]JULY 2023'!F32</f>
        <v>117.12</v>
      </c>
      <c r="G1695" s="4"/>
      <c r="H1695" s="4"/>
    </row>
    <row r="1696" spans="1:8" x14ac:dyDescent="0.2">
      <c r="A1696" s="20">
        <f>'[1]JULY 2023'!A37</f>
        <v>45113</v>
      </c>
      <c r="B1696" s="12" t="str">
        <f>'[1]JULY 2023'!B37</f>
        <v>LM</v>
      </c>
      <c r="C1696" s="3">
        <f>'[1]JULY 2023'!C37</f>
        <v>0</v>
      </c>
      <c r="D1696" s="3">
        <f>'[1]JULY 2023'!D37</f>
        <v>200</v>
      </c>
      <c r="E1696" s="4">
        <f>'[1]JULY 2023'!E37</f>
        <v>0</v>
      </c>
      <c r="F1696" s="6">
        <f>'[1]JULY 2023'!F37</f>
        <v>0</v>
      </c>
      <c r="G1696" s="4"/>
      <c r="H1696" s="4"/>
    </row>
    <row r="1697" spans="1:8" x14ac:dyDescent="0.2">
      <c r="A1697" s="23">
        <f>'[1]JULY 2023'!A38</f>
        <v>45113</v>
      </c>
      <c r="B1697" s="12" t="str">
        <f>'[1]JULY 2023'!B38</f>
        <v>Party</v>
      </c>
      <c r="C1697" s="3">
        <f>'[1]JULY 2023'!C38</f>
        <v>0</v>
      </c>
      <c r="D1697" s="3">
        <f>'[1]JULY 2023'!D38</f>
        <v>450</v>
      </c>
      <c r="E1697" s="4">
        <f>'[1]JULY 2023'!E38</f>
        <v>0</v>
      </c>
      <c r="F1697" s="6">
        <f>'[1]JULY 2023'!F38</f>
        <v>0</v>
      </c>
      <c r="G1697" s="4"/>
      <c r="H1697" s="4"/>
    </row>
    <row r="1698" spans="1:8" x14ac:dyDescent="0.2">
      <c r="A1698" s="20">
        <f>'[1]JULY 2023'!A39</f>
        <v>45113</v>
      </c>
      <c r="B1698" s="12" t="str">
        <f>'[1]JULY 2023'!B39</f>
        <v>VM</v>
      </c>
      <c r="C1698" s="3">
        <f>'[1]JULY 2023'!C39</f>
        <v>0</v>
      </c>
      <c r="D1698" s="3">
        <f>'[1]JULY 2023'!D39</f>
        <v>0</v>
      </c>
      <c r="E1698" s="4">
        <f>'[1]JULY 2023'!E39</f>
        <v>0</v>
      </c>
      <c r="F1698" s="6">
        <f>'[1]JULY 2023'!F39</f>
        <v>90.79</v>
      </c>
      <c r="G1698" s="4"/>
      <c r="H1698" s="4"/>
    </row>
    <row r="1699" spans="1:8" x14ac:dyDescent="0.2">
      <c r="A1699" s="23">
        <f>'[1]JULY 2023'!A44</f>
        <v>45114</v>
      </c>
      <c r="B1699" s="12" t="str">
        <f>'[1]JULY 2023'!B44</f>
        <v>VM</v>
      </c>
      <c r="C1699" s="3">
        <f>'[1]JULY 2023'!C44</f>
        <v>0</v>
      </c>
      <c r="D1699" s="3">
        <f>'[1]JULY 2023'!D44</f>
        <v>1901</v>
      </c>
      <c r="E1699" s="4">
        <f>'[1]JULY 2023'!E44</f>
        <v>0</v>
      </c>
      <c r="F1699" s="6">
        <f>'[1]JULY 2023'!F44</f>
        <v>0</v>
      </c>
      <c r="G1699" s="4"/>
      <c r="H1699" s="4"/>
    </row>
    <row r="1700" spans="1:8" x14ac:dyDescent="0.2">
      <c r="A1700" s="20">
        <f>'[1]JULY 2023'!A45</f>
        <v>45114</v>
      </c>
      <c r="B1700" s="12" t="str">
        <f>'[1]JULY 2023'!B45</f>
        <v>Andere</v>
      </c>
      <c r="C1700" s="3">
        <f>'[1]JULY 2023'!C45</f>
        <v>0</v>
      </c>
      <c r="D1700" s="3">
        <f>'[1]JULY 2023'!D45</f>
        <v>1000</v>
      </c>
      <c r="E1700" s="4">
        <f>'[1]JULY 2023'!E45</f>
        <v>0</v>
      </c>
      <c r="F1700" s="6">
        <f>'[1]JULY 2023'!F45</f>
        <v>0</v>
      </c>
      <c r="G1700" s="4"/>
      <c r="H1700" s="4"/>
    </row>
    <row r="1701" spans="1:8" x14ac:dyDescent="0.2">
      <c r="A1701" s="23">
        <f>'[1]JULY 2023'!A46</f>
        <v>45114</v>
      </c>
      <c r="B1701" s="12" t="str">
        <f>'[1]JULY 2023'!B46</f>
        <v>Rauchen</v>
      </c>
      <c r="C1701" s="3">
        <f>'[1]JULY 2023'!C46</f>
        <v>0</v>
      </c>
      <c r="D1701" s="3">
        <f>'[1]JULY 2023'!D46</f>
        <v>145</v>
      </c>
      <c r="E1701" s="4">
        <f>'[1]JULY 2023'!E46</f>
        <v>0</v>
      </c>
      <c r="F1701" s="6">
        <f>'[1]JULY 2023'!F46</f>
        <v>0</v>
      </c>
      <c r="G1701" s="4"/>
      <c r="H1701" s="4"/>
    </row>
    <row r="1702" spans="1:8" x14ac:dyDescent="0.2">
      <c r="A1702" s="20">
        <f>'[1]JULY 2023'!A47</f>
        <v>45114</v>
      </c>
      <c r="B1702" s="12" t="str">
        <f>'[1]JULY 2023'!B47</f>
        <v>LM</v>
      </c>
      <c r="C1702" s="3">
        <f>'[1]JULY 2023'!C47</f>
        <v>0</v>
      </c>
      <c r="D1702" s="3">
        <f>'[1]JULY 2023'!D47</f>
        <v>5331</v>
      </c>
      <c r="E1702" s="4">
        <f>'[1]JULY 2023'!E47</f>
        <v>0</v>
      </c>
      <c r="F1702" s="6">
        <f>'[1]JULY 2023'!F47</f>
        <v>0</v>
      </c>
      <c r="G1702" s="4"/>
      <c r="H1702" s="4"/>
    </row>
    <row r="1703" spans="1:8" x14ac:dyDescent="0.2">
      <c r="A1703" s="23">
        <f>'[1]JULY 2023'!A48</f>
        <v>45114</v>
      </c>
      <c r="B1703" s="12" t="str">
        <f>'[1]JULY 2023'!B48</f>
        <v>Refill</v>
      </c>
      <c r="C1703" s="3">
        <f>'[1]JULY 2023'!C48</f>
        <v>57470.14</v>
      </c>
      <c r="D1703" s="3">
        <f>'[1]JULY 2023'!D48</f>
        <v>0</v>
      </c>
      <c r="E1703" s="4">
        <f>'[1]JULY 2023'!E48</f>
        <v>0</v>
      </c>
      <c r="F1703" s="6">
        <f>'[1]JULY 2023'!F48</f>
        <v>0</v>
      </c>
      <c r="G1703" s="4"/>
      <c r="H1703" s="4"/>
    </row>
    <row r="1704" spans="1:8" x14ac:dyDescent="0.2">
      <c r="A1704" s="20">
        <f>'[1]JULY 2023'!A65</f>
        <v>45117</v>
      </c>
      <c r="B1704" s="12" t="str">
        <f>'[1]JULY 2023'!B65</f>
        <v>for me</v>
      </c>
      <c r="C1704" s="3">
        <f>'[1]JULY 2023'!C65</f>
        <v>0</v>
      </c>
      <c r="D1704" s="3">
        <f>'[1]JULY 2023'!D65</f>
        <v>2600</v>
      </c>
      <c r="E1704" s="4">
        <f>'[1]JULY 2023'!E65</f>
        <v>0</v>
      </c>
      <c r="F1704" s="6">
        <f>'[1]JULY 2023'!F65</f>
        <v>0</v>
      </c>
      <c r="G1704" s="4"/>
      <c r="H1704" s="4"/>
    </row>
    <row r="1705" spans="1:8" x14ac:dyDescent="0.2">
      <c r="A1705" s="23">
        <f>'[1]JULY 2023'!A72</f>
        <v>45118</v>
      </c>
      <c r="B1705" s="12" t="str">
        <f>'[1]JULY 2023'!B72</f>
        <v>Rauchen</v>
      </c>
      <c r="C1705" s="3">
        <f>'[1]JULY 2023'!C72</f>
        <v>0</v>
      </c>
      <c r="D1705" s="3">
        <f>'[1]JULY 2023'!D72</f>
        <v>134.99</v>
      </c>
      <c r="E1705" s="4">
        <f>'[1]JULY 2023'!E72</f>
        <v>0</v>
      </c>
      <c r="F1705" s="6">
        <f>'[1]JULY 2023'!F72</f>
        <v>0</v>
      </c>
      <c r="G1705" s="4"/>
      <c r="H1705" s="4"/>
    </row>
    <row r="1706" spans="1:8" x14ac:dyDescent="0.2">
      <c r="A1706" s="20">
        <f>'[1]JULY 2023'!A73</f>
        <v>45118</v>
      </c>
      <c r="B1706" s="12" t="str">
        <f>'[1]JULY 2023'!B73</f>
        <v>LM</v>
      </c>
      <c r="C1706" s="3">
        <f>'[1]JULY 2023'!C73</f>
        <v>0</v>
      </c>
      <c r="D1706" s="3">
        <f>'[1]JULY 2023'!D73</f>
        <v>799</v>
      </c>
      <c r="E1706" s="4">
        <f>'[1]JULY 2023'!E73</f>
        <v>0</v>
      </c>
      <c r="F1706" s="6">
        <f>'[1]JULY 2023'!F73</f>
        <v>0</v>
      </c>
      <c r="G1706" s="4"/>
      <c r="H1706" s="4"/>
    </row>
    <row r="1707" spans="1:8" x14ac:dyDescent="0.2">
      <c r="A1707" s="23">
        <f>'[1]JULY 2023'!A74</f>
        <v>45118</v>
      </c>
      <c r="B1707" s="12" t="str">
        <f>'[1]JULY 2023'!B74</f>
        <v>none</v>
      </c>
      <c r="C1707" s="3">
        <f>'[1]JULY 2023'!C74</f>
        <v>0</v>
      </c>
      <c r="D1707" s="3">
        <f>'[1]JULY 2023'!D74</f>
        <v>0.22</v>
      </c>
      <c r="E1707" s="4">
        <f>'[1]JULY 2023'!E74</f>
        <v>0</v>
      </c>
      <c r="F1707" s="6">
        <f>'[1]JULY 2023'!F74</f>
        <v>0</v>
      </c>
      <c r="G1707" s="4"/>
      <c r="H1707" s="4"/>
    </row>
    <row r="1708" spans="1:8" x14ac:dyDescent="0.2">
      <c r="A1708" s="20">
        <f>'[1]JULY 2023'!A79</f>
        <v>45119</v>
      </c>
      <c r="B1708" s="12" t="str">
        <f>'[1]JULY 2023'!B79</f>
        <v>Andere</v>
      </c>
      <c r="C1708" s="3">
        <f>'[1]JULY 2023'!C79</f>
        <v>0</v>
      </c>
      <c r="D1708" s="3">
        <f>'[1]JULY 2023'!D79</f>
        <v>3711</v>
      </c>
      <c r="E1708" s="4">
        <f>'[1]JULY 2023'!E79</f>
        <v>0</v>
      </c>
      <c r="F1708" s="6">
        <f>'[1]JULY 2023'!F79</f>
        <v>0</v>
      </c>
      <c r="G1708" s="4"/>
      <c r="H1708" s="4"/>
    </row>
    <row r="1709" spans="1:8" x14ac:dyDescent="0.2">
      <c r="A1709" s="23">
        <f>'[1]JULY 2023'!A86</f>
        <v>45120</v>
      </c>
      <c r="B1709" s="12" t="str">
        <f>'[1]JULY 2023'!B86</f>
        <v>Andere</v>
      </c>
      <c r="C1709" s="3">
        <f>'[1]JULY 2023'!C86</f>
        <v>0</v>
      </c>
      <c r="D1709" s="3">
        <f>'[1]JULY 2023'!D86</f>
        <v>969.8</v>
      </c>
      <c r="E1709" s="4">
        <f>'[1]JULY 2023'!E86</f>
        <v>0</v>
      </c>
      <c r="F1709" s="6">
        <f>'[1]JULY 2023'!F86</f>
        <v>0</v>
      </c>
      <c r="G1709" s="4"/>
      <c r="H1709" s="4"/>
    </row>
    <row r="1710" spans="1:8" x14ac:dyDescent="0.2">
      <c r="A1710" s="20">
        <f>'[1]JULY 2023'!A87</f>
        <v>45120</v>
      </c>
      <c r="B1710" s="12" t="str">
        <f>'[1]JULY 2023'!B87</f>
        <v>LM</v>
      </c>
      <c r="C1710" s="3">
        <f>'[1]JULY 2023'!C87</f>
        <v>0</v>
      </c>
      <c r="D1710" s="3">
        <f>'[1]JULY 2023'!D87</f>
        <v>8542.4399999999987</v>
      </c>
      <c r="E1710" s="4">
        <f>'[1]JULY 2023'!E87</f>
        <v>0</v>
      </c>
      <c r="F1710" s="6">
        <f>'[1]JULY 2023'!F87</f>
        <v>0</v>
      </c>
      <c r="G1710" s="4"/>
      <c r="H1710" s="4"/>
    </row>
    <row r="1711" spans="1:8" x14ac:dyDescent="0.2">
      <c r="A1711" s="20">
        <f>'[1]JULY 2023'!A93</f>
        <v>45121</v>
      </c>
      <c r="B1711" s="12" t="str">
        <f>'[1]JULY 2023'!B93</f>
        <v>Rauchen</v>
      </c>
      <c r="C1711" s="3">
        <f>'[1]JULY 2023'!C93</f>
        <v>0</v>
      </c>
      <c r="D1711" s="3">
        <f>'[1]JULY 2023'!D93</f>
        <v>700</v>
      </c>
      <c r="E1711" s="4">
        <f>'[1]JULY 2023'!E93</f>
        <v>0</v>
      </c>
      <c r="F1711" s="6">
        <f>'[1]JULY 2023'!F93</f>
        <v>0</v>
      </c>
      <c r="G1711" s="4"/>
      <c r="H1711" s="4"/>
    </row>
    <row r="1712" spans="1:8" x14ac:dyDescent="0.2">
      <c r="A1712" s="23">
        <f>'[1]JULY 2023'!A94</f>
        <v>45121</v>
      </c>
      <c r="B1712" s="12" t="str">
        <f>'[1]JULY 2023'!B94</f>
        <v>Party</v>
      </c>
      <c r="C1712" s="3">
        <f>'[1]JULY 2023'!C94</f>
        <v>0</v>
      </c>
      <c r="D1712" s="3">
        <f>'[1]JULY 2023'!D94</f>
        <v>4721.5</v>
      </c>
      <c r="E1712" s="4">
        <f>'[1]JULY 2023'!E94</f>
        <v>0</v>
      </c>
      <c r="F1712" s="6">
        <f>'[1]JULY 2023'!F94</f>
        <v>0</v>
      </c>
      <c r="G1712" s="4"/>
      <c r="H1712" s="4"/>
    </row>
    <row r="1713" spans="1:8" x14ac:dyDescent="0.2">
      <c r="A1713" s="20">
        <f>'[1]JULY 2023'!A95</f>
        <v>45121</v>
      </c>
      <c r="B1713" s="12" t="str">
        <f>'[1]JULY 2023'!B95</f>
        <v>none</v>
      </c>
      <c r="C1713" s="3">
        <f>'[1]JULY 2023'!C95</f>
        <v>0</v>
      </c>
      <c r="D1713" s="3">
        <f>'[1]JULY 2023'!D95</f>
        <v>615</v>
      </c>
      <c r="E1713" s="4">
        <f>'[1]JULY 2023'!E95</f>
        <v>615</v>
      </c>
      <c r="F1713" s="6">
        <f>'[1]JULY 2023'!F95</f>
        <v>0</v>
      </c>
      <c r="G1713" s="4"/>
      <c r="H1713" s="4"/>
    </row>
    <row r="1714" spans="1:8" x14ac:dyDescent="0.2">
      <c r="A1714" s="20">
        <f>'[1]JULY 2023'!A107</f>
        <v>45123</v>
      </c>
      <c r="B1714" s="12" t="str">
        <f>'[1]JULY 2023'!B107</f>
        <v>LM</v>
      </c>
      <c r="C1714" s="3">
        <f>'[1]JULY 2023'!C107</f>
        <v>0</v>
      </c>
      <c r="D1714" s="3">
        <f>'[1]JULY 2023'!D107</f>
        <v>159.78</v>
      </c>
      <c r="E1714" s="4">
        <f>'[1]JULY 2023'!E107</f>
        <v>0</v>
      </c>
      <c r="F1714" s="6">
        <f>'[1]JULY 2023'!F107</f>
        <v>0</v>
      </c>
      <c r="G1714" s="4"/>
      <c r="H1714" s="4"/>
    </row>
    <row r="1715" spans="1:8" x14ac:dyDescent="0.2">
      <c r="A1715" s="23">
        <f>'[1]JULY 2023'!A114</f>
        <v>45124</v>
      </c>
      <c r="B1715" s="12" t="str">
        <f>'[1]JULY 2023'!B114</f>
        <v>Rauchen</v>
      </c>
      <c r="C1715" s="3">
        <f>'[1]JULY 2023'!C114</f>
        <v>0</v>
      </c>
      <c r="D1715" s="3">
        <f>'[1]JULY 2023'!D114</f>
        <v>139</v>
      </c>
      <c r="E1715" s="4">
        <f>'[1]JULY 2023'!E114</f>
        <v>0</v>
      </c>
      <c r="F1715" s="6">
        <f>'[1]JULY 2023'!F114</f>
        <v>0</v>
      </c>
      <c r="G1715" s="4"/>
      <c r="H1715" s="4"/>
    </row>
    <row r="1716" spans="1:8" x14ac:dyDescent="0.2">
      <c r="A1716" s="20">
        <f>'[1]JULY 2023'!A115</f>
        <v>45124</v>
      </c>
      <c r="B1716" s="12" t="str">
        <f>'[1]JULY 2023'!B115</f>
        <v>Andere</v>
      </c>
      <c r="C1716" s="3">
        <f>'[1]JULY 2023'!C115</f>
        <v>0</v>
      </c>
      <c r="D1716" s="3">
        <f>'[1]JULY 2023'!D115</f>
        <v>600</v>
      </c>
      <c r="E1716" s="4">
        <f>'[1]JULY 2023'!E115</f>
        <v>0</v>
      </c>
      <c r="F1716" s="6">
        <f>'[1]JULY 2023'!F115</f>
        <v>0</v>
      </c>
      <c r="G1716" s="4"/>
      <c r="H1716" s="4"/>
    </row>
    <row r="1717" spans="1:8" x14ac:dyDescent="0.2">
      <c r="A1717" s="23">
        <f>'[1]JULY 2023'!A128</f>
        <v>45126</v>
      </c>
      <c r="B1717" s="12" t="str">
        <f>'[1]JULY 2023'!B128</f>
        <v>LM</v>
      </c>
      <c r="C1717" s="3">
        <f>'[1]JULY 2023'!C128</f>
        <v>0</v>
      </c>
      <c r="D1717" s="3">
        <f>'[1]JULY 2023'!D128</f>
        <v>0</v>
      </c>
      <c r="E1717" s="4">
        <f>'[1]JULY 2023'!E128</f>
        <v>0</v>
      </c>
      <c r="F1717" s="6">
        <f>'[1]JULY 2023'!F128</f>
        <v>390</v>
      </c>
      <c r="G1717" s="4"/>
      <c r="H1717" s="4"/>
    </row>
    <row r="1718" spans="1:8" x14ac:dyDescent="0.2">
      <c r="A1718" s="20">
        <f>'[1]JULY 2023'!A135</f>
        <v>45127</v>
      </c>
      <c r="B1718" s="12" t="str">
        <f>'[1]JULY 2023'!B135</f>
        <v>Andere</v>
      </c>
      <c r="C1718" s="3">
        <f>'[1]JULY 2023'!C135</f>
        <v>0</v>
      </c>
      <c r="D1718" s="3">
        <f>'[1]JULY 2023'!D135</f>
        <v>1200</v>
      </c>
      <c r="E1718" s="4">
        <f>'[1]JULY 2023'!E135</f>
        <v>0</v>
      </c>
      <c r="F1718" s="6">
        <f>'[1]JULY 2023'!F135</f>
        <v>0</v>
      </c>
      <c r="G1718" s="4"/>
      <c r="H1718" s="4"/>
    </row>
    <row r="1719" spans="1:8" x14ac:dyDescent="0.2">
      <c r="A1719" s="23">
        <f>'[1]JULY 2023'!A136</f>
        <v>45127</v>
      </c>
      <c r="B1719" s="12" t="str">
        <f>'[1]JULY 2023'!B136</f>
        <v>none</v>
      </c>
      <c r="C1719" s="3">
        <f>'[1]JULY 2023'!C136</f>
        <v>0</v>
      </c>
      <c r="D1719" s="3">
        <f>'[1]JULY 2023'!D136</f>
        <v>1200</v>
      </c>
      <c r="E1719" s="4">
        <f>'[1]JULY 2023'!E136</f>
        <v>1200</v>
      </c>
      <c r="F1719" s="6">
        <f>'[1]JULY 2023'!F136</f>
        <v>0</v>
      </c>
      <c r="G1719" s="4"/>
      <c r="H1719" s="4"/>
    </row>
    <row r="1720" spans="1:8" x14ac:dyDescent="0.2">
      <c r="A1720" s="20">
        <f>'[1]JULY 2023'!A137</f>
        <v>45127</v>
      </c>
      <c r="B1720" s="12" t="str">
        <f>'[1]JULY 2023'!B137</f>
        <v>LM</v>
      </c>
      <c r="C1720" s="3">
        <f>'[1]JULY 2023'!C137</f>
        <v>0</v>
      </c>
      <c r="D1720" s="3">
        <f>'[1]JULY 2023'!D137</f>
        <v>198.99</v>
      </c>
      <c r="E1720" s="4">
        <f>'[1]JULY 2023'!E137</f>
        <v>0</v>
      </c>
      <c r="F1720" s="6">
        <f>'[1]JULY 2023'!F137</f>
        <v>0</v>
      </c>
      <c r="G1720" s="4"/>
      <c r="H1720" s="4"/>
    </row>
    <row r="1721" spans="1:8" x14ac:dyDescent="0.2">
      <c r="A1721" s="23">
        <f>'[1]JULY 2023'!A142</f>
        <v>45128</v>
      </c>
      <c r="B1721" s="12" t="str">
        <f>'[1]JULY 2023'!B142</f>
        <v>LM</v>
      </c>
      <c r="C1721" s="3">
        <f>'[1]JULY 2023'!C142</f>
        <v>0</v>
      </c>
      <c r="D1721" s="3">
        <f>'[1]JULY 2023'!D142</f>
        <v>581.02</v>
      </c>
      <c r="E1721" s="4">
        <f>'[1]JULY 2023'!E142</f>
        <v>0</v>
      </c>
      <c r="F1721" s="6">
        <f>'[1]JULY 2023'!F142</f>
        <v>0</v>
      </c>
      <c r="G1721" s="4"/>
      <c r="H1721" s="4"/>
    </row>
    <row r="1722" spans="1:8" x14ac:dyDescent="0.2">
      <c r="A1722" s="20">
        <f>'[1]JULY 2023'!A149</f>
        <v>45129</v>
      </c>
      <c r="B1722" s="12" t="str">
        <f>'[1]JULY 2023'!B149</f>
        <v>Andere</v>
      </c>
      <c r="C1722" s="3">
        <f>'[1]JULY 2023'!C149</f>
        <v>0</v>
      </c>
      <c r="D1722" s="3">
        <f>'[1]JULY 2023'!D149</f>
        <v>6430</v>
      </c>
      <c r="E1722" s="4">
        <f>'[1]JULY 2023'!E149</f>
        <v>0</v>
      </c>
      <c r="F1722" s="6">
        <f>'[1]JULY 2023'!F149</f>
        <v>0</v>
      </c>
      <c r="G1722" s="4"/>
      <c r="H1722" s="4"/>
    </row>
    <row r="1723" spans="1:8" x14ac:dyDescent="0.2">
      <c r="A1723" s="23">
        <f>'[1]JULY 2023'!A150</f>
        <v>45129</v>
      </c>
      <c r="B1723" s="12" t="str">
        <f>'[1]JULY 2023'!B150</f>
        <v>LM</v>
      </c>
      <c r="C1723" s="3">
        <f>'[1]JULY 2023'!C150</f>
        <v>0</v>
      </c>
      <c r="D1723" s="3">
        <f>'[1]JULY 2023'!D150</f>
        <v>149</v>
      </c>
      <c r="E1723" s="4">
        <f>'[1]JULY 2023'!E150</f>
        <v>0</v>
      </c>
      <c r="F1723" s="6">
        <f>'[1]JULY 2023'!F150</f>
        <v>0</v>
      </c>
      <c r="G1723" s="4"/>
      <c r="H1723" s="4"/>
    </row>
    <row r="1724" spans="1:8" x14ac:dyDescent="0.2">
      <c r="A1724" s="23">
        <f>'[1]JULY 2023'!A156</f>
        <v>45130</v>
      </c>
      <c r="B1724" s="12" t="str">
        <f>'[1]JULY 2023'!B156</f>
        <v>LM</v>
      </c>
      <c r="C1724" s="3">
        <f>'[1]JULY 2023'!C156</f>
        <v>0</v>
      </c>
      <c r="D1724" s="3">
        <f>'[1]JULY 2023'!D156</f>
        <v>299.45</v>
      </c>
      <c r="E1724" s="4">
        <f>'[1]JULY 2023'!E156</f>
        <v>0</v>
      </c>
      <c r="F1724" s="6">
        <f>'[1]JULY 2023'!F156</f>
        <v>0</v>
      </c>
      <c r="G1724" s="4"/>
      <c r="H1724" s="4"/>
    </row>
    <row r="1725" spans="1:8" x14ac:dyDescent="0.2">
      <c r="A1725" s="20">
        <f>'[1]JULY 2023'!A163</f>
        <v>45131</v>
      </c>
      <c r="B1725" s="12" t="str">
        <f>'[1]JULY 2023'!B163</f>
        <v>LM</v>
      </c>
      <c r="C1725" s="3">
        <f>'[1]JULY 2023'!C163</f>
        <v>0</v>
      </c>
      <c r="D1725" s="3">
        <f>'[1]JULY 2023'!D163</f>
        <v>180</v>
      </c>
      <c r="E1725" s="4">
        <f>'[1]JULY 2023'!E163</f>
        <v>0</v>
      </c>
      <c r="F1725" s="6">
        <f>'[1]JULY 2023'!F163</f>
        <v>0</v>
      </c>
      <c r="G1725" s="4"/>
      <c r="H1725" s="4"/>
    </row>
    <row r="1726" spans="1:8" x14ac:dyDescent="0.2">
      <c r="A1726" s="23">
        <f>'[1]JULY 2023'!A164</f>
        <v>45131</v>
      </c>
      <c r="B1726" s="12" t="str">
        <f>'[1]JULY 2023'!B164</f>
        <v>Refill</v>
      </c>
      <c r="C1726" s="3">
        <f>'[1]JULY 2023'!C164</f>
        <v>42753.86</v>
      </c>
      <c r="D1726" s="3">
        <f>'[1]JULY 2023'!D164</f>
        <v>0</v>
      </c>
      <c r="E1726" s="4">
        <f>'[1]JULY 2023'!E164</f>
        <v>0</v>
      </c>
      <c r="F1726" s="6">
        <f>'[1]JULY 2023'!F164</f>
        <v>0</v>
      </c>
      <c r="G1726" s="4"/>
      <c r="H1726" s="4"/>
    </row>
    <row r="1727" spans="1:8" x14ac:dyDescent="0.2">
      <c r="A1727" s="20">
        <f>'[1]JULY 2023'!A165</f>
        <v>45131</v>
      </c>
      <c r="B1727" s="12" t="str">
        <f>'[1]JULY 2023'!B165</f>
        <v>VM</v>
      </c>
      <c r="C1727" s="3">
        <f>'[1]JULY 2023'!C165</f>
        <v>0</v>
      </c>
      <c r="D1727" s="3">
        <f>'[1]JULY 2023'!D165</f>
        <v>8003</v>
      </c>
      <c r="E1727" s="4">
        <f>'[1]JULY 2023'!E165</f>
        <v>0</v>
      </c>
      <c r="F1727" s="6">
        <f>'[1]JULY 2023'!F165</f>
        <v>0</v>
      </c>
      <c r="G1727" s="4"/>
      <c r="H1727" s="4"/>
    </row>
    <row r="1728" spans="1:8" x14ac:dyDescent="0.2">
      <c r="A1728" s="23">
        <f>'[1]JULY 2023'!A170</f>
        <v>45132</v>
      </c>
      <c r="B1728" s="12" t="str">
        <f>'[1]JULY 2023'!B170</f>
        <v>LM</v>
      </c>
      <c r="C1728" s="3">
        <f>'[1]JULY 2023'!C170</f>
        <v>0</v>
      </c>
      <c r="D1728" s="3">
        <f>'[1]JULY 2023'!D170</f>
        <v>376</v>
      </c>
      <c r="E1728" s="4">
        <f>'[1]JULY 2023'!E170</f>
        <v>0</v>
      </c>
      <c r="F1728" s="6">
        <f>'[1]JULY 2023'!F170</f>
        <v>0</v>
      </c>
      <c r="G1728" s="4"/>
      <c r="H1728" s="4"/>
    </row>
    <row r="1729" spans="1:8" x14ac:dyDescent="0.2">
      <c r="A1729" s="20">
        <f>'[1]JULY 2023'!A171</f>
        <v>45132</v>
      </c>
      <c r="B1729" s="12" t="str">
        <f>'[1]JULY 2023'!B171</f>
        <v>VM</v>
      </c>
      <c r="C1729" s="3">
        <f>'[1]JULY 2023'!C171</f>
        <v>0</v>
      </c>
      <c r="D1729" s="3">
        <f>'[1]JULY 2023'!D171</f>
        <v>1624</v>
      </c>
      <c r="E1729" s="4">
        <f>'[1]JULY 2023'!E171</f>
        <v>0</v>
      </c>
      <c r="F1729" s="6">
        <f>'[1]JULY 2023'!F171</f>
        <v>0</v>
      </c>
      <c r="G1729" s="4"/>
      <c r="H1729" s="4"/>
    </row>
    <row r="1730" spans="1:8" x14ac:dyDescent="0.2">
      <c r="A1730" s="20">
        <f>'[1]JULY 2023'!A177</f>
        <v>45133</v>
      </c>
      <c r="B1730" s="12" t="str">
        <f>'[1]JULY 2023'!B177</f>
        <v>Andere</v>
      </c>
      <c r="C1730" s="3">
        <f>'[1]JULY 2023'!C177</f>
        <v>0</v>
      </c>
      <c r="D1730" s="3">
        <f>'[1]JULY 2023'!D177</f>
        <v>1500</v>
      </c>
      <c r="E1730" s="4">
        <f>'[1]JULY 2023'!E177</f>
        <v>0</v>
      </c>
      <c r="F1730" s="6">
        <f>'[1]JULY 2023'!F177</f>
        <v>0</v>
      </c>
      <c r="G1730" s="4"/>
      <c r="H1730" s="4"/>
    </row>
    <row r="1731" spans="1:8" x14ac:dyDescent="0.2">
      <c r="A1731" s="23">
        <f>'[1]JULY 2023'!A178</f>
        <v>45133</v>
      </c>
      <c r="B1731" s="12" t="str">
        <f>'[1]JULY 2023'!B178</f>
        <v>Party</v>
      </c>
      <c r="C1731" s="3">
        <f>'[1]JULY 2023'!C178</f>
        <v>0</v>
      </c>
      <c r="D1731" s="3">
        <f>'[1]JULY 2023'!D178</f>
        <v>400</v>
      </c>
      <c r="E1731" s="4">
        <f>'[1]JULY 2023'!E178</f>
        <v>0</v>
      </c>
      <c r="F1731" s="6">
        <f>'[1]JULY 2023'!F178</f>
        <v>0</v>
      </c>
      <c r="G1731" s="4"/>
      <c r="H1731" s="4"/>
    </row>
    <row r="1732" spans="1:8" x14ac:dyDescent="0.2">
      <c r="A1732" s="20">
        <f>'[1]JULY 2023'!A179</f>
        <v>45133</v>
      </c>
      <c r="B1732" s="12" t="str">
        <f>'[1]JULY 2023'!B179</f>
        <v>LM</v>
      </c>
      <c r="C1732" s="3">
        <f>'[1]JULY 2023'!C179</f>
        <v>0</v>
      </c>
      <c r="D1732" s="3">
        <f>'[1]JULY 2023'!D179</f>
        <v>1242</v>
      </c>
      <c r="E1732" s="4">
        <f>'[1]JULY 2023'!E179</f>
        <v>0</v>
      </c>
      <c r="F1732" s="6">
        <f>'[1]JULY 2023'!F179</f>
        <v>0</v>
      </c>
      <c r="G1732" s="4"/>
      <c r="H1732" s="4"/>
    </row>
    <row r="1733" spans="1:8" x14ac:dyDescent="0.2">
      <c r="A1733" s="23">
        <f>'[1]JULY 2023'!A184</f>
        <v>45134</v>
      </c>
      <c r="B1733" s="12" t="str">
        <f>'[1]JULY 2023'!B184</f>
        <v>Rauchen</v>
      </c>
      <c r="C1733" s="3">
        <f>'[1]JULY 2023'!C184</f>
        <v>0</v>
      </c>
      <c r="D1733" s="3">
        <f>'[1]JULY 2023'!D184</f>
        <v>150</v>
      </c>
      <c r="E1733" s="4">
        <f>'[1]JULY 2023'!E184</f>
        <v>0</v>
      </c>
      <c r="F1733" s="6">
        <f>'[1]JULY 2023'!F184</f>
        <v>0</v>
      </c>
      <c r="G1733" s="4"/>
      <c r="H1733" s="4"/>
    </row>
    <row r="1734" spans="1:8" x14ac:dyDescent="0.2">
      <c r="A1734" s="20">
        <f>'[1]JULY 2023'!A191</f>
        <v>45135</v>
      </c>
      <c r="B1734" s="12" t="str">
        <f>'[1]JULY 2023'!B191</f>
        <v>LM</v>
      </c>
      <c r="C1734" s="3">
        <f>'[1]JULY 2023'!C191</f>
        <v>0</v>
      </c>
      <c r="D1734" s="3">
        <f>'[1]JULY 2023'!D191</f>
        <v>3152.99</v>
      </c>
      <c r="E1734" s="4">
        <f>'[1]JULY 2023'!E191</f>
        <v>0</v>
      </c>
      <c r="F1734" s="6">
        <f>'[1]JULY 2023'!F191</f>
        <v>0</v>
      </c>
      <c r="G1734" s="4"/>
      <c r="H1734" s="4"/>
    </row>
    <row r="1735" spans="1:8" x14ac:dyDescent="0.2">
      <c r="A1735" s="23">
        <f>'[1]JULY 2023'!A192</f>
        <v>45135</v>
      </c>
      <c r="B1735" s="12" t="str">
        <f>'[1]JULY 2023'!B192</f>
        <v>Andere</v>
      </c>
      <c r="C1735" s="3">
        <f>'[1]JULY 2023'!C192</f>
        <v>0</v>
      </c>
      <c r="D1735" s="3">
        <f>'[1]JULY 2023'!D192</f>
        <v>1000</v>
      </c>
      <c r="E1735" s="4">
        <f>'[1]JULY 2023'!E192</f>
        <v>0</v>
      </c>
      <c r="F1735" s="6">
        <f>'[1]JULY 2023'!F192</f>
        <v>0</v>
      </c>
      <c r="G1735" s="4"/>
      <c r="H1735" s="4"/>
    </row>
    <row r="1736" spans="1:8" x14ac:dyDescent="0.2">
      <c r="A1736" s="23">
        <f>'[1]JULY 2023'!A198</f>
        <v>45136</v>
      </c>
      <c r="B1736" s="12" t="str">
        <f>'[1]JULY 2023'!B198</f>
        <v>LM</v>
      </c>
      <c r="C1736" s="3">
        <f>'[1]JULY 2023'!C198</f>
        <v>0</v>
      </c>
      <c r="D1736" s="3">
        <f>'[1]JULY 2023'!D198</f>
        <v>3068.99</v>
      </c>
      <c r="E1736" s="4">
        <f>'[1]JULY 2023'!E198</f>
        <v>0</v>
      </c>
      <c r="F1736" s="6">
        <f>'[1]JULY 2023'!F198</f>
        <v>0</v>
      </c>
      <c r="G1736" s="4"/>
      <c r="H1736" s="4"/>
    </row>
    <row r="1737" spans="1:8" x14ac:dyDescent="0.2">
      <c r="A1737" s="20">
        <f>'[1]JULY 2023'!A199</f>
        <v>45136</v>
      </c>
      <c r="B1737" s="12" t="str">
        <f>'[1]JULY 2023'!B199</f>
        <v>Andere</v>
      </c>
      <c r="C1737" s="3">
        <f>'[1]JULY 2023'!C199</f>
        <v>0</v>
      </c>
      <c r="D1737" s="3">
        <f>'[1]JULY 2023'!D199</f>
        <v>50</v>
      </c>
      <c r="E1737" s="4">
        <f>'[1]JULY 2023'!E199</f>
        <v>0</v>
      </c>
      <c r="F1737" s="6">
        <f>'[1]JULY 2023'!F199</f>
        <v>0</v>
      </c>
      <c r="G1737" s="4"/>
      <c r="H1737" s="4"/>
    </row>
    <row r="1738" spans="1:8" x14ac:dyDescent="0.2">
      <c r="A1738" s="20">
        <f>'[1]JULY 2023'!A205</f>
        <v>45137</v>
      </c>
      <c r="B1738" s="12" t="str">
        <f>'[1]JULY 2023'!B205</f>
        <v>LM</v>
      </c>
      <c r="C1738" s="3">
        <f>'[1]JULY 2023'!C205</f>
        <v>0</v>
      </c>
      <c r="D1738" s="3">
        <f>'[1]JULY 2023'!D205</f>
        <v>1149.99</v>
      </c>
      <c r="E1738" s="4">
        <f>'[1]JULY 2023'!E205</f>
        <v>0</v>
      </c>
      <c r="F1738" s="6">
        <f>'[1]JULY 2023'!F205</f>
        <v>0</v>
      </c>
      <c r="G1738" s="4"/>
      <c r="H1738" s="4"/>
    </row>
    <row r="1739" spans="1:8" x14ac:dyDescent="0.2">
      <c r="A1739" s="23">
        <f>'[1]JULY 2023'!A206</f>
        <v>45137</v>
      </c>
      <c r="B1739" s="12" t="str">
        <f>'[1]JULY 2023'!B206</f>
        <v>Rauchen</v>
      </c>
      <c r="C1739" s="3">
        <f>'[1]JULY 2023'!C206</f>
        <v>0</v>
      </c>
      <c r="D1739" s="3">
        <f>'[1]JULY 2023'!D206</f>
        <v>150</v>
      </c>
      <c r="E1739" s="4">
        <f>'[1]JULY 2023'!E206</f>
        <v>0</v>
      </c>
      <c r="F1739" s="6">
        <f>'[1]JULY 2023'!F206</f>
        <v>0</v>
      </c>
      <c r="G1739" s="4"/>
      <c r="H1739" s="4"/>
    </row>
    <row r="1740" spans="1:8" x14ac:dyDescent="0.2">
      <c r="A1740" s="20">
        <f>'[1]JULY 2023'!A207</f>
        <v>45137</v>
      </c>
      <c r="B1740" s="12" t="str">
        <f>'[1]JULY 2023'!B207</f>
        <v>VM</v>
      </c>
      <c r="C1740" s="3">
        <f>'[1]JULY 2023'!C207</f>
        <v>0</v>
      </c>
      <c r="D1740" s="3">
        <f>'[1]JULY 2023'!D207</f>
        <v>112</v>
      </c>
      <c r="E1740" s="4">
        <f>'[1]JULY 2023'!E207</f>
        <v>0</v>
      </c>
      <c r="F1740" s="6">
        <f>'[1]JULY 2023'!F207</f>
        <v>23.37</v>
      </c>
      <c r="G1740" s="4"/>
      <c r="H1740" s="4"/>
    </row>
    <row r="1741" spans="1:8" x14ac:dyDescent="0.2">
      <c r="A1741" s="23">
        <f>'[1]JULY 2023'!A212</f>
        <v>45138</v>
      </c>
      <c r="B1741" s="12" t="str">
        <f>'[1]JULY 2023'!B212</f>
        <v>Andere</v>
      </c>
      <c r="C1741" s="3">
        <f>'[1]JULY 2023'!C212</f>
        <v>0</v>
      </c>
      <c r="D1741" s="3">
        <f>'[1]JULY 2023'!D212</f>
        <v>2000</v>
      </c>
      <c r="E1741" s="4">
        <f>'[1]JULY 2023'!E212</f>
        <v>0</v>
      </c>
      <c r="F1741" s="6">
        <f>'[1]JULY 2023'!F212</f>
        <v>0</v>
      </c>
      <c r="G1741" s="4"/>
      <c r="H1741" s="4"/>
    </row>
    <row r="1742" spans="1:8" x14ac:dyDescent="0.2">
      <c r="A1742" s="20">
        <f>'[1]JULY 2023'!A213</f>
        <v>45138</v>
      </c>
      <c r="B1742" s="12" t="str">
        <f>'[1]JULY 2023'!B213</f>
        <v>VM</v>
      </c>
      <c r="C1742" s="3">
        <f>'[1]JULY 2023'!C213</f>
        <v>0</v>
      </c>
      <c r="D1742" s="3">
        <f>'[1]JULY 2023'!D213</f>
        <v>168</v>
      </c>
      <c r="E1742" s="4">
        <f>'[1]JULY 2023'!E213</f>
        <v>0</v>
      </c>
      <c r="F1742" s="6">
        <f>'[1]JULY 2023'!F213</f>
        <v>0</v>
      </c>
      <c r="G1742" s="4"/>
      <c r="H1742" s="4"/>
    </row>
    <row r="1743" spans="1:8" x14ac:dyDescent="0.2">
      <c r="A1743" s="23">
        <f>'[1]JULY 2023'!A214</f>
        <v>45138</v>
      </c>
      <c r="B1743" s="12" t="str">
        <f>'[1]JULY 2023'!B214</f>
        <v>LM</v>
      </c>
      <c r="C1743" s="3">
        <f>'[1]JULY 2023'!C214</f>
        <v>0</v>
      </c>
      <c r="D1743" s="3">
        <f>'[1]JULY 2023'!D214</f>
        <v>320.97000000000003</v>
      </c>
      <c r="E1743" s="4">
        <f>'[1]JULY 2023'!E214</f>
        <v>0</v>
      </c>
      <c r="F1743" s="6">
        <f>'[1]JULY 2023'!F214</f>
        <v>0</v>
      </c>
      <c r="G1743" s="4"/>
      <c r="H1743" s="4"/>
    </row>
    <row r="1744" spans="1:8" x14ac:dyDescent="0.2">
      <c r="A1744" s="20">
        <f>'[1]JULY 2023'!A215</f>
        <v>45138</v>
      </c>
      <c r="B1744" s="12" t="str">
        <f>'[1]JULY 2023'!B215</f>
        <v>Refill</v>
      </c>
      <c r="C1744" s="3">
        <f>'[1]JULY 2023'!C215</f>
        <v>2643.49</v>
      </c>
      <c r="D1744" s="3">
        <f>'[1]JULY 2023'!D215</f>
        <v>0</v>
      </c>
      <c r="E1744" s="4">
        <f>'[1]JULY 2023'!E215</f>
        <v>0</v>
      </c>
      <c r="F1744" s="6">
        <f>'[1]JULY 2023'!F215</f>
        <v>0</v>
      </c>
      <c r="G1744" s="4"/>
      <c r="H1744" s="4"/>
    </row>
    <row r="1745" spans="1:8" x14ac:dyDescent="0.2">
      <c r="A1745" s="20">
        <f>'[1]AUGUST 2023'!A2</f>
        <v>45139</v>
      </c>
      <c r="B1745" s="12" t="str">
        <f>'[1]AUGUST 2023'!B2</f>
        <v>LM</v>
      </c>
      <c r="C1745" s="3">
        <f>'[1]AUGUST 2023'!C2</f>
        <v>0</v>
      </c>
      <c r="D1745" s="3">
        <f>'[1]AUGUST 2023'!D2</f>
        <v>450</v>
      </c>
      <c r="E1745" s="4">
        <f>'[1]AUGUST 2023'!E2</f>
        <v>0</v>
      </c>
      <c r="F1745" s="6">
        <f>'[1]AUGUST 2023'!F2</f>
        <v>0</v>
      </c>
      <c r="G1745" s="4"/>
      <c r="H1745" s="4"/>
    </row>
    <row r="1746" spans="1:8" x14ac:dyDescent="0.2">
      <c r="A1746" s="23">
        <f>'[1]AUGUST 2023'!A3</f>
        <v>45139</v>
      </c>
      <c r="B1746" s="12" t="str">
        <f>'[1]AUGUST 2023'!B3</f>
        <v>VM</v>
      </c>
      <c r="C1746" s="3">
        <f>'[1]AUGUST 2023'!C3</f>
        <v>0</v>
      </c>
      <c r="D1746" s="3">
        <f>'[1]AUGUST 2023'!D3</f>
        <v>0</v>
      </c>
      <c r="E1746" s="4">
        <f>'[1]AUGUST 2023'!E3</f>
        <v>0</v>
      </c>
      <c r="F1746" s="6">
        <f>'[1]AUGUST 2023'!F3</f>
        <v>44.34</v>
      </c>
      <c r="G1746" s="4"/>
      <c r="H1746" s="4"/>
    </row>
    <row r="1747" spans="1:8" x14ac:dyDescent="0.2">
      <c r="A1747" s="20">
        <f>'[1]AUGUST 2023'!A4</f>
        <v>45139</v>
      </c>
      <c r="B1747" s="12" t="str">
        <f>'[1]AUGUST 2023'!B4</f>
        <v>Andere</v>
      </c>
      <c r="C1747" s="3">
        <f>'[1]AUGUST 2023'!C4</f>
        <v>0</v>
      </c>
      <c r="D1747" s="3">
        <f>'[1]AUGUST 2023'!D4</f>
        <v>0</v>
      </c>
      <c r="E1747" s="4">
        <f>'[1]AUGUST 2023'!E4</f>
        <v>0</v>
      </c>
      <c r="F1747" s="6">
        <f>'[1]AUGUST 2023'!F4</f>
        <v>0</v>
      </c>
      <c r="G1747" s="4"/>
      <c r="H1747" s="4"/>
    </row>
    <row r="1748" spans="1:8" x14ac:dyDescent="0.2">
      <c r="A1748" s="23">
        <f>'[1]AUGUST 2023'!A5</f>
        <v>45139</v>
      </c>
      <c r="B1748" s="12" t="str">
        <f>'[1]AUGUST 2023'!B5</f>
        <v>Party</v>
      </c>
      <c r="C1748" s="3">
        <f>'[1]AUGUST 2023'!C5</f>
        <v>0</v>
      </c>
      <c r="D1748" s="3">
        <f>'[1]AUGUST 2023'!D5</f>
        <v>0</v>
      </c>
      <c r="E1748" s="4">
        <f>'[1]AUGUST 2023'!E5</f>
        <v>0</v>
      </c>
      <c r="F1748" s="6">
        <f>'[1]AUGUST 2023'!F5</f>
        <v>0</v>
      </c>
      <c r="G1748" s="4"/>
      <c r="H1748" s="4"/>
    </row>
    <row r="1749" spans="1:8" x14ac:dyDescent="0.2">
      <c r="A1749" s="20">
        <f>'[1]AUGUST 2023'!A6</f>
        <v>45139</v>
      </c>
      <c r="B1749" s="12" t="str">
        <f>'[1]AUGUST 2023'!B6</f>
        <v>for me</v>
      </c>
      <c r="C1749" s="3">
        <f>'[1]AUGUST 2023'!C6</f>
        <v>0</v>
      </c>
      <c r="D1749" s="3">
        <f>'[1]AUGUST 2023'!D6</f>
        <v>13612</v>
      </c>
      <c r="E1749" s="4">
        <f>'[1]AUGUST 2023'!E6</f>
        <v>0</v>
      </c>
      <c r="F1749" s="6">
        <f>'[1]AUGUST 2023'!F6</f>
        <v>0</v>
      </c>
      <c r="G1749" s="4"/>
      <c r="H1749" s="4"/>
    </row>
    <row r="1750" spans="1:8" x14ac:dyDescent="0.2">
      <c r="A1750" s="23">
        <f>'[1]AUGUST 2023'!A7</f>
        <v>45139</v>
      </c>
      <c r="B1750" s="12" t="str">
        <f>'[1]AUGUST 2023'!B7</f>
        <v>Kleidung</v>
      </c>
      <c r="C1750" s="3">
        <f>'[1]AUGUST 2023'!C7</f>
        <v>0</v>
      </c>
      <c r="D1750" s="3">
        <f>'[1]AUGUST 2023'!D7</f>
        <v>0</v>
      </c>
      <c r="E1750" s="4">
        <f>'[1]AUGUST 2023'!E7</f>
        <v>0</v>
      </c>
      <c r="F1750" s="6">
        <f>'[1]AUGUST 2023'!F7</f>
        <v>0</v>
      </c>
      <c r="G1750" s="4"/>
      <c r="H1750" s="4"/>
    </row>
    <row r="1751" spans="1:8" x14ac:dyDescent="0.2">
      <c r="A1751" s="23">
        <f>'[1]AUGUST 2023'!A9</f>
        <v>45140</v>
      </c>
      <c r="B1751" s="12" t="str">
        <f>'[1]AUGUST 2023'!B9</f>
        <v>LM</v>
      </c>
      <c r="C1751" s="3">
        <f>'[1]AUGUST 2023'!C9</f>
        <v>0</v>
      </c>
      <c r="D1751" s="3">
        <f>'[1]AUGUST 2023'!D9</f>
        <v>388.84</v>
      </c>
      <c r="E1751" s="4">
        <f>'[1]AUGUST 2023'!E9</f>
        <v>0</v>
      </c>
      <c r="F1751" s="6">
        <f>'[1]AUGUST 2023'!F9</f>
        <v>0</v>
      </c>
      <c r="G1751" s="4"/>
      <c r="H1751" s="4"/>
    </row>
    <row r="1752" spans="1:8" x14ac:dyDescent="0.2">
      <c r="A1752" s="20">
        <f>'[1]AUGUST 2023'!A10</f>
        <v>45140</v>
      </c>
      <c r="B1752" s="12" t="str">
        <f>'[1]AUGUST 2023'!B10</f>
        <v>VM</v>
      </c>
      <c r="C1752" s="3">
        <f>'[1]AUGUST 2023'!C10</f>
        <v>0</v>
      </c>
      <c r="D1752" s="3">
        <f>'[1]AUGUST 2023'!D10</f>
        <v>112</v>
      </c>
      <c r="E1752" s="4">
        <f>'[1]AUGUST 2023'!E10</f>
        <v>0</v>
      </c>
      <c r="F1752" s="6">
        <f>'[1]AUGUST 2023'!F10</f>
        <v>22.47</v>
      </c>
      <c r="G1752" s="4"/>
      <c r="H1752" s="4"/>
    </row>
    <row r="1753" spans="1:8" x14ac:dyDescent="0.2">
      <c r="A1753" s="23">
        <f>'[1]AUGUST 2023'!A11</f>
        <v>45140</v>
      </c>
      <c r="B1753" s="12" t="str">
        <f>'[1]AUGUST 2023'!B11</f>
        <v>rent</v>
      </c>
      <c r="C1753" s="3">
        <f>'[1]AUGUST 2023'!C11</f>
        <v>0</v>
      </c>
      <c r="D1753" s="3">
        <f>'[1]AUGUST 2023'!D11</f>
        <v>55000</v>
      </c>
      <c r="E1753" s="4">
        <f>'[1]AUGUST 2023'!E11</f>
        <v>0</v>
      </c>
      <c r="F1753" s="6">
        <f>'[1]AUGUST 2023'!F11</f>
        <v>0</v>
      </c>
      <c r="G1753" s="4"/>
      <c r="H1753" s="4"/>
    </row>
    <row r="1754" spans="1:8" x14ac:dyDescent="0.2">
      <c r="A1754" s="20">
        <f>'[1]AUGUST 2023'!A12</f>
        <v>45140</v>
      </c>
      <c r="B1754" s="12" t="str">
        <f>'[1]AUGUST 2023'!B12</f>
        <v>Rauchen</v>
      </c>
      <c r="C1754" s="3">
        <f>'[1]AUGUST 2023'!C12</f>
        <v>0</v>
      </c>
      <c r="D1754" s="3">
        <f>'[1]AUGUST 2023'!D12</f>
        <v>145</v>
      </c>
      <c r="E1754" s="4">
        <f>'[1]AUGUST 2023'!E12</f>
        <v>0</v>
      </c>
      <c r="F1754" s="6">
        <f>'[1]AUGUST 2023'!F12</f>
        <v>0</v>
      </c>
      <c r="G1754" s="4"/>
      <c r="H1754" s="4"/>
    </row>
    <row r="1755" spans="1:8" x14ac:dyDescent="0.2">
      <c r="A1755" s="20">
        <f>'[1]AUGUST 2023'!A16</f>
        <v>45141</v>
      </c>
      <c r="B1755" s="12" t="str">
        <f>'[1]AUGUST 2023'!B16</f>
        <v>LM</v>
      </c>
      <c r="C1755" s="3">
        <f>'[1]AUGUST 2023'!C16</f>
        <v>0</v>
      </c>
      <c r="D1755" s="3">
        <f>'[1]AUGUST 2023'!D16</f>
        <v>625</v>
      </c>
      <c r="E1755" s="4">
        <f>'[1]AUGUST 2023'!E16</f>
        <v>0</v>
      </c>
      <c r="F1755" s="6">
        <f>'[1]AUGUST 2023'!F16</f>
        <v>0</v>
      </c>
      <c r="G1755" s="4"/>
      <c r="H1755" s="4"/>
    </row>
    <row r="1756" spans="1:8" x14ac:dyDescent="0.2">
      <c r="A1756" s="23">
        <f>'[1]AUGUST 2023'!A17</f>
        <v>45141</v>
      </c>
      <c r="B1756" s="12" t="str">
        <f>'[1]AUGUST 2023'!B17</f>
        <v>VM</v>
      </c>
      <c r="C1756" s="3">
        <f>'[1]AUGUST 2023'!C17</f>
        <v>0</v>
      </c>
      <c r="D1756" s="3">
        <f>'[1]AUGUST 2023'!D17</f>
        <v>56</v>
      </c>
      <c r="E1756" s="4">
        <f>'[1]AUGUST 2023'!E17</f>
        <v>0</v>
      </c>
      <c r="F1756" s="6">
        <f>'[1]AUGUST 2023'!F17</f>
        <v>67.41</v>
      </c>
      <c r="G1756" s="4"/>
      <c r="H1756" s="4"/>
    </row>
    <row r="1757" spans="1:8" x14ac:dyDescent="0.2">
      <c r="A1757" s="23">
        <f>'[1]AUGUST 2023'!A23</f>
        <v>45142</v>
      </c>
      <c r="B1757" s="12" t="str">
        <f>'[1]AUGUST 2023'!B23</f>
        <v>LM</v>
      </c>
      <c r="C1757" s="3">
        <f>'[1]AUGUST 2023'!C23</f>
        <v>0</v>
      </c>
      <c r="D1757" s="3">
        <f>'[1]AUGUST 2023'!D23</f>
        <v>351</v>
      </c>
      <c r="E1757" s="4">
        <f>'[1]AUGUST 2023'!E23</f>
        <v>0</v>
      </c>
      <c r="F1757" s="6">
        <f>'[1]AUGUST 2023'!F23</f>
        <v>0</v>
      </c>
      <c r="G1757" s="4"/>
      <c r="H1757" s="4"/>
    </row>
    <row r="1758" spans="1:8" x14ac:dyDescent="0.2">
      <c r="A1758" s="20">
        <f>'[1]AUGUST 2023'!A24</f>
        <v>45142</v>
      </c>
      <c r="B1758" s="12" t="str">
        <f>'[1]AUGUST 2023'!B24</f>
        <v>Rauchen</v>
      </c>
      <c r="C1758" s="3">
        <f>'[1]AUGUST 2023'!C24</f>
        <v>0</v>
      </c>
      <c r="D1758" s="3">
        <f>'[1]AUGUST 2023'!D24</f>
        <v>150</v>
      </c>
      <c r="E1758" s="4">
        <f>'[1]AUGUST 2023'!E24</f>
        <v>0</v>
      </c>
      <c r="F1758" s="6">
        <f>'[1]AUGUST 2023'!F24</f>
        <v>0</v>
      </c>
      <c r="G1758" s="4"/>
      <c r="H1758" s="4"/>
    </row>
    <row r="1759" spans="1:8" x14ac:dyDescent="0.2">
      <c r="A1759" s="23">
        <f>'[1]AUGUST 2023'!A25</f>
        <v>45142</v>
      </c>
      <c r="B1759" s="12" t="str">
        <f>'[1]AUGUST 2023'!B25</f>
        <v>VM</v>
      </c>
      <c r="C1759" s="3">
        <f>'[1]AUGUST 2023'!C25</f>
        <v>0</v>
      </c>
      <c r="D1759" s="3">
        <f>'[1]AUGUST 2023'!D25</f>
        <v>112</v>
      </c>
      <c r="E1759" s="4">
        <f>'[1]AUGUST 2023'!E25</f>
        <v>0</v>
      </c>
      <c r="F1759" s="6">
        <f>'[1]AUGUST 2023'!F25</f>
        <v>47.34</v>
      </c>
      <c r="G1759" s="4"/>
      <c r="H1759" s="4"/>
    </row>
    <row r="1760" spans="1:8" x14ac:dyDescent="0.2">
      <c r="A1760" s="20">
        <f>'[1]AUGUST 2023'!A26</f>
        <v>45142</v>
      </c>
      <c r="B1760" s="12" t="str">
        <f>'[1]AUGUST 2023'!B26</f>
        <v>LM</v>
      </c>
      <c r="C1760" s="3">
        <f>'[1]AUGUST 2023'!C26</f>
        <v>0</v>
      </c>
      <c r="D1760" s="3">
        <f>'[1]AUGUST 2023'!D26</f>
        <v>440</v>
      </c>
      <c r="E1760" s="4">
        <f>'[1]AUGUST 2023'!E26</f>
        <v>0</v>
      </c>
      <c r="F1760" s="6">
        <f>'[1]AUGUST 2023'!F26</f>
        <v>0</v>
      </c>
      <c r="G1760" s="4"/>
      <c r="H1760" s="4"/>
    </row>
    <row r="1761" spans="1:8" x14ac:dyDescent="0.2">
      <c r="A1761" s="20">
        <f>'[1]AUGUST 2023'!A30</f>
        <v>45143</v>
      </c>
      <c r="B1761" s="12" t="str">
        <f>'[1]AUGUST 2023'!B30</f>
        <v>LM</v>
      </c>
      <c r="C1761" s="3">
        <f>'[1]AUGUST 2023'!C30</f>
        <v>0</v>
      </c>
      <c r="D1761" s="3">
        <f>'[1]AUGUST 2023'!D30</f>
        <v>100</v>
      </c>
      <c r="E1761" s="4">
        <f>'[1]AUGUST 2023'!E30</f>
        <v>0</v>
      </c>
      <c r="F1761" s="6">
        <f>'[1]AUGUST 2023'!F30</f>
        <v>0</v>
      </c>
      <c r="G1761" s="4"/>
      <c r="H1761" s="4"/>
    </row>
    <row r="1762" spans="1:8" x14ac:dyDescent="0.2">
      <c r="A1762" s="23">
        <f>'[1]AUGUST 2023'!A31</f>
        <v>45143</v>
      </c>
      <c r="B1762" s="12" t="str">
        <f>'[1]AUGUST 2023'!B31</f>
        <v>LM</v>
      </c>
      <c r="C1762" s="3">
        <f>'[1]AUGUST 2023'!C31</f>
        <v>0</v>
      </c>
      <c r="D1762" s="3">
        <f>'[1]AUGUST 2023'!D31</f>
        <v>149.97999999999999</v>
      </c>
      <c r="E1762" s="4">
        <f>'[1]AUGUST 2023'!E31</f>
        <v>0</v>
      </c>
      <c r="F1762" s="6">
        <f>'[1]AUGUST 2023'!F31</f>
        <v>0</v>
      </c>
      <c r="G1762" s="4"/>
      <c r="H1762" s="4"/>
    </row>
    <row r="1763" spans="1:8" x14ac:dyDescent="0.2">
      <c r="A1763" s="20">
        <f>'[1]AUGUST 2023'!A32</f>
        <v>45143</v>
      </c>
      <c r="B1763" s="12" t="str">
        <f>'[1]AUGUST 2023'!B32</f>
        <v>VM</v>
      </c>
      <c r="C1763" s="3">
        <f>'[1]AUGUST 2023'!C32</f>
        <v>0</v>
      </c>
      <c r="D1763" s="3">
        <f>'[1]AUGUST 2023'!D32</f>
        <v>0</v>
      </c>
      <c r="E1763" s="4">
        <f>'[1]AUGUST 2023'!E32</f>
        <v>0</v>
      </c>
      <c r="F1763" s="6">
        <f>'[1]AUGUST 2023'!F32</f>
        <v>149.91</v>
      </c>
      <c r="G1763" s="4"/>
      <c r="H1763" s="4"/>
    </row>
    <row r="1764" spans="1:8" x14ac:dyDescent="0.2">
      <c r="A1764" s="23">
        <f>'[1]AUGUST 2023'!A37</f>
        <v>45144</v>
      </c>
      <c r="B1764" s="12" t="str">
        <f>'[1]AUGUST 2023'!B37</f>
        <v>Andere</v>
      </c>
      <c r="C1764" s="3">
        <f>'[1]AUGUST 2023'!C37</f>
        <v>0</v>
      </c>
      <c r="D1764" s="3">
        <f>'[1]AUGUST 2023'!D37</f>
        <v>1000</v>
      </c>
      <c r="E1764" s="4">
        <f>'[1]AUGUST 2023'!E37</f>
        <v>0</v>
      </c>
      <c r="F1764" s="6">
        <f>'[1]AUGUST 2023'!F37</f>
        <v>0</v>
      </c>
      <c r="G1764" s="4"/>
      <c r="H1764" s="4"/>
    </row>
    <row r="1765" spans="1:8" x14ac:dyDescent="0.2">
      <c r="A1765" s="20">
        <f>'[1]AUGUST 2023'!A38</f>
        <v>45144</v>
      </c>
      <c r="B1765" s="12" t="str">
        <f>'[1]AUGUST 2023'!B38</f>
        <v>LM</v>
      </c>
      <c r="C1765" s="3">
        <f>'[1]AUGUST 2023'!C38</f>
        <v>0</v>
      </c>
      <c r="D1765" s="3">
        <f>'[1]AUGUST 2023'!D38</f>
        <v>1962.38</v>
      </c>
      <c r="E1765" s="4">
        <f>'[1]AUGUST 2023'!E38</f>
        <v>0</v>
      </c>
      <c r="F1765" s="6">
        <f>'[1]AUGUST 2023'!F38</f>
        <v>0</v>
      </c>
      <c r="G1765" s="4"/>
      <c r="H1765" s="4"/>
    </row>
    <row r="1766" spans="1:8" x14ac:dyDescent="0.2">
      <c r="A1766" s="23">
        <f>'[1]AUGUST 2023'!A39</f>
        <v>45144</v>
      </c>
      <c r="B1766" s="12" t="str">
        <f>'[1]AUGUST 2023'!B39</f>
        <v>LM</v>
      </c>
      <c r="C1766" s="3">
        <f>'[1]AUGUST 2023'!C39</f>
        <v>0</v>
      </c>
      <c r="D1766" s="3">
        <f>'[1]AUGUST 2023'!D39</f>
        <v>17.39</v>
      </c>
      <c r="E1766" s="4">
        <f>'[1]AUGUST 2023'!E39</f>
        <v>0</v>
      </c>
      <c r="F1766" s="6">
        <f>'[1]AUGUST 2023'!F39</f>
        <v>0</v>
      </c>
      <c r="G1766" s="4"/>
      <c r="H1766" s="4"/>
    </row>
    <row r="1767" spans="1:8" x14ac:dyDescent="0.2">
      <c r="A1767" s="20">
        <f>'[1]AUGUST 2023'!A40</f>
        <v>45144</v>
      </c>
      <c r="B1767" s="12" t="str">
        <f>'[1]AUGUST 2023'!B40</f>
        <v>Rauchen</v>
      </c>
      <c r="C1767" s="3">
        <f>'[1]AUGUST 2023'!C40</f>
        <v>0</v>
      </c>
      <c r="D1767" s="3">
        <f>'[1]AUGUST 2023'!D40</f>
        <v>150</v>
      </c>
      <c r="E1767" s="4">
        <f>'[1]AUGUST 2023'!E40</f>
        <v>0</v>
      </c>
      <c r="F1767" s="6">
        <f>'[1]AUGUST 2023'!F40</f>
        <v>0</v>
      </c>
      <c r="G1767" s="4"/>
      <c r="H1767" s="4"/>
    </row>
    <row r="1768" spans="1:8" x14ac:dyDescent="0.2">
      <c r="A1768" s="23">
        <f>'[1]AUGUST 2023'!A41</f>
        <v>45144</v>
      </c>
      <c r="B1768" s="12" t="str">
        <f>'[1]AUGUST 2023'!B41</f>
        <v>LM</v>
      </c>
      <c r="C1768" s="3">
        <f>'[1]AUGUST 2023'!C41</f>
        <v>0</v>
      </c>
      <c r="D1768" s="3">
        <f>'[1]AUGUST 2023'!D41</f>
        <v>550</v>
      </c>
      <c r="E1768" s="4">
        <f>'[1]AUGUST 2023'!E41</f>
        <v>0</v>
      </c>
      <c r="F1768" s="6">
        <f>'[1]AUGUST 2023'!F41</f>
        <v>0</v>
      </c>
      <c r="G1768" s="4"/>
      <c r="H1768" s="4"/>
    </row>
    <row r="1769" spans="1:8" x14ac:dyDescent="0.2">
      <c r="A1769" s="20">
        <f>'[1]AUGUST 2023'!A42</f>
        <v>45144</v>
      </c>
      <c r="B1769" s="12" t="str">
        <f>'[1]AUGUST 2023'!B42</f>
        <v>VM</v>
      </c>
      <c r="C1769" s="3">
        <f>'[1]AUGUST 2023'!C42</f>
        <v>0</v>
      </c>
      <c r="D1769" s="3">
        <f>'[1]AUGUST 2023'!D42</f>
        <v>0</v>
      </c>
      <c r="E1769" s="4">
        <f>'[1]AUGUST 2023'!E42</f>
        <v>0</v>
      </c>
      <c r="F1769" s="6">
        <f>'[1]AUGUST 2023'!F42</f>
        <v>55.230000000000004</v>
      </c>
      <c r="G1769" s="4"/>
      <c r="H1769" s="4"/>
    </row>
    <row r="1770" spans="1:8" x14ac:dyDescent="0.2">
      <c r="A1770" s="20">
        <f>'[1]AUGUST 2023'!A44</f>
        <v>45145</v>
      </c>
      <c r="B1770" s="12" t="str">
        <f>'[1]AUGUST 2023'!B44</f>
        <v>VM</v>
      </c>
      <c r="C1770" s="3">
        <f>'[1]AUGUST 2023'!C44</f>
        <v>0</v>
      </c>
      <c r="D1770" s="3">
        <f>'[1]AUGUST 2023'!D44</f>
        <v>56</v>
      </c>
      <c r="E1770" s="4">
        <f>'[1]AUGUST 2023'!E44</f>
        <v>0</v>
      </c>
      <c r="F1770" s="6">
        <f>'[1]AUGUST 2023'!F44</f>
        <v>172.27</v>
      </c>
      <c r="G1770" s="4"/>
      <c r="H1770" s="4"/>
    </row>
    <row r="1771" spans="1:8" x14ac:dyDescent="0.2">
      <c r="A1771" s="23">
        <f>'[1]AUGUST 2023'!A45</f>
        <v>45145</v>
      </c>
      <c r="B1771" s="12" t="str">
        <f>'[1]AUGUST 2023'!B45</f>
        <v>LM</v>
      </c>
      <c r="C1771" s="3">
        <f>'[1]AUGUST 2023'!C45</f>
        <v>0</v>
      </c>
      <c r="D1771" s="3">
        <f>'[1]AUGUST 2023'!D45</f>
        <v>330</v>
      </c>
      <c r="E1771" s="4">
        <f>'[1]AUGUST 2023'!E45</f>
        <v>0</v>
      </c>
      <c r="F1771" s="6">
        <f>'[1]AUGUST 2023'!F45</f>
        <v>0</v>
      </c>
      <c r="G1771" s="4"/>
      <c r="H1771" s="4"/>
    </row>
    <row r="1772" spans="1:8" x14ac:dyDescent="0.2">
      <c r="A1772" s="23">
        <f>'[1]AUGUST 2023'!A51</f>
        <v>45146</v>
      </c>
      <c r="B1772" s="12" t="str">
        <f>'[1]AUGUST 2023'!B51</f>
        <v>Rauchen</v>
      </c>
      <c r="C1772" s="3">
        <f>'[1]AUGUST 2023'!C51</f>
        <v>0</v>
      </c>
      <c r="D1772" s="3">
        <f>'[1]AUGUST 2023'!D51</f>
        <v>145</v>
      </c>
      <c r="E1772" s="4">
        <f>'[1]AUGUST 2023'!E51</f>
        <v>0</v>
      </c>
      <c r="F1772" s="6">
        <f>'[1]AUGUST 2023'!F51</f>
        <v>0</v>
      </c>
      <c r="G1772" s="4"/>
      <c r="H1772" s="4"/>
    </row>
    <row r="1773" spans="1:8" x14ac:dyDescent="0.2">
      <c r="A1773" s="20">
        <f>'[1]AUGUST 2023'!A52</f>
        <v>45146</v>
      </c>
      <c r="B1773" s="12" t="str">
        <f>'[1]AUGUST 2023'!B52</f>
        <v>VM</v>
      </c>
      <c r="C1773" s="3">
        <f>'[1]AUGUST 2023'!C52</f>
        <v>0</v>
      </c>
      <c r="D1773" s="3">
        <f>'[1]AUGUST 2023'!D52</f>
        <v>122</v>
      </c>
      <c r="E1773" s="4">
        <f>'[1]AUGUST 2023'!E52</f>
        <v>0</v>
      </c>
      <c r="F1773" s="6">
        <f>'[1]AUGUST 2023'!F52</f>
        <v>112.35</v>
      </c>
      <c r="G1773" s="4"/>
      <c r="H1773" s="4"/>
    </row>
    <row r="1774" spans="1:8" x14ac:dyDescent="0.2">
      <c r="A1774" s="20">
        <f>'[1]AUGUST 2023'!A58</f>
        <v>45147</v>
      </c>
      <c r="B1774" s="12" t="str">
        <f>'[1]AUGUST 2023'!B58</f>
        <v>Refill</v>
      </c>
      <c r="C1774" s="3">
        <f>'[1]AUGUST 2023'!C58</f>
        <v>57470.14</v>
      </c>
      <c r="D1774" s="3">
        <f>'[1]AUGUST 2023'!D58</f>
        <v>0</v>
      </c>
      <c r="E1774" s="4">
        <f>'[1]AUGUST 2023'!E58</f>
        <v>0</v>
      </c>
      <c r="F1774" s="6">
        <f>'[1]AUGUST 2023'!F58</f>
        <v>0</v>
      </c>
      <c r="G1774" s="4"/>
      <c r="H1774" s="4"/>
    </row>
    <row r="1775" spans="1:8" x14ac:dyDescent="0.2">
      <c r="A1775" s="23">
        <f>'[1]AUGUST 2023'!A59</f>
        <v>45147</v>
      </c>
      <c r="B1775" s="12" t="str">
        <f>'[1]AUGUST 2023'!B59</f>
        <v>LM</v>
      </c>
      <c r="C1775" s="3">
        <f>'[1]AUGUST 2023'!C59</f>
        <v>0</v>
      </c>
      <c r="D1775" s="3">
        <f>'[1]AUGUST 2023'!D59</f>
        <v>260</v>
      </c>
      <c r="E1775" s="4">
        <f>'[1]AUGUST 2023'!E59</f>
        <v>0</v>
      </c>
      <c r="F1775" s="6">
        <f>'[1]AUGUST 2023'!F59</f>
        <v>0</v>
      </c>
      <c r="G1775" s="4"/>
      <c r="H1775" s="4"/>
    </row>
    <row r="1776" spans="1:8" x14ac:dyDescent="0.2">
      <c r="A1776" s="20">
        <f>'[1]AUGUST 2023'!A60</f>
        <v>45147</v>
      </c>
      <c r="B1776" s="12" t="str">
        <f>'[1]AUGUST 2023'!B60</f>
        <v>VM</v>
      </c>
      <c r="C1776" s="3">
        <f>'[1]AUGUST 2023'!C60</f>
        <v>0</v>
      </c>
      <c r="D1776" s="3">
        <f>'[1]AUGUST 2023'!D60</f>
        <v>0</v>
      </c>
      <c r="E1776" s="4">
        <f>'[1]AUGUST 2023'!E60</f>
        <v>0</v>
      </c>
      <c r="F1776" s="6">
        <f>'[1]AUGUST 2023'!F60</f>
        <v>63.92</v>
      </c>
      <c r="G1776" s="4"/>
      <c r="H1776" s="4"/>
    </row>
    <row r="1777" spans="1:8" x14ac:dyDescent="0.2">
      <c r="A1777" s="23">
        <f>'[1]AUGUST 2023'!A65</f>
        <v>45148</v>
      </c>
      <c r="B1777" s="12" t="str">
        <f>'[1]AUGUST 2023'!B65</f>
        <v>Rauchen</v>
      </c>
      <c r="C1777" s="3">
        <f>'[1]AUGUST 2023'!C65</f>
        <v>0</v>
      </c>
      <c r="D1777" s="3">
        <f>'[1]AUGUST 2023'!D65</f>
        <v>145</v>
      </c>
      <c r="E1777" s="4">
        <f>'[1]AUGUST 2023'!E65</f>
        <v>0</v>
      </c>
      <c r="F1777" s="6">
        <f>'[1]AUGUST 2023'!F65</f>
        <v>0</v>
      </c>
      <c r="G1777" s="4"/>
      <c r="H1777" s="4"/>
    </row>
    <row r="1778" spans="1:8" x14ac:dyDescent="0.2">
      <c r="A1778" s="20">
        <f>'[1]AUGUST 2023'!A66</f>
        <v>45148</v>
      </c>
      <c r="B1778" s="12" t="str">
        <f>'[1]AUGUST 2023'!B66</f>
        <v>LM</v>
      </c>
      <c r="C1778" s="3">
        <f>'[1]AUGUST 2023'!C66</f>
        <v>0</v>
      </c>
      <c r="D1778" s="3">
        <f>'[1]AUGUST 2023'!D66</f>
        <v>1277.47</v>
      </c>
      <c r="E1778" s="4">
        <f>'[1]AUGUST 2023'!E66</f>
        <v>0</v>
      </c>
      <c r="F1778" s="6">
        <f>'[1]AUGUST 2023'!F66</f>
        <v>0</v>
      </c>
      <c r="G1778" s="4"/>
      <c r="H1778" s="4"/>
    </row>
    <row r="1779" spans="1:8" x14ac:dyDescent="0.2">
      <c r="A1779" s="20">
        <f>'[1]AUGUST 2023'!A72</f>
        <v>45149</v>
      </c>
      <c r="B1779" s="12" t="str">
        <f>'[1]AUGUST 2023'!B72</f>
        <v>LM</v>
      </c>
      <c r="C1779" s="3">
        <f>'[1]AUGUST 2023'!C72</f>
        <v>0</v>
      </c>
      <c r="D1779" s="3">
        <f>'[1]AUGUST 2023'!D72</f>
        <v>500</v>
      </c>
      <c r="E1779" s="4">
        <f>'[1]AUGUST 2023'!E72</f>
        <v>0</v>
      </c>
      <c r="F1779" s="6">
        <f>'[1]AUGUST 2023'!F72</f>
        <v>0</v>
      </c>
      <c r="G1779" s="4"/>
      <c r="H1779" s="4"/>
    </row>
    <row r="1780" spans="1:8" x14ac:dyDescent="0.2">
      <c r="A1780" s="23">
        <f>'[1]AUGUST 2023'!A73</f>
        <v>45149</v>
      </c>
      <c r="B1780" s="12" t="str">
        <f>'[1]AUGUST 2023'!B73</f>
        <v>Andere</v>
      </c>
      <c r="C1780" s="3">
        <f>'[1]AUGUST 2023'!C73</f>
        <v>0</v>
      </c>
      <c r="D1780" s="3">
        <f>'[1]AUGUST 2023'!D73</f>
        <v>690</v>
      </c>
      <c r="E1780" s="4">
        <f>'[1]AUGUST 2023'!E73</f>
        <v>0</v>
      </c>
      <c r="F1780" s="6">
        <f>'[1]AUGUST 2023'!F73</f>
        <v>0</v>
      </c>
      <c r="G1780" s="4"/>
      <c r="H1780" s="4"/>
    </row>
    <row r="1781" spans="1:8" x14ac:dyDescent="0.2">
      <c r="A1781" s="20">
        <f>'[1]AUGUST 2023'!A74</f>
        <v>45149</v>
      </c>
      <c r="B1781" s="12" t="str">
        <f>'[1]AUGUST 2023'!B74</f>
        <v>Andere</v>
      </c>
      <c r="C1781" s="3">
        <f>'[1]AUGUST 2023'!C74</f>
        <v>0</v>
      </c>
      <c r="D1781" s="3">
        <f>'[1]AUGUST 2023'!D74</f>
        <v>130</v>
      </c>
      <c r="E1781" s="4">
        <f>'[1]AUGUST 2023'!E74</f>
        <v>0</v>
      </c>
      <c r="F1781" s="6">
        <f>'[1]AUGUST 2023'!F74</f>
        <v>0</v>
      </c>
      <c r="G1781" s="4"/>
      <c r="H1781" s="4"/>
    </row>
    <row r="1782" spans="1:8" x14ac:dyDescent="0.2">
      <c r="A1782" s="23">
        <f>'[1]AUGUST 2023'!A75</f>
        <v>45149</v>
      </c>
      <c r="B1782" s="12" t="str">
        <f>'[1]AUGUST 2023'!B75</f>
        <v>none</v>
      </c>
      <c r="C1782" s="3">
        <f>'[1]AUGUST 2023'!C75</f>
        <v>0</v>
      </c>
      <c r="D1782" s="3">
        <f>'[1]AUGUST 2023'!D75</f>
        <v>700</v>
      </c>
      <c r="E1782" s="4">
        <f>'[1]AUGUST 2023'!E75</f>
        <v>700</v>
      </c>
      <c r="F1782" s="6">
        <f>'[1]AUGUST 2023'!F75</f>
        <v>0</v>
      </c>
      <c r="G1782" s="4"/>
      <c r="H1782" s="4"/>
    </row>
    <row r="1783" spans="1:8" x14ac:dyDescent="0.2">
      <c r="A1783" s="23">
        <f>'[1]AUGUST 2023'!A79</f>
        <v>45150</v>
      </c>
      <c r="B1783" s="12" t="str">
        <f>'[1]AUGUST 2023'!B79</f>
        <v>LM</v>
      </c>
      <c r="C1783" s="3">
        <f>'[1]AUGUST 2023'!C79</f>
        <v>0</v>
      </c>
      <c r="D1783" s="3">
        <f>'[1]AUGUST 2023'!D79</f>
        <v>1450.25</v>
      </c>
      <c r="E1783" s="4">
        <f>'[1]AUGUST 2023'!E79</f>
        <v>0</v>
      </c>
      <c r="F1783" s="6">
        <f>'[1]AUGUST 2023'!F79</f>
        <v>0</v>
      </c>
      <c r="G1783" s="4"/>
      <c r="H1783" s="4"/>
    </row>
    <row r="1784" spans="1:8" x14ac:dyDescent="0.2">
      <c r="A1784" s="20">
        <f>'[1]AUGUST 2023'!A80</f>
        <v>45150</v>
      </c>
      <c r="B1784" s="12" t="str">
        <f>'[1]AUGUST 2023'!B80</f>
        <v>VM</v>
      </c>
      <c r="C1784" s="3">
        <f>'[1]AUGUST 2023'!C80</f>
        <v>0</v>
      </c>
      <c r="D1784" s="3">
        <f>'[1]AUGUST 2023'!D80</f>
        <v>112</v>
      </c>
      <c r="E1784" s="4">
        <f>'[1]AUGUST 2023'!E80</f>
        <v>0</v>
      </c>
      <c r="F1784" s="6">
        <f>'[1]AUGUST 2023'!F80</f>
        <v>248.5</v>
      </c>
      <c r="G1784" s="4"/>
      <c r="H1784" s="4"/>
    </row>
    <row r="1785" spans="1:8" x14ac:dyDescent="0.2">
      <c r="A1785" s="20">
        <f>'[1]AUGUST 2023'!A86</f>
        <v>45151</v>
      </c>
      <c r="B1785" s="12" t="str">
        <f>'[1]AUGUST 2023'!B86</f>
        <v>VM</v>
      </c>
      <c r="C1785" s="3">
        <f>'[1]AUGUST 2023'!C86</f>
        <v>0</v>
      </c>
      <c r="D1785" s="3">
        <f>'[1]AUGUST 2023'!D86</f>
        <v>112</v>
      </c>
      <c r="E1785" s="4">
        <f>'[1]AUGUST 2023'!E86</f>
        <v>0</v>
      </c>
      <c r="F1785" s="6">
        <f>'[1]AUGUST 2023'!F86</f>
        <v>48</v>
      </c>
      <c r="G1785" s="4"/>
      <c r="H1785" s="4"/>
    </row>
    <row r="1786" spans="1:8" x14ac:dyDescent="0.2">
      <c r="A1786" s="23">
        <f>'[1]AUGUST 2023'!A87</f>
        <v>45151</v>
      </c>
      <c r="B1786" s="12" t="str">
        <f>'[1]AUGUST 2023'!B87</f>
        <v>LM</v>
      </c>
      <c r="C1786" s="3">
        <f>'[1]AUGUST 2023'!C87</f>
        <v>0</v>
      </c>
      <c r="D1786" s="3">
        <f>'[1]AUGUST 2023'!D87</f>
        <v>656.17</v>
      </c>
      <c r="E1786" s="4">
        <f>'[1]AUGUST 2023'!E87</f>
        <v>0</v>
      </c>
      <c r="F1786" s="6">
        <f>'[1]AUGUST 2023'!F87</f>
        <v>0</v>
      </c>
      <c r="G1786" s="4"/>
      <c r="H1786" s="4"/>
    </row>
    <row r="1787" spans="1:8" x14ac:dyDescent="0.2">
      <c r="A1787" s="20">
        <f>'[1]AUGUST 2023'!A88</f>
        <v>45151</v>
      </c>
      <c r="B1787" s="12" t="str">
        <f>'[1]AUGUST 2023'!B88</f>
        <v>Party</v>
      </c>
      <c r="C1787" s="3">
        <f>'[1]AUGUST 2023'!C88</f>
        <v>0</v>
      </c>
      <c r="D1787" s="3">
        <f>'[1]AUGUST 2023'!D88</f>
        <v>1470</v>
      </c>
      <c r="E1787" s="4">
        <f>'[1]AUGUST 2023'!E88</f>
        <v>0</v>
      </c>
      <c r="F1787" s="6">
        <f>'[1]AUGUST 2023'!F88</f>
        <v>0</v>
      </c>
      <c r="G1787" s="4"/>
      <c r="H1787" s="4"/>
    </row>
    <row r="1788" spans="1:8" x14ac:dyDescent="0.2">
      <c r="A1788" s="23">
        <f>'[1]AUGUST 2023'!A93</f>
        <v>45152</v>
      </c>
      <c r="B1788" s="12" t="str">
        <f>'[1]AUGUST 2023'!B93</f>
        <v>LM</v>
      </c>
      <c r="C1788" s="3">
        <f>'[1]AUGUST 2023'!C93</f>
        <v>0</v>
      </c>
      <c r="D1788" s="3">
        <f>'[1]AUGUST 2023'!D93</f>
        <v>230</v>
      </c>
      <c r="E1788" s="4">
        <f>'[1]AUGUST 2023'!E93</f>
        <v>0</v>
      </c>
      <c r="F1788" s="6">
        <f>'[1]AUGUST 2023'!F93</f>
        <v>0</v>
      </c>
      <c r="G1788" s="4"/>
      <c r="H1788" s="4"/>
    </row>
    <row r="1789" spans="1:8" x14ac:dyDescent="0.2">
      <c r="A1789" s="20">
        <f>'[1]AUGUST 2023'!A94</f>
        <v>45152</v>
      </c>
      <c r="B1789" s="12" t="str">
        <f>'[1]AUGUST 2023'!B94</f>
        <v>VM</v>
      </c>
      <c r="C1789" s="3">
        <f>'[1]AUGUST 2023'!C94</f>
        <v>0</v>
      </c>
      <c r="D1789" s="3">
        <f>'[1]AUGUST 2023'!D94</f>
        <v>0</v>
      </c>
      <c r="E1789" s="4">
        <f>'[1]AUGUST 2023'!E94</f>
        <v>0</v>
      </c>
      <c r="F1789" s="6">
        <f>'[1]AUGUST 2023'!F94</f>
        <v>22.5</v>
      </c>
      <c r="G1789" s="4"/>
      <c r="H1789" s="4"/>
    </row>
    <row r="1790" spans="1:8" x14ac:dyDescent="0.2">
      <c r="A1790" s="20">
        <f>'[1]AUGUST 2023'!A100</f>
        <v>45153</v>
      </c>
      <c r="B1790" s="12" t="str">
        <f>'[1]AUGUST 2023'!B100</f>
        <v>VM</v>
      </c>
      <c r="C1790" s="3">
        <f>'[1]AUGUST 2023'!C100</f>
        <v>0</v>
      </c>
      <c r="D1790" s="3">
        <f>'[1]AUGUST 2023'!D100</f>
        <v>112</v>
      </c>
      <c r="E1790" s="4">
        <f>'[1]AUGUST 2023'!E100</f>
        <v>0</v>
      </c>
      <c r="F1790" s="6">
        <f>'[1]AUGUST 2023'!F100</f>
        <v>33</v>
      </c>
      <c r="G1790" s="4"/>
      <c r="H1790" s="4"/>
    </row>
    <row r="1791" spans="1:8" x14ac:dyDescent="0.2">
      <c r="A1791" s="23">
        <f>'[1]AUGUST 2023'!A101</f>
        <v>45153</v>
      </c>
      <c r="B1791" s="12" t="str">
        <f>'[1]AUGUST 2023'!B101</f>
        <v>LM</v>
      </c>
      <c r="C1791" s="3">
        <f>'[1]AUGUST 2023'!C101</f>
        <v>0</v>
      </c>
      <c r="D1791" s="3">
        <f>'[1]AUGUST 2023'!D101</f>
        <v>455</v>
      </c>
      <c r="E1791" s="4">
        <f>'[1]AUGUST 2023'!E101</f>
        <v>0</v>
      </c>
      <c r="F1791" s="6">
        <f>'[1]AUGUST 2023'!F101</f>
        <v>0</v>
      </c>
      <c r="G1791" s="4"/>
      <c r="H1791" s="4"/>
    </row>
    <row r="1792" spans="1:8" x14ac:dyDescent="0.2">
      <c r="A1792" s="20">
        <f>'[1]AUGUST 2023'!A102</f>
        <v>45153</v>
      </c>
      <c r="B1792" s="12" t="str">
        <f>'[1]AUGUST 2023'!B102</f>
        <v>LM</v>
      </c>
      <c r="C1792" s="3">
        <f>'[1]AUGUST 2023'!C102</f>
        <v>0</v>
      </c>
      <c r="D1792" s="3">
        <f>'[1]AUGUST 2023'!D102</f>
        <v>189.98</v>
      </c>
      <c r="E1792" s="4">
        <f>'[1]AUGUST 2023'!E102</f>
        <v>0</v>
      </c>
      <c r="F1792" s="6">
        <f>'[1]AUGUST 2023'!F102</f>
        <v>0</v>
      </c>
      <c r="G1792" s="4"/>
      <c r="H1792" s="4"/>
    </row>
    <row r="1793" spans="1:8" x14ac:dyDescent="0.2">
      <c r="A1793" s="23">
        <f>'[1]AUGUST 2023'!A103</f>
        <v>45153</v>
      </c>
      <c r="B1793" s="12" t="str">
        <f>'[1]AUGUST 2023'!B103</f>
        <v>Rauchen</v>
      </c>
      <c r="C1793" s="3">
        <f>'[1]AUGUST 2023'!C103</f>
        <v>0</v>
      </c>
      <c r="D1793" s="3">
        <f>'[1]AUGUST 2023'!D103</f>
        <v>150</v>
      </c>
      <c r="E1793" s="4">
        <f>'[1]AUGUST 2023'!E103</f>
        <v>0</v>
      </c>
      <c r="F1793" s="6">
        <f>'[1]AUGUST 2023'!F103</f>
        <v>0</v>
      </c>
      <c r="G1793" s="4"/>
      <c r="H1793" s="4"/>
    </row>
    <row r="1794" spans="1:8" x14ac:dyDescent="0.2">
      <c r="A1794" s="20">
        <f>'[1]AUGUST 2023'!A104</f>
        <v>45153</v>
      </c>
      <c r="B1794" s="12" t="str">
        <f>'[1]AUGUST 2023'!B104</f>
        <v>Andere</v>
      </c>
      <c r="C1794" s="3">
        <f>'[1]AUGUST 2023'!C104</f>
        <v>0</v>
      </c>
      <c r="D1794" s="3">
        <f>'[1]AUGUST 2023'!D104</f>
        <v>6437</v>
      </c>
      <c r="E1794" s="4">
        <f>'[1]AUGUST 2023'!E104</f>
        <v>0</v>
      </c>
      <c r="F1794" s="6">
        <f>'[1]AUGUST 2023'!F104</f>
        <v>0</v>
      </c>
      <c r="G1794" s="4"/>
      <c r="H1794" s="4"/>
    </row>
    <row r="1795" spans="1:8" x14ac:dyDescent="0.2">
      <c r="A1795" s="23">
        <f>'[1]AUGUST 2023'!A107</f>
        <v>45154</v>
      </c>
      <c r="B1795" s="12" t="str">
        <f>'[1]AUGUST 2023'!B107</f>
        <v>LM</v>
      </c>
      <c r="C1795" s="3">
        <f>'[1]AUGUST 2023'!C107</f>
        <v>0</v>
      </c>
      <c r="D1795" s="3">
        <f>'[1]AUGUST 2023'!D107</f>
        <v>551</v>
      </c>
      <c r="E1795" s="4">
        <f>'[1]AUGUST 2023'!E107</f>
        <v>0</v>
      </c>
      <c r="F1795" s="6">
        <f>'[1]AUGUST 2023'!F107</f>
        <v>0</v>
      </c>
      <c r="G1795" s="4"/>
      <c r="H1795" s="4"/>
    </row>
    <row r="1796" spans="1:8" x14ac:dyDescent="0.2">
      <c r="A1796" s="20">
        <f>'[1]AUGUST 2023'!A108</f>
        <v>45154</v>
      </c>
      <c r="B1796" s="12" t="str">
        <f>'[1]AUGUST 2023'!B108</f>
        <v>VM</v>
      </c>
      <c r="C1796" s="3">
        <f>'[1]AUGUST 2023'!C108</f>
        <v>0</v>
      </c>
      <c r="D1796" s="3">
        <f>'[1]AUGUST 2023'!D108</f>
        <v>0</v>
      </c>
      <c r="E1796" s="4">
        <f>'[1]AUGUST 2023'!E108</f>
        <v>0</v>
      </c>
      <c r="F1796" s="6">
        <f>'[1]AUGUST 2023'!F108</f>
        <v>320.5</v>
      </c>
      <c r="G1796" s="4"/>
      <c r="H1796" s="4"/>
    </row>
    <row r="1797" spans="1:8" x14ac:dyDescent="0.2">
      <c r="A1797" s="20">
        <f>'[1]AUGUST 2023'!A114</f>
        <v>45155</v>
      </c>
      <c r="B1797" s="12" t="str">
        <f>'[1]AUGUST 2023'!B114</f>
        <v>LM</v>
      </c>
      <c r="C1797" s="3">
        <f>'[1]AUGUST 2023'!C114</f>
        <v>0</v>
      </c>
      <c r="D1797" s="3">
        <f>'[1]AUGUST 2023'!D114</f>
        <v>330</v>
      </c>
      <c r="E1797" s="4">
        <f>'[1]AUGUST 2023'!E114</f>
        <v>0</v>
      </c>
      <c r="F1797" s="6">
        <f>'[1]AUGUST 2023'!F114</f>
        <v>0</v>
      </c>
      <c r="G1797" s="4"/>
      <c r="H1797" s="4"/>
    </row>
    <row r="1798" spans="1:8" x14ac:dyDescent="0.2">
      <c r="A1798" s="23">
        <f>'[1]AUGUST 2023'!A121</f>
        <v>45156</v>
      </c>
      <c r="B1798" s="12" t="str">
        <f>'[1]AUGUST 2023'!B121</f>
        <v>LM</v>
      </c>
      <c r="C1798" s="3">
        <f>'[1]AUGUST 2023'!C121</f>
        <v>0</v>
      </c>
      <c r="D1798" s="3">
        <f>'[1]AUGUST 2023'!D121</f>
        <v>329</v>
      </c>
      <c r="E1798" s="4">
        <f>'[1]AUGUST 2023'!E121</f>
        <v>0</v>
      </c>
      <c r="F1798" s="6">
        <f>'[1]AUGUST 2023'!F121</f>
        <v>0</v>
      </c>
      <c r="G1798" s="4"/>
      <c r="H1798" s="4"/>
    </row>
    <row r="1799" spans="1:8" x14ac:dyDescent="0.2">
      <c r="A1799" s="20">
        <f>'[1]AUGUST 2023'!A122</f>
        <v>45156</v>
      </c>
      <c r="B1799" s="12" t="str">
        <f>'[1]AUGUST 2023'!B122</f>
        <v>Rauchen</v>
      </c>
      <c r="C1799" s="3">
        <f>'[1]AUGUST 2023'!C122</f>
        <v>0</v>
      </c>
      <c r="D1799" s="3">
        <f>'[1]AUGUST 2023'!D122</f>
        <v>150</v>
      </c>
      <c r="E1799" s="4">
        <f>'[1]AUGUST 2023'!E122</f>
        <v>0</v>
      </c>
      <c r="F1799" s="6">
        <f>'[1]AUGUST 2023'!F122</f>
        <v>0</v>
      </c>
      <c r="G1799" s="4"/>
      <c r="H1799" s="4"/>
    </row>
    <row r="1800" spans="1:8" x14ac:dyDescent="0.2">
      <c r="A1800" s="23">
        <f>'[1]AUGUST 2023'!A123</f>
        <v>45156</v>
      </c>
      <c r="B1800" s="12" t="str">
        <f>'[1]AUGUST 2023'!B123</f>
        <v>Andere</v>
      </c>
      <c r="C1800" s="3">
        <f>'[1]AUGUST 2023'!C123</f>
        <v>0</v>
      </c>
      <c r="D1800" s="3">
        <f>'[1]AUGUST 2023'!D123</f>
        <v>252.48</v>
      </c>
      <c r="E1800" s="4">
        <f>'[1]AUGUST 2023'!E123</f>
        <v>0</v>
      </c>
      <c r="F1800" s="6">
        <f>'[1]AUGUST 2023'!F123</f>
        <v>0</v>
      </c>
      <c r="G1800" s="4"/>
      <c r="H1800" s="4"/>
    </row>
    <row r="1801" spans="1:8" x14ac:dyDescent="0.2">
      <c r="A1801" s="20">
        <f>'[1]AUGUST 2023'!A124</f>
        <v>45156</v>
      </c>
      <c r="B1801" s="12" t="str">
        <f>'[1]AUGUST 2023'!B124</f>
        <v>VM</v>
      </c>
      <c r="C1801" s="3">
        <f>'[1]AUGUST 2023'!C124</f>
        <v>0</v>
      </c>
      <c r="D1801" s="3">
        <f>'[1]AUGUST 2023'!D124</f>
        <v>0</v>
      </c>
      <c r="E1801" s="4">
        <f>'[1]AUGUST 2023'!E124</f>
        <v>0</v>
      </c>
      <c r="F1801" s="6">
        <f>'[1]AUGUST 2023'!F124</f>
        <v>48</v>
      </c>
      <c r="G1801" s="4"/>
      <c r="H1801" s="4"/>
    </row>
    <row r="1802" spans="1:8" x14ac:dyDescent="0.2">
      <c r="A1802" s="20">
        <f>'[1]AUGUST 2023'!A128</f>
        <v>45157</v>
      </c>
      <c r="B1802" s="12" t="str">
        <f>'[1]AUGUST 2023'!B128</f>
        <v>LM</v>
      </c>
      <c r="C1802" s="3">
        <f>'[1]AUGUST 2023'!C128</f>
        <v>0</v>
      </c>
      <c r="D1802" s="3">
        <f>'[1]AUGUST 2023'!D128</f>
        <v>227.47</v>
      </c>
      <c r="E1802" s="4">
        <f>'[1]AUGUST 2023'!E128</f>
        <v>0</v>
      </c>
      <c r="F1802" s="6">
        <f>'[1]AUGUST 2023'!F128</f>
        <v>0</v>
      </c>
      <c r="G1802" s="4"/>
      <c r="H1802" s="4"/>
    </row>
    <row r="1803" spans="1:8" x14ac:dyDescent="0.2">
      <c r="A1803" s="23">
        <f>'[1]AUGUST 2023'!A129</f>
        <v>45157</v>
      </c>
      <c r="B1803" s="12" t="str">
        <f>'[1]AUGUST 2023'!B129</f>
        <v>LM</v>
      </c>
      <c r="C1803" s="3">
        <f>'[1]AUGUST 2023'!C129</f>
        <v>0</v>
      </c>
      <c r="D1803" s="3">
        <f>'[1]AUGUST 2023'!D129</f>
        <v>362</v>
      </c>
      <c r="E1803" s="4">
        <f>'[1]AUGUST 2023'!E129</f>
        <v>0</v>
      </c>
      <c r="F1803" s="6">
        <f>'[1]AUGUST 2023'!F129</f>
        <v>0</v>
      </c>
      <c r="G1803" s="4"/>
      <c r="H1803" s="4"/>
    </row>
    <row r="1804" spans="1:8" x14ac:dyDescent="0.2">
      <c r="A1804" s="20">
        <f>'[1]AUGUST 2023'!A130</f>
        <v>45157</v>
      </c>
      <c r="B1804" s="12" t="str">
        <f>'[1]AUGUST 2023'!B130</f>
        <v>VM</v>
      </c>
      <c r="C1804" s="3">
        <f>'[1]AUGUST 2023'!C130</f>
        <v>0</v>
      </c>
      <c r="D1804" s="3">
        <f>'[1]AUGUST 2023'!D130</f>
        <v>112</v>
      </c>
      <c r="E1804" s="4">
        <f>'[1]AUGUST 2023'!E130</f>
        <v>0</v>
      </c>
      <c r="F1804" s="6">
        <f>'[1]AUGUST 2023'!F130</f>
        <v>373.17</v>
      </c>
      <c r="G1804" s="4"/>
      <c r="H1804" s="4"/>
    </row>
    <row r="1805" spans="1:8" x14ac:dyDescent="0.2">
      <c r="A1805" s="23">
        <f>'[1]AUGUST 2023'!A131</f>
        <v>45157</v>
      </c>
      <c r="B1805" s="12" t="str">
        <f>'[1]AUGUST 2023'!B131</f>
        <v>LM</v>
      </c>
      <c r="C1805" s="3">
        <f>'[1]AUGUST 2023'!C131</f>
        <v>0</v>
      </c>
      <c r="D1805" s="3">
        <f>'[1]AUGUST 2023'!D131</f>
        <v>150</v>
      </c>
      <c r="E1805" s="4">
        <f>'[1]AUGUST 2023'!E131</f>
        <v>0</v>
      </c>
      <c r="F1805" s="6">
        <f>'[1]AUGUST 2023'!F131</f>
        <v>0</v>
      </c>
      <c r="G1805" s="4"/>
      <c r="H1805" s="4"/>
    </row>
    <row r="1806" spans="1:8" x14ac:dyDescent="0.2">
      <c r="A1806" s="20">
        <f>'[1]AUGUST 2023'!A132</f>
        <v>45157</v>
      </c>
      <c r="B1806" s="12" t="str">
        <f>'[1]AUGUST 2023'!B132</f>
        <v>Andere</v>
      </c>
      <c r="C1806" s="3">
        <f>'[1]AUGUST 2023'!C132</f>
        <v>0</v>
      </c>
      <c r="D1806" s="3">
        <f>'[1]AUGUST 2023'!D132</f>
        <v>1000</v>
      </c>
      <c r="E1806" s="4">
        <f>'[1]AUGUST 2023'!E132</f>
        <v>0</v>
      </c>
      <c r="F1806" s="6">
        <f>'[1]AUGUST 2023'!F132</f>
        <v>0</v>
      </c>
      <c r="G1806" s="4"/>
      <c r="H1806" s="4"/>
    </row>
    <row r="1807" spans="1:8" x14ac:dyDescent="0.2">
      <c r="A1807" s="23">
        <f>'[1]AUGUST 2023'!A135</f>
        <v>45158</v>
      </c>
      <c r="B1807" s="12" t="str">
        <f>'[1]AUGUST 2023'!B135</f>
        <v>VM</v>
      </c>
      <c r="C1807" s="3">
        <f>'[1]AUGUST 2023'!C135</f>
        <v>0</v>
      </c>
      <c r="D1807" s="3">
        <f>'[1]AUGUST 2023'!D135</f>
        <v>168</v>
      </c>
      <c r="E1807" s="4">
        <f>'[1]AUGUST 2023'!E135</f>
        <v>0</v>
      </c>
      <c r="F1807" s="6">
        <f>'[1]AUGUST 2023'!F135</f>
        <v>0</v>
      </c>
      <c r="G1807" s="4"/>
      <c r="H1807" s="4"/>
    </row>
    <row r="1808" spans="1:8" x14ac:dyDescent="0.2">
      <c r="A1808" s="20">
        <f>'[1]AUGUST 2023'!A136</f>
        <v>45158</v>
      </c>
      <c r="B1808" s="12" t="str">
        <f>'[1]AUGUST 2023'!B136</f>
        <v>LM</v>
      </c>
      <c r="C1808" s="3">
        <f>'[1]AUGUST 2023'!C136</f>
        <v>0</v>
      </c>
      <c r="D1808" s="3">
        <f>'[1]AUGUST 2023'!D136</f>
        <v>95</v>
      </c>
      <c r="E1808" s="4">
        <f>'[1]AUGUST 2023'!E136</f>
        <v>0</v>
      </c>
      <c r="F1808" s="6">
        <f>'[1]AUGUST 2023'!F136</f>
        <v>0</v>
      </c>
      <c r="G1808" s="4"/>
      <c r="H1808" s="4"/>
    </row>
    <row r="1809" spans="1:8" x14ac:dyDescent="0.2">
      <c r="A1809" s="23">
        <f>'[1]AUGUST 2023'!A137</f>
        <v>45158</v>
      </c>
      <c r="B1809" s="12" t="str">
        <f>'[1]AUGUST 2023'!B137</f>
        <v>LM</v>
      </c>
      <c r="C1809" s="3">
        <f>'[1]AUGUST 2023'!C137</f>
        <v>0</v>
      </c>
      <c r="D1809" s="3">
        <f>'[1]AUGUST 2023'!D137</f>
        <v>850</v>
      </c>
      <c r="E1809" s="4">
        <f>'[1]AUGUST 2023'!E137</f>
        <v>0</v>
      </c>
      <c r="F1809" s="6">
        <f>'[1]AUGUST 2023'!F137</f>
        <v>0</v>
      </c>
      <c r="G1809" s="4"/>
      <c r="H1809" s="4"/>
    </row>
    <row r="1810" spans="1:8" x14ac:dyDescent="0.2">
      <c r="A1810" s="20">
        <f>'[1]AUGUST 2023'!A138</f>
        <v>45158</v>
      </c>
      <c r="B1810" s="12" t="str">
        <f>'[1]AUGUST 2023'!B138</f>
        <v>LM</v>
      </c>
      <c r="C1810" s="3">
        <f>'[1]AUGUST 2023'!C138</f>
        <v>0</v>
      </c>
      <c r="D1810" s="3">
        <f>'[1]AUGUST 2023'!D138</f>
        <v>427</v>
      </c>
      <c r="E1810" s="4">
        <f>'[1]AUGUST 2023'!E138</f>
        <v>0</v>
      </c>
      <c r="F1810" s="6">
        <f>'[1]AUGUST 2023'!F138</f>
        <v>0</v>
      </c>
      <c r="G1810" s="4"/>
      <c r="H1810" s="4"/>
    </row>
    <row r="1811" spans="1:8" x14ac:dyDescent="0.2">
      <c r="A1811" s="20">
        <f>'[1]AUGUST 2023'!A142</f>
        <v>45159</v>
      </c>
      <c r="B1811" s="12" t="str">
        <f>'[1]AUGUST 2023'!B142</f>
        <v>LM</v>
      </c>
      <c r="C1811" s="3">
        <f>'[1]AUGUST 2023'!C142</f>
        <v>0</v>
      </c>
      <c r="D1811" s="3">
        <f>'[1]AUGUST 2023'!D142</f>
        <v>490</v>
      </c>
      <c r="E1811" s="4">
        <f>'[1]AUGUST 2023'!E142</f>
        <v>0</v>
      </c>
      <c r="F1811" s="6">
        <f>'[1]AUGUST 2023'!F142</f>
        <v>0</v>
      </c>
      <c r="G1811" s="4"/>
      <c r="H1811" s="4"/>
    </row>
    <row r="1812" spans="1:8" x14ac:dyDescent="0.2">
      <c r="A1812" s="23">
        <f>'[1]AUGUST 2023'!A143</f>
        <v>45159</v>
      </c>
      <c r="B1812" s="12" t="str">
        <f>'[1]AUGUST 2023'!B143</f>
        <v>Rauchen</v>
      </c>
      <c r="C1812" s="3">
        <f>'[1]AUGUST 2023'!C143</f>
        <v>0</v>
      </c>
      <c r="D1812" s="3">
        <f>'[1]AUGUST 2023'!D143</f>
        <v>170</v>
      </c>
      <c r="E1812" s="4">
        <f>'[1]AUGUST 2023'!E143</f>
        <v>0</v>
      </c>
      <c r="F1812" s="6">
        <f>'[1]AUGUST 2023'!F143</f>
        <v>0</v>
      </c>
      <c r="G1812" s="4"/>
      <c r="H1812" s="4"/>
    </row>
    <row r="1813" spans="1:8" x14ac:dyDescent="0.2">
      <c r="A1813" s="20">
        <f>'[1]AUGUST 2023'!A144</f>
        <v>45159</v>
      </c>
      <c r="B1813" s="12" t="str">
        <f>'[1]AUGUST 2023'!B144</f>
        <v>LM</v>
      </c>
      <c r="C1813" s="3">
        <f>'[1]AUGUST 2023'!C144</f>
        <v>0</v>
      </c>
      <c r="D1813" s="3">
        <f>'[1]AUGUST 2023'!D144</f>
        <v>360</v>
      </c>
      <c r="E1813" s="4">
        <f>'[1]AUGUST 2023'!E144</f>
        <v>0</v>
      </c>
      <c r="F1813" s="6">
        <f>'[1]AUGUST 2023'!F144</f>
        <v>0</v>
      </c>
      <c r="G1813" s="4"/>
      <c r="H1813" s="4"/>
    </row>
    <row r="1814" spans="1:8" x14ac:dyDescent="0.2">
      <c r="A1814" s="23">
        <f>'[1]AUGUST 2023'!A145</f>
        <v>45159</v>
      </c>
      <c r="B1814" s="12" t="str">
        <f>'[1]AUGUST 2023'!B145</f>
        <v>Andere</v>
      </c>
      <c r="C1814" s="3">
        <f>'[1]AUGUST 2023'!C145</f>
        <v>0</v>
      </c>
      <c r="D1814" s="3">
        <f>'[1]AUGUST 2023'!D145</f>
        <v>1469.43</v>
      </c>
      <c r="E1814" s="4">
        <f>'[1]AUGUST 2023'!E145</f>
        <v>0</v>
      </c>
      <c r="F1814" s="6">
        <f>'[1]AUGUST 2023'!F145</f>
        <v>0</v>
      </c>
      <c r="G1814" s="4"/>
      <c r="H1814" s="4"/>
    </row>
    <row r="1815" spans="1:8" x14ac:dyDescent="0.2">
      <c r="A1815" s="20">
        <f>'[1]AUGUST 2023'!A146</f>
        <v>45159</v>
      </c>
      <c r="B1815" s="12" t="str">
        <f>'[1]AUGUST 2023'!B146</f>
        <v>VM</v>
      </c>
      <c r="C1815" s="3">
        <f>'[1]AUGUST 2023'!C146</f>
        <v>0</v>
      </c>
      <c r="D1815" s="3">
        <f>'[1]AUGUST 2023'!D146</f>
        <v>0</v>
      </c>
      <c r="E1815" s="4">
        <f>'[1]AUGUST 2023'!E146</f>
        <v>0</v>
      </c>
      <c r="F1815" s="6">
        <f>'[1]AUGUST 2023'!F146</f>
        <v>135.5</v>
      </c>
      <c r="G1815" s="4"/>
      <c r="H1815" s="4"/>
    </row>
    <row r="1816" spans="1:8" x14ac:dyDescent="0.2">
      <c r="A1816" s="23">
        <f>'[1]AUGUST 2023'!A149</f>
        <v>45160</v>
      </c>
      <c r="B1816" s="12" t="str">
        <f>'[1]AUGUST 2023'!B149</f>
        <v>LM</v>
      </c>
      <c r="C1816" s="3">
        <f>'[1]AUGUST 2023'!C149</f>
        <v>0</v>
      </c>
      <c r="D1816" s="3">
        <f>'[1]AUGUST 2023'!D149</f>
        <v>242.97</v>
      </c>
      <c r="E1816" s="4">
        <f>'[1]AUGUST 2023'!E149</f>
        <v>0</v>
      </c>
      <c r="F1816" s="6">
        <f>'[1]AUGUST 2023'!F149</f>
        <v>0</v>
      </c>
      <c r="G1816" s="4"/>
      <c r="H1816" s="4"/>
    </row>
    <row r="1817" spans="1:8" x14ac:dyDescent="0.2">
      <c r="A1817" s="20">
        <f>'[1]AUGUST 2023'!A150</f>
        <v>45160</v>
      </c>
      <c r="B1817" s="12" t="str">
        <f>'[1]AUGUST 2023'!B150</f>
        <v>VM</v>
      </c>
      <c r="C1817" s="3">
        <f>'[1]AUGUST 2023'!C150</f>
        <v>0</v>
      </c>
      <c r="D1817" s="3">
        <f>'[1]AUGUST 2023'!D150</f>
        <v>112</v>
      </c>
      <c r="E1817" s="4">
        <f>'[1]AUGUST 2023'!E150</f>
        <v>0</v>
      </c>
      <c r="F1817" s="6">
        <f>'[1]AUGUST 2023'!F150</f>
        <v>0</v>
      </c>
      <c r="G1817" s="4"/>
      <c r="H1817" s="4"/>
    </row>
    <row r="1818" spans="1:8" x14ac:dyDescent="0.2">
      <c r="A1818" s="20">
        <f>'[1]AUGUST 2023'!A156</f>
        <v>45161</v>
      </c>
      <c r="B1818" s="12" t="str">
        <f>'[1]AUGUST 2023'!B156</f>
        <v>VM</v>
      </c>
      <c r="C1818" s="3">
        <f>'[1]AUGUST 2023'!C156</f>
        <v>0</v>
      </c>
      <c r="D1818" s="3">
        <f>'[1]AUGUST 2023'!D156</f>
        <v>347</v>
      </c>
      <c r="E1818" s="4">
        <f>'[1]AUGUST 2023'!E156</f>
        <v>0</v>
      </c>
      <c r="F1818" s="6">
        <f>'[1]AUGUST 2023'!F156</f>
        <v>247.72</v>
      </c>
      <c r="G1818" s="4"/>
      <c r="H1818" s="4"/>
    </row>
    <row r="1819" spans="1:8" x14ac:dyDescent="0.2">
      <c r="A1819" s="23">
        <f>'[1]AUGUST 2023'!A157</f>
        <v>45161</v>
      </c>
      <c r="B1819" s="12" t="str">
        <f>'[1]AUGUST 2023'!B157</f>
        <v>Andere</v>
      </c>
      <c r="C1819" s="3">
        <f>'[1]AUGUST 2023'!C157</f>
        <v>0</v>
      </c>
      <c r="D1819" s="3">
        <f>'[1]AUGUST 2023'!D157</f>
        <v>10412</v>
      </c>
      <c r="E1819" s="4">
        <f>'[1]AUGUST 2023'!E157</f>
        <v>0</v>
      </c>
      <c r="F1819" s="6">
        <f>'[1]AUGUST 2023'!F157</f>
        <v>0</v>
      </c>
      <c r="G1819" s="4"/>
      <c r="H1819" s="4"/>
    </row>
    <row r="1820" spans="1:8" x14ac:dyDescent="0.2">
      <c r="A1820" s="20">
        <f>'[1]AUGUST 2023'!A158</f>
        <v>45161</v>
      </c>
      <c r="B1820" s="12" t="str">
        <f>'[1]AUGUST 2023'!B158</f>
        <v>LM</v>
      </c>
      <c r="C1820" s="3">
        <f>'[1]AUGUST 2023'!C158</f>
        <v>0</v>
      </c>
      <c r="D1820" s="3">
        <f>'[1]AUGUST 2023'!D158</f>
        <v>325</v>
      </c>
      <c r="E1820" s="4">
        <f>'[1]AUGUST 2023'!E158</f>
        <v>0</v>
      </c>
      <c r="F1820" s="6">
        <f>'[1]AUGUST 2023'!F158</f>
        <v>0</v>
      </c>
      <c r="G1820" s="4"/>
      <c r="H1820" s="4"/>
    </row>
    <row r="1821" spans="1:8" x14ac:dyDescent="0.2">
      <c r="A1821" s="23">
        <f>'[1]AUGUST 2023'!A159</f>
        <v>45161</v>
      </c>
      <c r="B1821" s="12" t="str">
        <f>'[1]AUGUST 2023'!B159</f>
        <v>Rauchen</v>
      </c>
      <c r="C1821" s="3">
        <f>'[1]AUGUST 2023'!C159</f>
        <v>0</v>
      </c>
      <c r="D1821" s="3">
        <f>'[1]AUGUST 2023'!D159</f>
        <v>150</v>
      </c>
      <c r="E1821" s="4">
        <f>'[1]AUGUST 2023'!E159</f>
        <v>0</v>
      </c>
      <c r="F1821" s="6">
        <f>'[1]AUGUST 2023'!F159</f>
        <v>0</v>
      </c>
      <c r="G1821" s="4"/>
      <c r="H1821" s="4"/>
    </row>
    <row r="1822" spans="1:8" x14ac:dyDescent="0.2">
      <c r="A1822" s="23">
        <f>'[1]AUGUST 2023'!A163</f>
        <v>45162</v>
      </c>
      <c r="B1822" s="12" t="str">
        <f>'[1]AUGUST 2023'!B163</f>
        <v>LM</v>
      </c>
      <c r="C1822" s="3">
        <f>'[1]AUGUST 2023'!C163</f>
        <v>0</v>
      </c>
      <c r="D1822" s="3">
        <f>'[1]AUGUST 2023'!D163</f>
        <v>431</v>
      </c>
      <c r="E1822" s="4">
        <f>'[1]AUGUST 2023'!E163</f>
        <v>0</v>
      </c>
      <c r="F1822" s="6">
        <f>'[1]AUGUST 2023'!F163</f>
        <v>0</v>
      </c>
      <c r="G1822" s="4"/>
      <c r="H1822" s="4"/>
    </row>
    <row r="1823" spans="1:8" x14ac:dyDescent="0.2">
      <c r="A1823" s="20">
        <f>'[1]AUGUST 2023'!A164</f>
        <v>45162</v>
      </c>
      <c r="B1823" s="12" t="str">
        <f>'[1]AUGUST 2023'!B164</f>
        <v>Refill</v>
      </c>
      <c r="C1823" s="3">
        <f>'[1]AUGUST 2023'!C164</f>
        <v>59254.97</v>
      </c>
      <c r="D1823" s="3">
        <f>'[1]AUGUST 2023'!D164</f>
        <v>0</v>
      </c>
      <c r="E1823" s="4">
        <f>'[1]AUGUST 2023'!E164</f>
        <v>0</v>
      </c>
      <c r="F1823" s="6">
        <f>'[1]AUGUST 2023'!F164</f>
        <v>0</v>
      </c>
      <c r="G1823" s="4"/>
      <c r="H1823" s="4"/>
    </row>
    <row r="1824" spans="1:8" x14ac:dyDescent="0.2">
      <c r="A1824" s="23">
        <f>'[1]AUGUST 2023'!A165</f>
        <v>45162</v>
      </c>
      <c r="B1824" s="12" t="str">
        <f>'[1]AUGUST 2023'!B165</f>
        <v>VM</v>
      </c>
      <c r="C1824" s="3">
        <f>'[1]AUGUST 2023'!C165</f>
        <v>0</v>
      </c>
      <c r="D1824" s="3">
        <f>'[1]AUGUST 2023'!D165</f>
        <v>0</v>
      </c>
      <c r="E1824" s="4">
        <f>'[1]AUGUST 2023'!E165</f>
        <v>0</v>
      </c>
      <c r="F1824" s="6">
        <f>'[1]AUGUST 2023'!F165</f>
        <v>23.97</v>
      </c>
      <c r="G1824" s="4"/>
      <c r="H1824" s="4"/>
    </row>
    <row r="1825" spans="1:8" x14ac:dyDescent="0.2">
      <c r="A1825" s="20">
        <f>'[1]AUGUST 2023'!A170</f>
        <v>45163</v>
      </c>
      <c r="B1825" s="12" t="str">
        <f>'[1]AUGUST 2023'!B170</f>
        <v>VM</v>
      </c>
      <c r="C1825" s="3">
        <f>'[1]AUGUST 2023'!C170</f>
        <v>0</v>
      </c>
      <c r="D1825" s="3">
        <f>'[1]AUGUST 2023'!D170</f>
        <v>1469</v>
      </c>
      <c r="E1825" s="4">
        <f>'[1]AUGUST 2023'!E170</f>
        <v>0</v>
      </c>
      <c r="F1825" s="6">
        <f>'[1]AUGUST 2023'!F170</f>
        <v>40</v>
      </c>
      <c r="G1825" s="4"/>
      <c r="H1825" s="4"/>
    </row>
    <row r="1826" spans="1:8" x14ac:dyDescent="0.2">
      <c r="A1826" s="23">
        <f>'[1]AUGUST 2023'!A171</f>
        <v>45163</v>
      </c>
      <c r="B1826" s="12" t="str">
        <f>'[1]AUGUST 2023'!B171</f>
        <v>LM</v>
      </c>
      <c r="C1826" s="3">
        <f>'[1]AUGUST 2023'!C171</f>
        <v>0</v>
      </c>
      <c r="D1826" s="3">
        <f>'[1]AUGUST 2023'!D171</f>
        <v>450</v>
      </c>
      <c r="E1826" s="4">
        <f>'[1]AUGUST 2023'!E171</f>
        <v>0</v>
      </c>
      <c r="F1826" s="6">
        <f>'[1]AUGUST 2023'!F171</f>
        <v>0</v>
      </c>
      <c r="G1826" s="4"/>
      <c r="H1826" s="4"/>
    </row>
    <row r="1827" spans="1:8" x14ac:dyDescent="0.2">
      <c r="A1827" s="23">
        <f>'[1]AUGUST 2023'!A177</f>
        <v>45164</v>
      </c>
      <c r="B1827" s="12" t="str">
        <f>'[1]AUGUST 2023'!B177</f>
        <v>VM</v>
      </c>
      <c r="C1827" s="3">
        <f>'[1]AUGUST 2023'!C177</f>
        <v>0</v>
      </c>
      <c r="D1827" s="3">
        <f>'[1]AUGUST 2023'!D177</f>
        <v>112</v>
      </c>
      <c r="E1827" s="4">
        <f>'[1]AUGUST 2023'!E177</f>
        <v>0</v>
      </c>
      <c r="F1827" s="6">
        <f>'[1]AUGUST 2023'!F177</f>
        <v>0</v>
      </c>
      <c r="G1827" s="4"/>
      <c r="H1827" s="4"/>
    </row>
    <row r="1828" spans="1:8" x14ac:dyDescent="0.2">
      <c r="A1828" s="20">
        <f>'[1]AUGUST 2023'!A178</f>
        <v>45164</v>
      </c>
      <c r="B1828" s="12" t="str">
        <f>'[1]AUGUST 2023'!B178</f>
        <v>Andere</v>
      </c>
      <c r="C1828" s="3">
        <f>'[1]AUGUST 2023'!C178</f>
        <v>0</v>
      </c>
      <c r="D1828" s="3">
        <f>'[1]AUGUST 2023'!D178</f>
        <v>120</v>
      </c>
      <c r="E1828" s="4">
        <f>'[1]AUGUST 2023'!E178</f>
        <v>0</v>
      </c>
      <c r="F1828" s="6">
        <f>'[1]AUGUST 2023'!F178</f>
        <v>0</v>
      </c>
      <c r="G1828" s="4"/>
      <c r="H1828" s="4"/>
    </row>
    <row r="1829" spans="1:8" x14ac:dyDescent="0.2">
      <c r="A1829" s="20">
        <f>'[1]AUGUST 2023'!A212</f>
        <v>45169</v>
      </c>
      <c r="B1829" s="12" t="str">
        <f>'[1]AUGUST 2023'!B212</f>
        <v>Refill</v>
      </c>
      <c r="C1829" s="3">
        <f>'[1]AUGUST 2023'!C212</f>
        <v>2484.25</v>
      </c>
      <c r="D1829" s="3">
        <f>'[1]AUGUST 2023'!D212</f>
        <v>0</v>
      </c>
      <c r="E1829" s="4">
        <f>'[1]AUGUST 2023'!E212</f>
        <v>0</v>
      </c>
      <c r="F1829" s="6">
        <f>'[1]AUGUST 2023'!F212</f>
        <v>0</v>
      </c>
      <c r="G1829" s="4"/>
      <c r="H1829" s="4"/>
    </row>
    <row r="1830" spans="1:8" x14ac:dyDescent="0.2">
      <c r="A1830" s="23">
        <f>'[1]SEPTEMBER 2023'!A2</f>
        <v>45170</v>
      </c>
      <c r="B1830" s="12" t="str">
        <f>'[1]SEPTEMBER 2023'!B2</f>
        <v>LM</v>
      </c>
      <c r="C1830" s="3">
        <f>'[1]SEPTEMBER 2023'!C2</f>
        <v>0</v>
      </c>
      <c r="D1830" s="3">
        <f>'[1]SEPTEMBER 2023'!D2</f>
        <v>0</v>
      </c>
      <c r="E1830" s="4">
        <f>'[1]SEPTEMBER 2023'!E2</f>
        <v>0</v>
      </c>
      <c r="F1830" s="6">
        <f>'[1]SEPTEMBER 2023'!F2</f>
        <v>0</v>
      </c>
      <c r="G1830" s="4"/>
      <c r="H1830" s="4"/>
    </row>
    <row r="1831" spans="1:8" x14ac:dyDescent="0.2">
      <c r="A1831" s="20">
        <f>'[1]SEPTEMBER 2023'!A3</f>
        <v>45170</v>
      </c>
      <c r="B1831" s="12" t="str">
        <f>'[1]SEPTEMBER 2023'!B3</f>
        <v>VM</v>
      </c>
      <c r="C1831" s="3">
        <f>'[1]SEPTEMBER 2023'!C3</f>
        <v>0</v>
      </c>
      <c r="D1831" s="3">
        <f>'[1]SEPTEMBER 2023'!D3</f>
        <v>0</v>
      </c>
      <c r="E1831" s="4">
        <f>'[1]SEPTEMBER 2023'!E3</f>
        <v>0</v>
      </c>
      <c r="F1831" s="6">
        <f>'[1]SEPTEMBER 2023'!F3</f>
        <v>0</v>
      </c>
      <c r="G1831" s="4"/>
      <c r="H1831" s="4"/>
    </row>
    <row r="1832" spans="1:8" x14ac:dyDescent="0.2">
      <c r="A1832" s="23">
        <f>'[1]SEPTEMBER 2023'!A4</f>
        <v>45170</v>
      </c>
      <c r="B1832" s="12" t="str">
        <f>'[1]SEPTEMBER 2023'!B4</f>
        <v>Andere</v>
      </c>
      <c r="C1832" s="3">
        <f>'[1]SEPTEMBER 2023'!C4</f>
        <v>0</v>
      </c>
      <c r="D1832" s="3">
        <f>'[1]SEPTEMBER 2023'!D4</f>
        <v>0</v>
      </c>
      <c r="E1832" s="4">
        <f>'[1]SEPTEMBER 2023'!E4</f>
        <v>0</v>
      </c>
      <c r="F1832" s="6">
        <f>'[1]SEPTEMBER 2023'!F4</f>
        <v>0</v>
      </c>
      <c r="G1832" s="4"/>
      <c r="H1832" s="4"/>
    </row>
    <row r="1833" spans="1:8" x14ac:dyDescent="0.2">
      <c r="A1833" s="20">
        <f>'[1]SEPTEMBER 2023'!A5</f>
        <v>45170</v>
      </c>
      <c r="B1833" s="12" t="str">
        <f>'[1]SEPTEMBER 2023'!B5</f>
        <v>for me</v>
      </c>
      <c r="C1833" s="3">
        <f>'[1]SEPTEMBER 2023'!C5</f>
        <v>0</v>
      </c>
      <c r="D1833" s="3">
        <f>'[1]SEPTEMBER 2023'!D5</f>
        <v>0</v>
      </c>
      <c r="E1833" s="4">
        <f>'[1]SEPTEMBER 2023'!E5</f>
        <v>0</v>
      </c>
      <c r="F1833" s="6">
        <f>'[1]SEPTEMBER 2023'!F5</f>
        <v>0</v>
      </c>
      <c r="G1833" s="4"/>
      <c r="H1833" s="4"/>
    </row>
    <row r="1834" spans="1:8" x14ac:dyDescent="0.2">
      <c r="A1834" s="23">
        <f>'[1]SEPTEMBER 2023'!A6</f>
        <v>45170</v>
      </c>
      <c r="B1834" s="12" t="str">
        <f>'[1]SEPTEMBER 2023'!B6</f>
        <v>Party</v>
      </c>
      <c r="C1834" s="3">
        <f>'[1]SEPTEMBER 2023'!C6</f>
        <v>0</v>
      </c>
      <c r="D1834" s="3">
        <f>'[1]SEPTEMBER 2023'!D6</f>
        <v>0</v>
      </c>
      <c r="E1834" s="4">
        <f>'[1]SEPTEMBER 2023'!E6</f>
        <v>0</v>
      </c>
      <c r="F1834" s="6">
        <f>'[1]SEPTEMBER 2023'!F6</f>
        <v>0</v>
      </c>
      <c r="G1834" s="4"/>
      <c r="H1834" s="4"/>
    </row>
    <row r="1835" spans="1:8" x14ac:dyDescent="0.2">
      <c r="A1835" s="20">
        <f>'[1]SEPTEMBER 2023'!A7</f>
        <v>45170</v>
      </c>
      <c r="B1835" s="12" t="str">
        <f>'[1]SEPTEMBER 2023'!B7</f>
        <v>Kleidung</v>
      </c>
      <c r="C1835" s="3">
        <f>'[1]SEPTEMBER 2023'!C7</f>
        <v>0</v>
      </c>
      <c r="D1835" s="3">
        <f>'[1]SEPTEMBER 2023'!D7</f>
        <v>0</v>
      </c>
      <c r="E1835" s="4">
        <f>'[1]SEPTEMBER 2023'!E7</f>
        <v>0</v>
      </c>
      <c r="F1835" s="6">
        <f>'[1]SEPTEMBER 2023'!F7</f>
        <v>0</v>
      </c>
      <c r="G1835" s="4"/>
      <c r="H1835" s="4"/>
    </row>
    <row r="1836" spans="1:8" x14ac:dyDescent="0.2">
      <c r="A1836" s="20">
        <f>'[1]SEPTEMBER 2023'!A9</f>
        <v>45171</v>
      </c>
      <c r="B1836" s="12" t="str">
        <f>'[1]SEPTEMBER 2023'!B9</f>
        <v>rent</v>
      </c>
      <c r="C1836" s="3">
        <f>'[1]SEPTEMBER 2023'!C9</f>
        <v>0</v>
      </c>
      <c r="D1836" s="3">
        <f>'[1]SEPTEMBER 2023'!D9</f>
        <v>35000</v>
      </c>
      <c r="E1836" s="4">
        <f>'[1]SEPTEMBER 2023'!E9</f>
        <v>0</v>
      </c>
      <c r="F1836" s="6">
        <f>'[1]SEPTEMBER 2023'!F9</f>
        <v>0</v>
      </c>
      <c r="G1836" s="4"/>
      <c r="H1836" s="4"/>
    </row>
    <row r="1837" spans="1:8" x14ac:dyDescent="0.2">
      <c r="A1837" s="23">
        <f>'[1]SEPTEMBER 2023'!A10</f>
        <v>45171</v>
      </c>
      <c r="B1837" s="12" t="str">
        <f>'[1]SEPTEMBER 2023'!B10</f>
        <v>Andere</v>
      </c>
      <c r="C1837" s="3">
        <f>'[1]SEPTEMBER 2023'!C10</f>
        <v>0</v>
      </c>
      <c r="D1837" s="3">
        <f>'[1]SEPTEMBER 2023'!D10</f>
        <v>1000</v>
      </c>
      <c r="E1837" s="4">
        <f>'[1]SEPTEMBER 2023'!E10</f>
        <v>0</v>
      </c>
      <c r="F1837" s="6">
        <f>'[1]SEPTEMBER 2023'!F10</f>
        <v>0</v>
      </c>
      <c r="G1837" s="4"/>
      <c r="H1837" s="4"/>
    </row>
    <row r="1838" spans="1:8" x14ac:dyDescent="0.2">
      <c r="A1838" s="20">
        <f>'[1]SEPTEMBER 2023'!A51</f>
        <v>45177</v>
      </c>
      <c r="B1838" s="12" t="str">
        <f>'[1]SEPTEMBER 2023'!B51</f>
        <v>Refill</v>
      </c>
      <c r="C1838" s="3">
        <f>'[1]SEPTEMBER 2023'!C51</f>
        <v>41669.65</v>
      </c>
      <c r="D1838" s="3">
        <f>'[1]SEPTEMBER 2023'!D51</f>
        <v>0</v>
      </c>
      <c r="E1838" s="4">
        <f>'[1]SEPTEMBER 2023'!E51</f>
        <v>0</v>
      </c>
      <c r="F1838" s="6">
        <f>'[1]SEPTEMBER 2023'!F51</f>
        <v>0</v>
      </c>
      <c r="G1838" s="4"/>
      <c r="H1838" s="4"/>
    </row>
    <row r="1839" spans="1:8" x14ac:dyDescent="0.2">
      <c r="A1839" s="23">
        <f>'[1]SEPTEMBER 2023'!A58</f>
        <v>45178</v>
      </c>
      <c r="B1839" s="12" t="str">
        <f>'[1]SEPTEMBER 2023'!B58</f>
        <v>Andere</v>
      </c>
      <c r="C1839" s="3">
        <f>'[1]SEPTEMBER 2023'!C58</f>
        <v>0</v>
      </c>
      <c r="D1839" s="3">
        <f>'[1]SEPTEMBER 2023'!D58</f>
        <v>3000</v>
      </c>
      <c r="E1839" s="4">
        <f>'[1]SEPTEMBER 2023'!E58</f>
        <v>0</v>
      </c>
      <c r="F1839" s="6">
        <f>'[1]SEPTEMBER 2023'!F58</f>
        <v>0</v>
      </c>
      <c r="G1839" s="4"/>
      <c r="H1839" s="4"/>
    </row>
    <row r="1840" spans="1:8" x14ac:dyDescent="0.2">
      <c r="A1840" s="20">
        <f>'[1]SEPTEMBER 2023'!A59</f>
        <v>45178</v>
      </c>
      <c r="B1840" s="12" t="str">
        <f>'[1]SEPTEMBER 2023'!B59</f>
        <v>LM</v>
      </c>
      <c r="C1840" s="3">
        <f>'[1]SEPTEMBER 2023'!C59</f>
        <v>0</v>
      </c>
      <c r="D1840" s="3">
        <f>'[1]SEPTEMBER 2023'!D59</f>
        <v>1063.83</v>
      </c>
      <c r="E1840" s="4">
        <f>'[1]SEPTEMBER 2023'!E59</f>
        <v>0</v>
      </c>
      <c r="F1840" s="6">
        <f>'[1]SEPTEMBER 2023'!F59</f>
        <v>0</v>
      </c>
      <c r="G1840" s="4"/>
      <c r="H1840" s="4"/>
    </row>
    <row r="1841" spans="1:8" x14ac:dyDescent="0.2">
      <c r="A1841" s="20">
        <f>'[1]SEPTEMBER 2023'!A65</f>
        <v>45179</v>
      </c>
      <c r="B1841" s="12" t="str">
        <f>'[1]SEPTEMBER 2023'!B65</f>
        <v>LM</v>
      </c>
      <c r="C1841" s="3">
        <f>'[1]SEPTEMBER 2023'!C65</f>
        <v>0</v>
      </c>
      <c r="D1841" s="3">
        <f>'[1]SEPTEMBER 2023'!D65</f>
        <v>19.989999999999998</v>
      </c>
      <c r="E1841" s="4">
        <f>'[1]SEPTEMBER 2023'!E65</f>
        <v>0</v>
      </c>
      <c r="F1841" s="6">
        <f>'[1]SEPTEMBER 2023'!F65</f>
        <v>0</v>
      </c>
      <c r="G1841" s="4"/>
      <c r="H1841" s="4"/>
    </row>
    <row r="1842" spans="1:8" x14ac:dyDescent="0.2">
      <c r="A1842" s="23">
        <f>'[1]SEPTEMBER 2023'!A66</f>
        <v>45179</v>
      </c>
      <c r="B1842" s="12" t="str">
        <f>'[1]SEPTEMBER 2023'!B66</f>
        <v>VM</v>
      </c>
      <c r="C1842" s="3">
        <f>'[1]SEPTEMBER 2023'!C66</f>
        <v>0</v>
      </c>
      <c r="D1842" s="3">
        <f>'[1]SEPTEMBER 2023'!D66</f>
        <v>3879.4</v>
      </c>
      <c r="E1842" s="4">
        <f>'[1]SEPTEMBER 2023'!E66</f>
        <v>0</v>
      </c>
      <c r="F1842" s="6">
        <f>'[1]SEPTEMBER 2023'!F66</f>
        <v>0</v>
      </c>
      <c r="G1842" s="4"/>
      <c r="H1842" s="4"/>
    </row>
    <row r="1843" spans="1:8" x14ac:dyDescent="0.2">
      <c r="A1843" s="20">
        <f>'[1]SEPTEMBER 2023'!A79</f>
        <v>45181</v>
      </c>
      <c r="B1843" s="12" t="str">
        <f>'[1]SEPTEMBER 2023'!B79</f>
        <v>VM</v>
      </c>
      <c r="C1843" s="3">
        <f>'[1]SEPTEMBER 2023'!C79</f>
        <v>0</v>
      </c>
      <c r="D1843" s="3">
        <f>'[1]SEPTEMBER 2023'!D79</f>
        <v>1600</v>
      </c>
      <c r="E1843" s="4">
        <f>'[1]SEPTEMBER 2023'!E79</f>
        <v>0</v>
      </c>
      <c r="F1843" s="6">
        <f>'[1]SEPTEMBER 2023'!F79</f>
        <v>0</v>
      </c>
      <c r="G1843" s="4"/>
      <c r="H1843" s="4"/>
    </row>
    <row r="1844" spans="1:8" x14ac:dyDescent="0.2">
      <c r="A1844" s="23">
        <f>'[1]SEPTEMBER 2023'!A80</f>
        <v>45181</v>
      </c>
      <c r="B1844" s="12" t="str">
        <f>'[1]SEPTEMBER 2023'!B80</f>
        <v>Andere</v>
      </c>
      <c r="C1844" s="3">
        <f>'[1]SEPTEMBER 2023'!C80</f>
        <v>0</v>
      </c>
      <c r="D1844" s="3">
        <f>'[1]SEPTEMBER 2023'!D80</f>
        <v>1000</v>
      </c>
      <c r="E1844" s="4">
        <f>'[1]SEPTEMBER 2023'!E80</f>
        <v>0</v>
      </c>
      <c r="F1844" s="6">
        <f>'[1]SEPTEMBER 2023'!F80</f>
        <v>0</v>
      </c>
      <c r="G1844" s="4"/>
      <c r="H1844" s="4"/>
    </row>
    <row r="1845" spans="1:8" x14ac:dyDescent="0.2">
      <c r="A1845" s="23">
        <f>'[1]SEPTEMBER 2023'!A86</f>
        <v>45182</v>
      </c>
      <c r="B1845" s="12" t="str">
        <f>'[1]SEPTEMBER 2023'!B86</f>
        <v>LM</v>
      </c>
      <c r="C1845" s="3">
        <f>'[1]SEPTEMBER 2023'!C86</f>
        <v>0</v>
      </c>
      <c r="D1845" s="3">
        <f>'[1]SEPTEMBER 2023'!D86</f>
        <v>940.49</v>
      </c>
      <c r="E1845" s="4">
        <f>'[1]SEPTEMBER 2023'!E86</f>
        <v>0</v>
      </c>
      <c r="F1845" s="6">
        <f>'[1]SEPTEMBER 2023'!F86</f>
        <v>0</v>
      </c>
      <c r="G1845" s="4"/>
      <c r="H1845" s="4"/>
    </row>
    <row r="1846" spans="1:8" x14ac:dyDescent="0.2">
      <c r="A1846" s="20">
        <f>'[1]SEPTEMBER 2023'!A93</f>
        <v>45183</v>
      </c>
      <c r="B1846" s="12" t="str">
        <f>'[1]SEPTEMBER 2023'!B93</f>
        <v>LM</v>
      </c>
      <c r="C1846" s="3">
        <f>'[1]SEPTEMBER 2023'!C93</f>
        <v>0</v>
      </c>
      <c r="D1846" s="3">
        <f>'[1]SEPTEMBER 2023'!D93</f>
        <v>430</v>
      </c>
      <c r="E1846" s="4">
        <f>'[1]SEPTEMBER 2023'!E93</f>
        <v>0</v>
      </c>
      <c r="F1846" s="6">
        <f>'[1]SEPTEMBER 2023'!F93</f>
        <v>0</v>
      </c>
      <c r="G1846" s="4"/>
      <c r="H1846" s="4"/>
    </row>
    <row r="1847" spans="1:8" x14ac:dyDescent="0.2">
      <c r="A1847" s="23">
        <f>'[1]SEPTEMBER 2023'!A100</f>
        <v>45184</v>
      </c>
      <c r="B1847" s="12" t="str">
        <f>'[1]SEPTEMBER 2023'!B100</f>
        <v>VM</v>
      </c>
      <c r="C1847" s="3">
        <f>'[1]SEPTEMBER 2023'!C100</f>
        <v>0</v>
      </c>
      <c r="D1847" s="3">
        <f>'[1]SEPTEMBER 2023'!D100</f>
        <v>112</v>
      </c>
      <c r="E1847" s="4">
        <f>'[1]SEPTEMBER 2023'!E100</f>
        <v>0</v>
      </c>
      <c r="F1847" s="6">
        <f>'[1]SEPTEMBER 2023'!F100</f>
        <v>0</v>
      </c>
      <c r="G1847" s="4"/>
      <c r="H1847" s="4"/>
    </row>
    <row r="1848" spans="1:8" x14ac:dyDescent="0.2">
      <c r="A1848" s="20">
        <f>'[1]SEPTEMBER 2023'!A107</f>
        <v>45185</v>
      </c>
      <c r="B1848" s="12" t="str">
        <f>'[1]SEPTEMBER 2023'!B107</f>
        <v>LM</v>
      </c>
      <c r="C1848" s="3">
        <f>'[1]SEPTEMBER 2023'!C107</f>
        <v>0</v>
      </c>
      <c r="D1848" s="3">
        <f>'[1]SEPTEMBER 2023'!D107</f>
        <v>1906.03</v>
      </c>
      <c r="E1848" s="4">
        <f>'[1]SEPTEMBER 2023'!E107</f>
        <v>0</v>
      </c>
      <c r="F1848" s="6">
        <f>'[1]SEPTEMBER 2023'!F107</f>
        <v>0</v>
      </c>
      <c r="G1848" s="4"/>
      <c r="H1848" s="4"/>
    </row>
    <row r="1849" spans="1:8" x14ac:dyDescent="0.2">
      <c r="A1849" s="23">
        <f>'[1]SEPTEMBER 2023'!A114</f>
        <v>45186</v>
      </c>
      <c r="B1849" s="12" t="str">
        <f>'[1]SEPTEMBER 2023'!B114</f>
        <v>LM</v>
      </c>
      <c r="C1849" s="3">
        <f>'[1]SEPTEMBER 2023'!C114</f>
        <v>0</v>
      </c>
      <c r="D1849" s="3">
        <f>'[1]SEPTEMBER 2023'!D114</f>
        <v>380</v>
      </c>
      <c r="E1849" s="4">
        <f>'[1]SEPTEMBER 2023'!E114</f>
        <v>0</v>
      </c>
      <c r="F1849" s="6">
        <f>'[1]SEPTEMBER 2023'!F114</f>
        <v>0</v>
      </c>
      <c r="G1849" s="4"/>
      <c r="H1849" s="4"/>
    </row>
    <row r="1850" spans="1:8" x14ac:dyDescent="0.2">
      <c r="A1850" s="20">
        <f>'[1]SEPTEMBER 2023'!A115</f>
        <v>45186</v>
      </c>
      <c r="B1850" s="12" t="str">
        <f>'[1]SEPTEMBER 2023'!B115</f>
        <v>rent</v>
      </c>
      <c r="C1850" s="3">
        <f>'[1]SEPTEMBER 2023'!C115</f>
        <v>0</v>
      </c>
      <c r="D1850" s="3">
        <f>'[1]SEPTEMBER 2023'!D115</f>
        <v>55000</v>
      </c>
      <c r="E1850" s="4">
        <f>'[1]SEPTEMBER 2023'!E115</f>
        <v>0</v>
      </c>
      <c r="F1850" s="6">
        <f>'[1]SEPTEMBER 2023'!F115</f>
        <v>0</v>
      </c>
      <c r="G1850" s="4"/>
      <c r="H1850" s="4"/>
    </row>
    <row r="1851" spans="1:8" x14ac:dyDescent="0.2">
      <c r="A1851" s="23">
        <f>'[1]SEPTEMBER 2023'!A116</f>
        <v>45186</v>
      </c>
      <c r="B1851" s="12" t="str">
        <f>'[1]SEPTEMBER 2023'!B116</f>
        <v>none</v>
      </c>
      <c r="C1851" s="3">
        <f>'[1]SEPTEMBER 2023'!C116</f>
        <v>0</v>
      </c>
      <c r="D1851" s="3">
        <f>'[1]SEPTEMBER 2023'!D116</f>
        <v>55000</v>
      </c>
      <c r="E1851" s="4">
        <f>'[1]SEPTEMBER 2023'!E116</f>
        <v>0</v>
      </c>
      <c r="F1851" s="6">
        <f>'[1]SEPTEMBER 2023'!F116</f>
        <v>0</v>
      </c>
      <c r="G1851" s="4"/>
      <c r="H1851" s="4"/>
    </row>
    <row r="1852" spans="1:8" x14ac:dyDescent="0.2">
      <c r="A1852" s="20">
        <f>'[1]SEPTEMBER 2023'!A117</f>
        <v>45186</v>
      </c>
      <c r="B1852" s="12" t="str">
        <f>'[1]SEPTEMBER 2023'!B117</f>
        <v>Andere</v>
      </c>
      <c r="C1852" s="3">
        <f>'[1]SEPTEMBER 2023'!C117</f>
        <v>0</v>
      </c>
      <c r="D1852" s="3">
        <f>'[1]SEPTEMBER 2023'!D117</f>
        <v>345</v>
      </c>
      <c r="E1852" s="4">
        <f>'[1]SEPTEMBER 2023'!E117</f>
        <v>0</v>
      </c>
      <c r="F1852" s="6">
        <f>'[1]SEPTEMBER 2023'!F117</f>
        <v>600</v>
      </c>
      <c r="G1852" s="4"/>
      <c r="H1852" s="4"/>
    </row>
    <row r="1853" spans="1:8" x14ac:dyDescent="0.2">
      <c r="A1853" s="23">
        <f>'[1]SEPTEMBER 2023'!A118</f>
        <v>45186</v>
      </c>
      <c r="B1853" s="12" t="str">
        <f>'[1]SEPTEMBER 2023'!B118</f>
        <v>LM</v>
      </c>
      <c r="C1853" s="3">
        <f>'[1]SEPTEMBER 2023'!C118</f>
        <v>0</v>
      </c>
      <c r="D1853" s="3">
        <f>'[1]SEPTEMBER 2023'!D118</f>
        <v>300</v>
      </c>
      <c r="E1853" s="4">
        <f>'[1]SEPTEMBER 2023'!E118</f>
        <v>0</v>
      </c>
      <c r="F1853" s="6">
        <f>'[1]SEPTEMBER 2023'!F118</f>
        <v>0</v>
      </c>
      <c r="G1853" s="4"/>
      <c r="H1853" s="4"/>
    </row>
    <row r="1854" spans="1:8" x14ac:dyDescent="0.2">
      <c r="A1854" s="20">
        <f>'[1]SEPTEMBER 2023'!A121</f>
        <v>45187</v>
      </c>
      <c r="B1854" s="12" t="str">
        <f>'[1]SEPTEMBER 2023'!B121</f>
        <v>VM</v>
      </c>
      <c r="C1854" s="3">
        <f>'[1]SEPTEMBER 2023'!C121</f>
        <v>0</v>
      </c>
      <c r="D1854" s="3">
        <f>'[1]SEPTEMBER 2023'!D121</f>
        <v>112</v>
      </c>
      <c r="E1854" s="4">
        <f>'[1]SEPTEMBER 2023'!E121</f>
        <v>0</v>
      </c>
      <c r="F1854" s="6">
        <f>'[1]SEPTEMBER 2023'!F121</f>
        <v>0</v>
      </c>
      <c r="G1854" s="4"/>
      <c r="H1854" s="4"/>
    </row>
    <row r="1855" spans="1:8" x14ac:dyDescent="0.2">
      <c r="A1855" s="23">
        <f>'[1]SEPTEMBER 2023'!A128</f>
        <v>45188</v>
      </c>
      <c r="B1855" s="12" t="str">
        <f>'[1]SEPTEMBER 2023'!B128</f>
        <v>Kleidung</v>
      </c>
      <c r="C1855" s="3">
        <f>'[1]SEPTEMBER 2023'!C128</f>
        <v>0</v>
      </c>
      <c r="D1855" s="3">
        <f>'[1]SEPTEMBER 2023'!D128</f>
        <v>1392</v>
      </c>
      <c r="E1855" s="4">
        <f>'[1]SEPTEMBER 2023'!E128</f>
        <v>0</v>
      </c>
      <c r="F1855" s="6">
        <f>'[1]SEPTEMBER 2023'!F128</f>
        <v>0</v>
      </c>
      <c r="G1855" s="4"/>
      <c r="H1855" s="4"/>
    </row>
    <row r="1856" spans="1:8" x14ac:dyDescent="0.2">
      <c r="A1856" s="20">
        <f>'[1]SEPTEMBER 2023'!A129</f>
        <v>45188</v>
      </c>
      <c r="B1856" s="12" t="str">
        <f>'[1]SEPTEMBER 2023'!B129</f>
        <v>LM</v>
      </c>
      <c r="C1856" s="3">
        <f>'[1]SEPTEMBER 2023'!C129</f>
        <v>0</v>
      </c>
      <c r="D1856" s="3">
        <f>'[1]SEPTEMBER 2023'!D129</f>
        <v>221.98</v>
      </c>
      <c r="E1856" s="4">
        <f>'[1]SEPTEMBER 2023'!E129</f>
        <v>0</v>
      </c>
      <c r="F1856" s="6">
        <f>'[1]SEPTEMBER 2023'!F129</f>
        <v>0</v>
      </c>
      <c r="G1856" s="4"/>
      <c r="H1856" s="4"/>
    </row>
    <row r="1857" spans="1:8" x14ac:dyDescent="0.2">
      <c r="A1857" s="20">
        <f>'[1]SEPTEMBER 2023'!A135</f>
        <v>45189</v>
      </c>
      <c r="B1857" s="12" t="str">
        <f>'[1]SEPTEMBER 2023'!B135</f>
        <v>LM</v>
      </c>
      <c r="C1857" s="3">
        <f>'[1]SEPTEMBER 2023'!C135</f>
        <v>0</v>
      </c>
      <c r="D1857" s="3">
        <f>'[1]SEPTEMBER 2023'!D135</f>
        <v>430</v>
      </c>
      <c r="E1857" s="4">
        <f>'[1]SEPTEMBER 2023'!E135</f>
        <v>0</v>
      </c>
      <c r="F1857" s="6">
        <f>'[1]SEPTEMBER 2023'!F135</f>
        <v>0</v>
      </c>
      <c r="G1857" s="4"/>
      <c r="H1857" s="4"/>
    </row>
    <row r="1858" spans="1:8" x14ac:dyDescent="0.2">
      <c r="A1858" s="23">
        <f>'[1]SEPTEMBER 2023'!A142</f>
        <v>45190</v>
      </c>
      <c r="B1858" s="12" t="str">
        <f>'[1]SEPTEMBER 2023'!B142</f>
        <v>VM</v>
      </c>
      <c r="C1858" s="3">
        <f>'[1]SEPTEMBER 2023'!C142</f>
        <v>0</v>
      </c>
      <c r="D1858" s="3">
        <f>'[1]SEPTEMBER 2023'!D142</f>
        <v>112</v>
      </c>
      <c r="E1858" s="4">
        <f>'[1]SEPTEMBER 2023'!E142</f>
        <v>0</v>
      </c>
      <c r="F1858" s="6">
        <f>'[1]SEPTEMBER 2023'!F142</f>
        <v>0</v>
      </c>
      <c r="G1858" s="4"/>
      <c r="H1858" s="4"/>
    </row>
    <row r="1859" spans="1:8" x14ac:dyDescent="0.2">
      <c r="A1859" s="20">
        <f>'[1]SEPTEMBER 2023'!A143</f>
        <v>45190</v>
      </c>
      <c r="B1859" s="12" t="str">
        <f>'[1]SEPTEMBER 2023'!B143</f>
        <v>LM</v>
      </c>
      <c r="C1859" s="3">
        <f>'[1]SEPTEMBER 2023'!C143</f>
        <v>0</v>
      </c>
      <c r="D1859" s="3">
        <f>'[1]SEPTEMBER 2023'!D143</f>
        <v>680.94</v>
      </c>
      <c r="E1859" s="4">
        <f>'[1]SEPTEMBER 2023'!E143</f>
        <v>0</v>
      </c>
      <c r="F1859" s="6">
        <f>'[1]SEPTEMBER 2023'!F143</f>
        <v>0</v>
      </c>
      <c r="G1859" s="4"/>
      <c r="H1859" s="4"/>
    </row>
    <row r="1860" spans="1:8" x14ac:dyDescent="0.2">
      <c r="A1860" s="20">
        <f>'[1]SEPTEMBER 2023'!A149</f>
        <v>45191</v>
      </c>
      <c r="B1860" s="12" t="str">
        <f>'[1]SEPTEMBER 2023'!B149</f>
        <v>Refill</v>
      </c>
      <c r="C1860" s="3">
        <f>'[1]SEPTEMBER 2023'!C149</f>
        <v>42753.86</v>
      </c>
      <c r="D1860" s="3">
        <f>'[1]SEPTEMBER 2023'!D149</f>
        <v>0</v>
      </c>
      <c r="E1860" s="4">
        <f>'[1]SEPTEMBER 2023'!E149</f>
        <v>0</v>
      </c>
      <c r="F1860" s="6">
        <f>'[1]SEPTEMBER 2023'!F149</f>
        <v>0</v>
      </c>
      <c r="G1860" s="4"/>
      <c r="H1860" s="4"/>
    </row>
    <row r="1861" spans="1:8" x14ac:dyDescent="0.2">
      <c r="A1861" s="23">
        <f>'[1]SEPTEMBER 2023'!A150</f>
        <v>45191</v>
      </c>
      <c r="B1861" s="12" t="str">
        <f>'[1]SEPTEMBER 2023'!B150</f>
        <v>LM</v>
      </c>
      <c r="C1861" s="3">
        <f>'[1]SEPTEMBER 2023'!C150</f>
        <v>0</v>
      </c>
      <c r="D1861" s="3">
        <f>'[1]SEPTEMBER 2023'!D150</f>
        <v>425</v>
      </c>
      <c r="E1861" s="4">
        <f>'[1]SEPTEMBER 2023'!E150</f>
        <v>0</v>
      </c>
      <c r="F1861" s="6">
        <f>'[1]SEPTEMBER 2023'!F150</f>
        <v>0</v>
      </c>
      <c r="G1861" s="4"/>
      <c r="H1861" s="4"/>
    </row>
    <row r="1862" spans="1:8" x14ac:dyDescent="0.2">
      <c r="A1862" s="20">
        <f>'[1]SEPTEMBER 2023'!A151</f>
        <v>45191</v>
      </c>
      <c r="B1862" s="12" t="str">
        <f>'[1]SEPTEMBER 2023'!B151</f>
        <v>for me</v>
      </c>
      <c r="C1862" s="3">
        <f>'[1]SEPTEMBER 2023'!C151</f>
        <v>0</v>
      </c>
      <c r="D1862" s="3">
        <f>'[1]SEPTEMBER 2023'!D151</f>
        <v>2969</v>
      </c>
      <c r="E1862" s="4">
        <f>'[1]SEPTEMBER 2023'!E151</f>
        <v>0</v>
      </c>
      <c r="F1862" s="6">
        <f>'[1]SEPTEMBER 2023'!F151</f>
        <v>0</v>
      </c>
      <c r="G1862" s="4"/>
      <c r="H1862" s="4"/>
    </row>
    <row r="1863" spans="1:8" x14ac:dyDescent="0.2">
      <c r="A1863" s="23">
        <f>'[1]SEPTEMBER 2023'!A156</f>
        <v>45192</v>
      </c>
      <c r="B1863" s="12" t="str">
        <f>'[1]SEPTEMBER 2023'!B156</f>
        <v>LM</v>
      </c>
      <c r="C1863" s="3">
        <f>'[1]SEPTEMBER 2023'!C156</f>
        <v>0</v>
      </c>
      <c r="D1863" s="3">
        <f>'[1]SEPTEMBER 2023'!D156</f>
        <v>535</v>
      </c>
      <c r="E1863" s="4">
        <f>'[1]SEPTEMBER 2023'!E156</f>
        <v>0</v>
      </c>
      <c r="F1863" s="6">
        <f>'[1]SEPTEMBER 2023'!F156</f>
        <v>0</v>
      </c>
      <c r="G1863" s="4"/>
      <c r="H1863" s="4"/>
    </row>
    <row r="1864" spans="1:8" x14ac:dyDescent="0.2">
      <c r="A1864" s="20">
        <f>'[1]SEPTEMBER 2023'!A157</f>
        <v>45192</v>
      </c>
      <c r="B1864" s="12" t="str">
        <f>'[1]SEPTEMBER 2023'!B157</f>
        <v>VM</v>
      </c>
      <c r="C1864" s="3">
        <f>'[1]SEPTEMBER 2023'!C157</f>
        <v>0</v>
      </c>
      <c r="D1864" s="3">
        <f>'[1]SEPTEMBER 2023'!D157</f>
        <v>112</v>
      </c>
      <c r="E1864" s="4">
        <f>'[1]SEPTEMBER 2023'!E157</f>
        <v>0</v>
      </c>
      <c r="F1864" s="6">
        <f>'[1]SEPTEMBER 2023'!F157</f>
        <v>84.5</v>
      </c>
      <c r="G1864" s="4"/>
      <c r="H1864" s="4"/>
    </row>
    <row r="1865" spans="1:8" x14ac:dyDescent="0.2">
      <c r="A1865" s="20">
        <f>'[1]SEPTEMBER 2023'!A163</f>
        <v>45193</v>
      </c>
      <c r="B1865" s="12" t="str">
        <f>'[1]SEPTEMBER 2023'!B163</f>
        <v>for me</v>
      </c>
      <c r="C1865" s="3">
        <f>'[1]SEPTEMBER 2023'!C163</f>
        <v>0</v>
      </c>
      <c r="D1865" s="3">
        <f>'[1]SEPTEMBER 2023'!D163</f>
        <v>12070</v>
      </c>
      <c r="E1865" s="4">
        <f>'[1]SEPTEMBER 2023'!E163</f>
        <v>0</v>
      </c>
      <c r="F1865" s="6">
        <f>'[1]SEPTEMBER 2023'!F163</f>
        <v>0</v>
      </c>
      <c r="G1865" s="4"/>
      <c r="H1865" s="4"/>
    </row>
    <row r="1866" spans="1:8" x14ac:dyDescent="0.2">
      <c r="A1866" s="23">
        <f>'[1]SEPTEMBER 2023'!A164</f>
        <v>45193</v>
      </c>
      <c r="B1866" s="12" t="str">
        <f>'[1]SEPTEMBER 2023'!B164</f>
        <v>Party</v>
      </c>
      <c r="C1866" s="3">
        <f>'[1]SEPTEMBER 2023'!C164</f>
        <v>0</v>
      </c>
      <c r="D1866" s="3">
        <f>'[1]SEPTEMBER 2023'!D164</f>
        <v>1500</v>
      </c>
      <c r="E1866" s="4">
        <f>'[1]SEPTEMBER 2023'!E164</f>
        <v>0</v>
      </c>
      <c r="F1866" s="6">
        <f>'[1]SEPTEMBER 2023'!F164</f>
        <v>0</v>
      </c>
      <c r="G1866" s="4"/>
      <c r="H1866" s="4"/>
    </row>
    <row r="1867" spans="1:8" x14ac:dyDescent="0.2">
      <c r="A1867" s="20">
        <f>'[1]SEPTEMBER 2023'!A165</f>
        <v>45193</v>
      </c>
      <c r="B1867" s="12" t="str">
        <f>'[1]SEPTEMBER 2023'!B165</f>
        <v>Andere</v>
      </c>
      <c r="C1867" s="3">
        <f>'[1]SEPTEMBER 2023'!C165</f>
        <v>0</v>
      </c>
      <c r="D1867" s="3">
        <f>'[1]SEPTEMBER 2023'!D165</f>
        <v>7.5</v>
      </c>
      <c r="E1867" s="4">
        <f>'[1]SEPTEMBER 2023'!E165</f>
        <v>0</v>
      </c>
      <c r="F1867" s="6">
        <f>'[1]SEPTEMBER 2023'!F165</f>
        <v>0</v>
      </c>
      <c r="G1867" s="4"/>
      <c r="H1867" s="4"/>
    </row>
    <row r="1868" spans="1:8" x14ac:dyDescent="0.2">
      <c r="A1868" s="23">
        <f>'[1]SEPTEMBER 2023'!A166</f>
        <v>45193</v>
      </c>
      <c r="B1868" s="12" t="str">
        <f>'[1]SEPTEMBER 2023'!B166</f>
        <v>VM</v>
      </c>
      <c r="C1868" s="3">
        <f>'[1]SEPTEMBER 2023'!C166</f>
        <v>0</v>
      </c>
      <c r="D1868" s="3">
        <f>'[1]SEPTEMBER 2023'!D166</f>
        <v>112</v>
      </c>
      <c r="E1868" s="4">
        <f>'[1]SEPTEMBER 2023'!E166</f>
        <v>0</v>
      </c>
      <c r="F1868" s="6">
        <f>'[1]SEPTEMBER 2023'!F166</f>
        <v>17</v>
      </c>
      <c r="G1868" s="4"/>
      <c r="H1868" s="4"/>
    </row>
    <row r="1869" spans="1:8" x14ac:dyDescent="0.2">
      <c r="A1869" s="20">
        <f>'[1]SEPTEMBER 2023'!A167</f>
        <v>45193</v>
      </c>
      <c r="B1869" s="12" t="str">
        <f>'[1]SEPTEMBER 2023'!B167</f>
        <v>LM</v>
      </c>
      <c r="C1869" s="3">
        <f>'[1]SEPTEMBER 2023'!C167</f>
        <v>0</v>
      </c>
      <c r="D1869" s="3">
        <f>'[1]SEPTEMBER 2023'!D167</f>
        <v>2395.15</v>
      </c>
      <c r="E1869" s="4">
        <f>'[1]SEPTEMBER 2023'!E167</f>
        <v>0</v>
      </c>
      <c r="F1869" s="6">
        <f>'[1]SEPTEMBER 2023'!F167</f>
        <v>0</v>
      </c>
      <c r="G1869" s="4"/>
      <c r="H1869" s="4"/>
    </row>
    <row r="1870" spans="1:8" x14ac:dyDescent="0.2">
      <c r="A1870" s="23">
        <f>'[1]SEPTEMBER 2023'!A170</f>
        <v>45194</v>
      </c>
      <c r="B1870" s="12" t="str">
        <f>'[1]SEPTEMBER 2023'!B170</f>
        <v>Andere</v>
      </c>
      <c r="C1870" s="3">
        <f>'[1]SEPTEMBER 2023'!C170</f>
        <v>0</v>
      </c>
      <c r="D1870" s="3">
        <f>'[1]SEPTEMBER 2023'!D170</f>
        <v>100</v>
      </c>
      <c r="E1870" s="4">
        <f>'[1]SEPTEMBER 2023'!E170</f>
        <v>0</v>
      </c>
      <c r="F1870" s="6">
        <f>'[1]SEPTEMBER 2023'!F170</f>
        <v>0</v>
      </c>
      <c r="G1870" s="4"/>
      <c r="H1870" s="4"/>
    </row>
    <row r="1871" spans="1:8" x14ac:dyDescent="0.2">
      <c r="A1871" s="20">
        <f>'[1]SEPTEMBER 2023'!A177</f>
        <v>45195</v>
      </c>
      <c r="B1871" s="12" t="str">
        <f>'[1]SEPTEMBER 2023'!B177</f>
        <v>for me</v>
      </c>
      <c r="C1871" s="3">
        <f>'[1]SEPTEMBER 2023'!C177</f>
        <v>0</v>
      </c>
      <c r="D1871" s="3">
        <f>'[1]SEPTEMBER 2023'!D177</f>
        <v>600</v>
      </c>
      <c r="E1871" s="4">
        <f>'[1]SEPTEMBER 2023'!E177</f>
        <v>0</v>
      </c>
      <c r="F1871" s="6">
        <f>'[1]SEPTEMBER 2023'!F177</f>
        <v>0</v>
      </c>
      <c r="G1871" s="4"/>
      <c r="H1871" s="4"/>
    </row>
    <row r="1872" spans="1:8" x14ac:dyDescent="0.2">
      <c r="A1872" s="23">
        <f>'[1]SEPTEMBER 2023'!A184</f>
        <v>45196</v>
      </c>
      <c r="B1872" s="12" t="str">
        <f>'[1]SEPTEMBER 2023'!B184</f>
        <v>VM</v>
      </c>
      <c r="C1872" s="3">
        <f>'[1]SEPTEMBER 2023'!C184</f>
        <v>0</v>
      </c>
      <c r="D1872" s="3">
        <f>'[1]SEPTEMBER 2023'!D184</f>
        <v>112</v>
      </c>
      <c r="E1872" s="4">
        <f>'[1]SEPTEMBER 2023'!E184</f>
        <v>0</v>
      </c>
      <c r="F1872" s="6">
        <f>'[1]SEPTEMBER 2023'!F184</f>
        <v>0</v>
      </c>
      <c r="G1872" s="4"/>
      <c r="H1872" s="4"/>
    </row>
    <row r="1873" spans="1:8" x14ac:dyDescent="0.2">
      <c r="A1873" s="20">
        <f>'[1]SEPTEMBER 2023'!A191</f>
        <v>45197</v>
      </c>
      <c r="B1873" s="12" t="str">
        <f>'[1]SEPTEMBER 2023'!B191</f>
        <v>VM</v>
      </c>
      <c r="C1873" s="3">
        <f>'[1]SEPTEMBER 2023'!C191</f>
        <v>0</v>
      </c>
      <c r="D1873" s="3">
        <f>'[1]SEPTEMBER 2023'!D191</f>
        <v>112</v>
      </c>
      <c r="E1873" s="4">
        <f>'[1]SEPTEMBER 2023'!E191</f>
        <v>0</v>
      </c>
      <c r="F1873" s="6">
        <f>'[1]SEPTEMBER 2023'!F191</f>
        <v>0</v>
      </c>
      <c r="G1873" s="4"/>
      <c r="H1873" s="4"/>
    </row>
    <row r="1874" spans="1:8" x14ac:dyDescent="0.2">
      <c r="A1874" s="23">
        <f>'[1]SEPTEMBER 2023'!A192</f>
        <v>45197</v>
      </c>
      <c r="B1874" s="12" t="str">
        <f>'[1]SEPTEMBER 2023'!B192</f>
        <v>LM</v>
      </c>
      <c r="C1874" s="3">
        <f>'[1]SEPTEMBER 2023'!C192</f>
        <v>0</v>
      </c>
      <c r="D1874" s="3">
        <f>'[1]SEPTEMBER 2023'!D192</f>
        <v>430</v>
      </c>
      <c r="E1874" s="4">
        <f>'[1]SEPTEMBER 2023'!E192</f>
        <v>0</v>
      </c>
      <c r="F1874" s="6">
        <f>'[1]SEPTEMBER 2023'!F192</f>
        <v>0</v>
      </c>
      <c r="G1874" s="4"/>
      <c r="H1874" s="4"/>
    </row>
    <row r="1875" spans="1:8" x14ac:dyDescent="0.2">
      <c r="A1875" s="23">
        <f>'[1]SEPTEMBER 2023'!A198</f>
        <v>45198</v>
      </c>
      <c r="B1875" s="12" t="str">
        <f>'[1]SEPTEMBER 2023'!B198</f>
        <v>LM</v>
      </c>
      <c r="C1875" s="3">
        <f>'[1]SEPTEMBER 2023'!C198</f>
        <v>0</v>
      </c>
      <c r="D1875" s="3">
        <f>'[1]SEPTEMBER 2023'!D198</f>
        <v>1097.96</v>
      </c>
      <c r="E1875" s="4">
        <f>'[1]SEPTEMBER 2023'!E198</f>
        <v>0</v>
      </c>
      <c r="F1875" s="6">
        <f>'[1]SEPTEMBER 2023'!F198</f>
        <v>0</v>
      </c>
      <c r="G1875" s="4"/>
      <c r="H1875" s="4"/>
    </row>
    <row r="1876" spans="1:8" x14ac:dyDescent="0.2">
      <c r="A1876" s="20">
        <f>'[1]SEPTEMBER 2023'!A199</f>
        <v>45198</v>
      </c>
      <c r="B1876" s="12" t="str">
        <f>'[1]SEPTEMBER 2023'!B199</f>
        <v>VM</v>
      </c>
      <c r="C1876" s="3">
        <f>'[1]SEPTEMBER 2023'!C199</f>
        <v>0</v>
      </c>
      <c r="D1876" s="3">
        <f>'[1]SEPTEMBER 2023'!D199</f>
        <v>112</v>
      </c>
      <c r="E1876" s="4">
        <f>'[1]SEPTEMBER 2023'!E199</f>
        <v>0</v>
      </c>
      <c r="F1876" s="6">
        <f>'[1]SEPTEMBER 2023'!F199</f>
        <v>0</v>
      </c>
      <c r="G1876" s="4"/>
      <c r="H1876" s="4"/>
    </row>
    <row r="1877" spans="1:8" x14ac:dyDescent="0.2">
      <c r="A1877" s="20">
        <f>'[1]SEPTEMBER 2023'!A205</f>
        <v>45199</v>
      </c>
      <c r="B1877" s="12" t="str">
        <f>'[1]SEPTEMBER 2023'!B205</f>
        <v>LM</v>
      </c>
      <c r="C1877" s="3">
        <f>'[1]SEPTEMBER 2023'!C205</f>
        <v>0</v>
      </c>
      <c r="D1877" s="3">
        <f>'[1]SEPTEMBER 2023'!D205</f>
        <v>1315.98</v>
      </c>
      <c r="E1877" s="4">
        <f>'[1]SEPTEMBER 2023'!E205</f>
        <v>0</v>
      </c>
      <c r="F1877" s="6">
        <f>'[1]SEPTEMBER 2023'!F205</f>
        <v>0</v>
      </c>
      <c r="G1877" s="4"/>
      <c r="H1877" s="4"/>
    </row>
    <row r="1878" spans="1:8" x14ac:dyDescent="0.2">
      <c r="A1878" s="23">
        <f>'[1]SEPTEMBER 2023'!A206</f>
        <v>45199</v>
      </c>
      <c r="B1878" s="12" t="str">
        <f>'[1]SEPTEMBER 2023'!B206</f>
        <v>Kleidung</v>
      </c>
      <c r="C1878" s="3">
        <f>'[1]SEPTEMBER 2023'!C206</f>
        <v>0</v>
      </c>
      <c r="D1878" s="3">
        <f>'[1]SEPTEMBER 2023'!D206</f>
        <v>729</v>
      </c>
      <c r="E1878" s="4">
        <f>'[1]SEPTEMBER 2023'!E206</f>
        <v>0</v>
      </c>
      <c r="F1878" s="6">
        <f>'[1]SEPTEMBER 2023'!F206</f>
        <v>0</v>
      </c>
      <c r="G1878" s="4"/>
      <c r="H1878" s="4"/>
    </row>
    <row r="1879" spans="1:8" x14ac:dyDescent="0.2">
      <c r="A1879" s="20">
        <f>'[1]SEPTEMBER 2023'!A207</f>
        <v>45199</v>
      </c>
      <c r="B1879" s="12" t="str">
        <f>'[1]SEPTEMBER 2023'!B207</f>
        <v>Rauchen</v>
      </c>
      <c r="C1879" s="3">
        <f>'[1]SEPTEMBER 2023'!C207</f>
        <v>0</v>
      </c>
      <c r="D1879" s="3">
        <f>'[1]SEPTEMBER 2023'!D207</f>
        <v>150</v>
      </c>
      <c r="E1879" s="4">
        <f>'[1]SEPTEMBER 2023'!E207</f>
        <v>0</v>
      </c>
      <c r="F1879" s="6">
        <f>'[1]SEPTEMBER 2023'!F207</f>
        <v>0</v>
      </c>
      <c r="G1879" s="4"/>
      <c r="H1879" s="4"/>
    </row>
    <row r="1880" spans="1:8" x14ac:dyDescent="0.2">
      <c r="A1880" s="23">
        <f>'[1]SEPTEMBER 2023'!A208</f>
        <v>45199</v>
      </c>
      <c r="B1880" s="12" t="str">
        <f>'[1]SEPTEMBER 2023'!B208</f>
        <v>Refill</v>
      </c>
      <c r="C1880" s="3">
        <f>'[1]SEPTEMBER 2023'!C208</f>
        <v>2576.71</v>
      </c>
      <c r="D1880" s="3">
        <f>'[1]SEPTEMBER 2023'!D208</f>
        <v>0</v>
      </c>
      <c r="E1880" s="4">
        <f>'[1]SEPTEMBER 2023'!E208</f>
        <v>0</v>
      </c>
      <c r="F1880" s="6">
        <f>'[1]SEPTEMBER 2023'!F208</f>
        <v>0</v>
      </c>
      <c r="G1880" s="4"/>
      <c r="H1880" s="4"/>
    </row>
    <row r="1881" spans="1:8" x14ac:dyDescent="0.2">
      <c r="A1881" s="23">
        <f>'[1]OCTOBER 2023'!A2</f>
        <v>45200</v>
      </c>
      <c r="B1881" s="12" t="str">
        <f>'[1]OCTOBER 2023'!B2</f>
        <v>LM</v>
      </c>
      <c r="C1881" s="3">
        <f>'[1]OCTOBER 2023'!C2</f>
        <v>0</v>
      </c>
      <c r="D1881" s="3">
        <f>'[1]OCTOBER 2023'!D2</f>
        <v>0</v>
      </c>
      <c r="E1881" s="4">
        <f>'[1]OCTOBER 2023'!E2</f>
        <v>0</v>
      </c>
      <c r="F1881" s="6">
        <f>'[1]OCTOBER 2023'!F2</f>
        <v>0</v>
      </c>
      <c r="G1881" s="4"/>
      <c r="H1881" s="4"/>
    </row>
    <row r="1882" spans="1:8" x14ac:dyDescent="0.2">
      <c r="A1882" s="20">
        <f>'[1]OCTOBER 2023'!A3</f>
        <v>45200</v>
      </c>
      <c r="B1882" s="12" t="str">
        <f>'[1]OCTOBER 2023'!B3</f>
        <v>VM</v>
      </c>
      <c r="C1882" s="3">
        <f>'[1]OCTOBER 2023'!C3</f>
        <v>0</v>
      </c>
      <c r="D1882" s="3">
        <f>'[1]OCTOBER 2023'!D3</f>
        <v>0</v>
      </c>
      <c r="E1882" s="4">
        <f>'[1]OCTOBER 2023'!E3</f>
        <v>0</v>
      </c>
      <c r="F1882" s="6">
        <f>'[1]OCTOBER 2023'!F3</f>
        <v>0</v>
      </c>
      <c r="G1882" s="4"/>
      <c r="H1882" s="4"/>
    </row>
    <row r="1883" spans="1:8" x14ac:dyDescent="0.2">
      <c r="A1883" s="23">
        <f>'[1]OCTOBER 2023'!A4</f>
        <v>45200</v>
      </c>
      <c r="B1883" s="12" t="str">
        <f>'[1]OCTOBER 2023'!B4</f>
        <v>Andere</v>
      </c>
      <c r="C1883" s="3">
        <f>'[1]OCTOBER 2023'!C4</f>
        <v>0</v>
      </c>
      <c r="D1883" s="3">
        <f>'[1]OCTOBER 2023'!D4</f>
        <v>0</v>
      </c>
      <c r="E1883" s="4">
        <f>'[1]OCTOBER 2023'!E4</f>
        <v>0</v>
      </c>
      <c r="F1883" s="6">
        <f>'[1]OCTOBER 2023'!F4</f>
        <v>0</v>
      </c>
      <c r="G1883" s="4"/>
      <c r="H1883" s="4"/>
    </row>
    <row r="1884" spans="1:8" x14ac:dyDescent="0.2">
      <c r="A1884" s="20">
        <f>'[1]OCTOBER 2023'!A5</f>
        <v>45200</v>
      </c>
      <c r="B1884" s="12" t="str">
        <f>'[1]OCTOBER 2023'!B5</f>
        <v>for me</v>
      </c>
      <c r="C1884" s="3">
        <f>'[1]OCTOBER 2023'!C5</f>
        <v>0</v>
      </c>
      <c r="D1884" s="3">
        <f>'[1]OCTOBER 2023'!D5</f>
        <v>0</v>
      </c>
      <c r="E1884" s="4">
        <f>'[1]OCTOBER 2023'!E5</f>
        <v>0</v>
      </c>
      <c r="F1884" s="6">
        <f>'[1]OCTOBER 2023'!F5</f>
        <v>0</v>
      </c>
      <c r="G1884" s="4"/>
      <c r="H1884" s="4"/>
    </row>
    <row r="1885" spans="1:8" x14ac:dyDescent="0.2">
      <c r="A1885" s="23">
        <f>'[1]OCTOBER 2023'!A6</f>
        <v>45200</v>
      </c>
      <c r="B1885" s="12" t="str">
        <f>'[1]OCTOBER 2023'!B6</f>
        <v>Party</v>
      </c>
      <c r="C1885" s="3">
        <f>'[1]OCTOBER 2023'!C6</f>
        <v>0</v>
      </c>
      <c r="D1885" s="3">
        <f>'[1]OCTOBER 2023'!D6</f>
        <v>0</v>
      </c>
      <c r="E1885" s="4">
        <f>'[1]OCTOBER 2023'!E6</f>
        <v>0</v>
      </c>
      <c r="F1885" s="6">
        <f>'[1]OCTOBER 2023'!F6</f>
        <v>0</v>
      </c>
      <c r="G1885" s="4"/>
      <c r="H1885" s="4"/>
    </row>
    <row r="1886" spans="1:8" x14ac:dyDescent="0.2">
      <c r="A1886" s="20">
        <f>'[1]OCTOBER 2023'!A7</f>
        <v>45200</v>
      </c>
      <c r="B1886" s="12" t="str">
        <f>'[1]OCTOBER 2023'!B7</f>
        <v>Kleidung</v>
      </c>
      <c r="C1886" s="3">
        <f>'[1]OCTOBER 2023'!C7</f>
        <v>0</v>
      </c>
      <c r="D1886" s="3">
        <f>'[1]OCTOBER 2023'!D7</f>
        <v>0</v>
      </c>
      <c r="E1886" s="4">
        <f>'[1]OCTOBER 2023'!E7</f>
        <v>0</v>
      </c>
      <c r="F1886" s="6">
        <f>'[1]OCTOBER 2023'!F7</f>
        <v>0</v>
      </c>
      <c r="G1886" s="4"/>
      <c r="H1886" s="4"/>
    </row>
    <row r="1887" spans="1:8" x14ac:dyDescent="0.2">
      <c r="A1887" s="20">
        <f>'[1]OCTOBER 2023'!A9</f>
        <v>45201</v>
      </c>
      <c r="B1887" s="12" t="str">
        <f>'[1]OCTOBER 2023'!B9</f>
        <v>LM</v>
      </c>
      <c r="C1887" s="3">
        <f>'[1]OCTOBER 2023'!C9</f>
        <v>0</v>
      </c>
      <c r="D1887" s="3">
        <f>'[1]OCTOBER 2023'!D9</f>
        <v>1201</v>
      </c>
      <c r="E1887" s="4">
        <f>'[1]OCTOBER 2023'!E9</f>
        <v>0</v>
      </c>
      <c r="F1887" s="6">
        <f>'[1]OCTOBER 2023'!F9</f>
        <v>0</v>
      </c>
      <c r="G1887" s="4"/>
      <c r="H1887" s="4"/>
    </row>
    <row r="1888" spans="1:8" x14ac:dyDescent="0.2">
      <c r="A1888" s="23">
        <f>'[1]OCTOBER 2023'!A16</f>
        <v>45202</v>
      </c>
      <c r="B1888" s="12" t="str">
        <f>'[1]OCTOBER 2023'!B16</f>
        <v>LM</v>
      </c>
      <c r="C1888" s="3">
        <f>'[1]OCTOBER 2023'!C16</f>
        <v>0</v>
      </c>
      <c r="D1888" s="3">
        <f>'[1]OCTOBER 2023'!D16</f>
        <v>251.18</v>
      </c>
      <c r="E1888" s="4">
        <f>'[1]OCTOBER 2023'!E16</f>
        <v>0</v>
      </c>
      <c r="F1888" s="6">
        <f>'[1]OCTOBER 2023'!F16</f>
        <v>0</v>
      </c>
      <c r="G1888" s="4"/>
      <c r="H1888" s="4"/>
    </row>
    <row r="1889" spans="1:8" x14ac:dyDescent="0.2">
      <c r="A1889" s="20">
        <f>'[1]OCTOBER 2023'!A23</f>
        <v>45203</v>
      </c>
      <c r="B1889" s="12" t="str">
        <f>'[1]OCTOBER 2023'!B23</f>
        <v>LM</v>
      </c>
      <c r="C1889" s="3">
        <f>'[1]OCTOBER 2023'!C23</f>
        <v>0</v>
      </c>
      <c r="D1889" s="3">
        <f>'[1]OCTOBER 2023'!D23</f>
        <v>441</v>
      </c>
      <c r="E1889" s="4">
        <f>'[1]OCTOBER 2023'!E23</f>
        <v>0</v>
      </c>
      <c r="F1889" s="6">
        <f>'[1]OCTOBER 2023'!F23</f>
        <v>0</v>
      </c>
      <c r="G1889" s="4"/>
      <c r="H1889" s="4"/>
    </row>
    <row r="1890" spans="1:8" x14ac:dyDescent="0.2">
      <c r="A1890" s="23">
        <f>'[1]OCTOBER 2023'!A24</f>
        <v>45203</v>
      </c>
      <c r="B1890" s="12" t="str">
        <f>'[1]OCTOBER 2023'!B24</f>
        <v>Andere</v>
      </c>
      <c r="C1890" s="3">
        <f>'[1]OCTOBER 2023'!C24</f>
        <v>0</v>
      </c>
      <c r="D1890" s="3">
        <f>'[1]OCTOBER 2023'!D24</f>
        <v>1000</v>
      </c>
      <c r="E1890" s="4">
        <f>'[1]OCTOBER 2023'!E24</f>
        <v>0</v>
      </c>
      <c r="F1890" s="6">
        <f>'[1]OCTOBER 2023'!F24</f>
        <v>0</v>
      </c>
      <c r="G1890" s="4"/>
      <c r="H1890" s="4"/>
    </row>
    <row r="1891" spans="1:8" x14ac:dyDescent="0.2">
      <c r="A1891" s="23">
        <f>'[1]OCTOBER 2023'!A30</f>
        <v>45204</v>
      </c>
      <c r="B1891" s="12" t="str">
        <f>'[1]OCTOBER 2023'!B30</f>
        <v>LM</v>
      </c>
      <c r="C1891" s="3">
        <f>'[1]OCTOBER 2023'!C30</f>
        <v>0</v>
      </c>
      <c r="D1891" s="3">
        <f>'[1]OCTOBER 2023'!D30</f>
        <v>595.97</v>
      </c>
      <c r="E1891" s="4">
        <f>'[1]OCTOBER 2023'!E30</f>
        <v>0</v>
      </c>
      <c r="F1891" s="6">
        <f>'[1]OCTOBER 2023'!F30</f>
        <v>0</v>
      </c>
      <c r="G1891" s="4"/>
      <c r="H1891" s="4"/>
    </row>
    <row r="1892" spans="1:8" x14ac:dyDescent="0.2">
      <c r="A1892" s="20">
        <f>'[1]OCTOBER 2023'!A31</f>
        <v>45204</v>
      </c>
      <c r="B1892" s="12" t="str">
        <f>'[1]OCTOBER 2023'!B31</f>
        <v>VM</v>
      </c>
      <c r="C1892" s="3">
        <f>'[1]OCTOBER 2023'!C31</f>
        <v>0</v>
      </c>
      <c r="D1892" s="3">
        <f>'[1]OCTOBER 2023'!D31</f>
        <v>112</v>
      </c>
      <c r="E1892" s="4">
        <f>'[1]OCTOBER 2023'!E31</f>
        <v>0</v>
      </c>
      <c r="F1892" s="6">
        <f>'[1]OCTOBER 2023'!F31</f>
        <v>0</v>
      </c>
      <c r="G1892" s="4"/>
      <c r="H1892" s="4"/>
    </row>
    <row r="1893" spans="1:8" x14ac:dyDescent="0.2">
      <c r="A1893" s="20">
        <f>'[1]OCTOBER 2023'!A37</f>
        <v>45205</v>
      </c>
      <c r="B1893" s="12" t="str">
        <f>'[1]OCTOBER 2023'!B37</f>
        <v>LM</v>
      </c>
      <c r="C1893" s="3">
        <f>'[1]OCTOBER 2023'!C37</f>
        <v>0</v>
      </c>
      <c r="D1893" s="3">
        <f>'[1]OCTOBER 2023'!D37</f>
        <v>1016.98</v>
      </c>
      <c r="E1893" s="4">
        <f>'[1]OCTOBER 2023'!E37</f>
        <v>0</v>
      </c>
      <c r="F1893" s="6">
        <f>'[1]OCTOBER 2023'!F37</f>
        <v>0</v>
      </c>
      <c r="G1893" s="4"/>
      <c r="H1893" s="4"/>
    </row>
    <row r="1894" spans="1:8" x14ac:dyDescent="0.2">
      <c r="A1894" s="23">
        <f>'[1]OCTOBER 2023'!A38</f>
        <v>45205</v>
      </c>
      <c r="B1894" s="12" t="str">
        <f>'[1]OCTOBER 2023'!B38</f>
        <v>VM</v>
      </c>
      <c r="C1894" s="3">
        <f>'[1]OCTOBER 2023'!C38</f>
        <v>0</v>
      </c>
      <c r="D1894" s="3">
        <f>'[1]OCTOBER 2023'!D38</f>
        <v>112</v>
      </c>
      <c r="E1894" s="4">
        <f>'[1]OCTOBER 2023'!E38</f>
        <v>0</v>
      </c>
      <c r="F1894" s="6">
        <f>'[1]OCTOBER 2023'!F38</f>
        <v>0</v>
      </c>
      <c r="G1894" s="4"/>
      <c r="H1894" s="4"/>
    </row>
    <row r="1895" spans="1:8" x14ac:dyDescent="0.2">
      <c r="A1895" s="23">
        <f>'[1]OCTOBER 2023'!A44</f>
        <v>45206</v>
      </c>
      <c r="B1895" s="12" t="str">
        <f>'[1]OCTOBER 2023'!B44</f>
        <v>Kleidung</v>
      </c>
      <c r="C1895" s="3">
        <f>'[1]OCTOBER 2023'!C44</f>
        <v>0</v>
      </c>
      <c r="D1895" s="3">
        <f>'[1]OCTOBER 2023'!D44</f>
        <v>1580</v>
      </c>
      <c r="E1895" s="4">
        <f>'[1]OCTOBER 2023'!E44</f>
        <v>0</v>
      </c>
      <c r="F1895" s="6">
        <f>'[1]OCTOBER 2023'!F44</f>
        <v>0</v>
      </c>
      <c r="G1895" s="4"/>
      <c r="H1895" s="4"/>
    </row>
    <row r="1896" spans="1:8" x14ac:dyDescent="0.2">
      <c r="A1896" s="20">
        <f>'[1]OCTOBER 2023'!A45</f>
        <v>45206</v>
      </c>
      <c r="B1896" s="12" t="str">
        <f>'[1]OCTOBER 2023'!B45</f>
        <v>LM</v>
      </c>
      <c r="C1896" s="3">
        <f>'[1]OCTOBER 2023'!C45</f>
        <v>0</v>
      </c>
      <c r="D1896" s="3">
        <f>'[1]OCTOBER 2023'!D45</f>
        <v>1727.65</v>
      </c>
      <c r="E1896" s="4">
        <f>'[1]OCTOBER 2023'!E45</f>
        <v>0</v>
      </c>
      <c r="F1896" s="6">
        <f>'[1]OCTOBER 2023'!F45</f>
        <v>0</v>
      </c>
      <c r="G1896" s="4"/>
      <c r="H1896" s="4"/>
    </row>
    <row r="1897" spans="1:8" x14ac:dyDescent="0.2">
      <c r="A1897" s="23">
        <f>'[1]OCTOBER 2023'!A46</f>
        <v>45206</v>
      </c>
      <c r="B1897" s="12" t="str">
        <f>'[1]OCTOBER 2023'!B46</f>
        <v>VM</v>
      </c>
      <c r="C1897" s="3">
        <f>'[1]OCTOBER 2023'!C46</f>
        <v>0</v>
      </c>
      <c r="D1897" s="3">
        <f>'[1]OCTOBER 2023'!D46</f>
        <v>70</v>
      </c>
      <c r="E1897" s="4">
        <f>'[1]OCTOBER 2023'!E46</f>
        <v>0</v>
      </c>
      <c r="F1897" s="6">
        <f>'[1]OCTOBER 2023'!F46</f>
        <v>0</v>
      </c>
      <c r="G1897" s="4"/>
      <c r="H1897" s="4"/>
    </row>
    <row r="1898" spans="1:8" x14ac:dyDescent="0.2">
      <c r="A1898" s="20">
        <f>'[1]OCTOBER 2023'!A51</f>
        <v>45207</v>
      </c>
      <c r="B1898" s="12" t="str">
        <f>'[1]OCTOBER 2023'!B51</f>
        <v>VM</v>
      </c>
      <c r="C1898" s="3">
        <f>'[1]OCTOBER 2023'!C51</f>
        <v>0</v>
      </c>
      <c r="D1898" s="3">
        <f>'[1]OCTOBER 2023'!D51</f>
        <v>112</v>
      </c>
      <c r="E1898" s="4">
        <f>'[1]OCTOBER 2023'!E51</f>
        <v>0</v>
      </c>
      <c r="F1898" s="6">
        <f>'[1]OCTOBER 2023'!F51</f>
        <v>0</v>
      </c>
      <c r="G1898" s="4"/>
      <c r="H1898" s="4"/>
    </row>
    <row r="1899" spans="1:8" x14ac:dyDescent="0.2">
      <c r="A1899" s="23">
        <f>'[1]OCTOBER 2023'!A58</f>
        <v>45208</v>
      </c>
      <c r="B1899" s="12" t="str">
        <f>'[1]OCTOBER 2023'!B58</f>
        <v>VM</v>
      </c>
      <c r="C1899" s="3">
        <f>'[1]OCTOBER 2023'!C58</f>
        <v>0</v>
      </c>
      <c r="D1899" s="3">
        <f>'[1]OCTOBER 2023'!D58</f>
        <v>882</v>
      </c>
      <c r="E1899" s="4">
        <f>'[1]OCTOBER 2023'!E58</f>
        <v>0</v>
      </c>
      <c r="F1899" s="6">
        <f>'[1]OCTOBER 2023'!F58</f>
        <v>60</v>
      </c>
      <c r="G1899" s="4"/>
      <c r="H1899" s="4"/>
    </row>
    <row r="1900" spans="1:8" x14ac:dyDescent="0.2">
      <c r="A1900" s="20">
        <f>'[1]OCTOBER 2023'!A59</f>
        <v>45208</v>
      </c>
      <c r="B1900" s="12" t="str">
        <f>'[1]OCTOBER 2023'!B59</f>
        <v>LM</v>
      </c>
      <c r="C1900" s="3">
        <f>'[1]OCTOBER 2023'!C59</f>
        <v>0</v>
      </c>
      <c r="D1900" s="3">
        <f>'[1]OCTOBER 2023'!D59</f>
        <v>496</v>
      </c>
      <c r="E1900" s="4">
        <f>'[1]OCTOBER 2023'!E59</f>
        <v>0</v>
      </c>
      <c r="F1900" s="6">
        <f>'[1]OCTOBER 2023'!F59</f>
        <v>0</v>
      </c>
      <c r="G1900" s="4"/>
      <c r="H1900" s="4"/>
    </row>
    <row r="1901" spans="1:8" x14ac:dyDescent="0.2">
      <c r="A1901" s="23">
        <f>'[1]OCTOBER 2023'!A60</f>
        <v>45208</v>
      </c>
      <c r="B1901" s="12" t="str">
        <f>'[1]OCTOBER 2023'!B60</f>
        <v>Refill</v>
      </c>
      <c r="C1901" s="3">
        <f>'[1]OCTOBER 2023'!C60</f>
        <v>53194.85</v>
      </c>
      <c r="D1901" s="3">
        <f>'[1]OCTOBER 2023'!D60</f>
        <v>0</v>
      </c>
      <c r="E1901" s="4">
        <f>'[1]OCTOBER 2023'!E60</f>
        <v>0</v>
      </c>
      <c r="F1901" s="6">
        <f>'[1]OCTOBER 2023'!F60</f>
        <v>0</v>
      </c>
      <c r="G1901" s="4"/>
      <c r="H1901" s="4"/>
    </row>
    <row r="1902" spans="1:8" x14ac:dyDescent="0.2">
      <c r="A1902" s="20">
        <f>'[1]OCTOBER 2023'!A65</f>
        <v>45209</v>
      </c>
      <c r="B1902" s="12" t="str">
        <f>'[1]OCTOBER 2023'!B65</f>
        <v>VM</v>
      </c>
      <c r="C1902" s="3">
        <f>'[1]OCTOBER 2023'!C65</f>
        <v>0</v>
      </c>
      <c r="D1902" s="3">
        <f>'[1]OCTOBER 2023'!D65</f>
        <v>56</v>
      </c>
      <c r="E1902" s="4">
        <f>'[1]OCTOBER 2023'!E65</f>
        <v>0</v>
      </c>
      <c r="F1902" s="6">
        <f>'[1]OCTOBER 2023'!F65</f>
        <v>0</v>
      </c>
      <c r="G1902" s="4"/>
      <c r="H1902" s="4"/>
    </row>
    <row r="1903" spans="1:8" x14ac:dyDescent="0.2">
      <c r="A1903" s="23">
        <f>'[1]OCTOBER 2023'!A66</f>
        <v>45209</v>
      </c>
      <c r="B1903" s="12" t="str">
        <f>'[1]OCTOBER 2023'!B66</f>
        <v>Rauchen</v>
      </c>
      <c r="C1903" s="3">
        <f>'[1]OCTOBER 2023'!C66</f>
        <v>0</v>
      </c>
      <c r="D1903" s="3">
        <f>'[1]OCTOBER 2023'!D66</f>
        <v>145</v>
      </c>
      <c r="E1903" s="4">
        <f>'[1]OCTOBER 2023'!E66</f>
        <v>0</v>
      </c>
      <c r="F1903" s="6">
        <f>'[1]OCTOBER 2023'!F66</f>
        <v>0</v>
      </c>
      <c r="G1903" s="4"/>
      <c r="H1903" s="4"/>
    </row>
    <row r="1904" spans="1:8" x14ac:dyDescent="0.2">
      <c r="A1904" s="23">
        <f>'[1]OCTOBER 2023'!A72</f>
        <v>45210</v>
      </c>
      <c r="B1904" s="12" t="str">
        <f>'[1]OCTOBER 2023'!B72</f>
        <v>LM</v>
      </c>
      <c r="C1904" s="3">
        <f>'[1]OCTOBER 2023'!C72</f>
        <v>0</v>
      </c>
      <c r="D1904" s="3">
        <f>'[1]OCTOBER 2023'!D72</f>
        <v>483</v>
      </c>
      <c r="E1904" s="4">
        <f>'[1]OCTOBER 2023'!E72</f>
        <v>0</v>
      </c>
      <c r="F1904" s="6">
        <f>'[1]OCTOBER 2023'!F72</f>
        <v>0</v>
      </c>
      <c r="G1904" s="4"/>
      <c r="H1904" s="4"/>
    </row>
    <row r="1905" spans="1:8" x14ac:dyDescent="0.2">
      <c r="A1905" s="20">
        <f>'[1]OCTOBER 2023'!A79</f>
        <v>45211</v>
      </c>
      <c r="B1905" s="12" t="str">
        <f>'[1]OCTOBER 2023'!B79</f>
        <v>LM</v>
      </c>
      <c r="C1905" s="3">
        <f>'[1]OCTOBER 2023'!C79</f>
        <v>0</v>
      </c>
      <c r="D1905" s="3">
        <f>'[1]OCTOBER 2023'!D79</f>
        <v>1067.4099999999999</v>
      </c>
      <c r="E1905" s="4">
        <f>'[1]OCTOBER 2023'!E79</f>
        <v>0</v>
      </c>
      <c r="F1905" s="6">
        <f>'[1]OCTOBER 2023'!F79</f>
        <v>0</v>
      </c>
      <c r="G1905" s="4"/>
      <c r="H1905" s="4"/>
    </row>
    <row r="1906" spans="1:8" x14ac:dyDescent="0.2">
      <c r="A1906" s="23">
        <f>'[1]OCTOBER 2023'!A86</f>
        <v>45212</v>
      </c>
      <c r="B1906" s="12" t="str">
        <f>'[1]OCTOBER 2023'!B86</f>
        <v>Rauchen</v>
      </c>
      <c r="C1906" s="3">
        <f>'[1]OCTOBER 2023'!C86</f>
        <v>0</v>
      </c>
      <c r="D1906" s="3">
        <f>'[1]OCTOBER 2023'!D86</f>
        <v>145</v>
      </c>
      <c r="E1906" s="4">
        <f>'[1]OCTOBER 2023'!E86</f>
        <v>0</v>
      </c>
      <c r="F1906" s="6">
        <f>'[1]OCTOBER 2023'!F86</f>
        <v>0</v>
      </c>
      <c r="G1906" s="4"/>
      <c r="H1906" s="4"/>
    </row>
    <row r="1907" spans="1:8" x14ac:dyDescent="0.2">
      <c r="A1907" s="20">
        <f>'[1]OCTOBER 2023'!A93</f>
        <v>45213</v>
      </c>
      <c r="B1907" s="12" t="str">
        <f>'[1]OCTOBER 2023'!B93</f>
        <v>Party</v>
      </c>
      <c r="C1907" s="3">
        <f>'[1]OCTOBER 2023'!C93</f>
        <v>0</v>
      </c>
      <c r="D1907" s="3">
        <f>'[1]OCTOBER 2023'!D93</f>
        <v>600</v>
      </c>
      <c r="E1907" s="4">
        <f>'[1]OCTOBER 2023'!E93</f>
        <v>0</v>
      </c>
      <c r="F1907" s="6">
        <f>'[1]OCTOBER 2023'!F93</f>
        <v>0</v>
      </c>
      <c r="G1907" s="4"/>
      <c r="H1907" s="4"/>
    </row>
    <row r="1908" spans="1:8" x14ac:dyDescent="0.2">
      <c r="A1908" s="23">
        <f>'[1]OCTOBER 2023'!A94</f>
        <v>45213</v>
      </c>
      <c r="B1908" s="12" t="str">
        <f>'[1]OCTOBER 2023'!B94</f>
        <v>LM</v>
      </c>
      <c r="C1908" s="3">
        <f>'[1]OCTOBER 2023'!C94</f>
        <v>0</v>
      </c>
      <c r="D1908" s="3">
        <f>'[1]OCTOBER 2023'!D94</f>
        <v>611.16000000000008</v>
      </c>
      <c r="E1908" s="4">
        <f>'[1]OCTOBER 2023'!E94</f>
        <v>0</v>
      </c>
      <c r="F1908" s="6">
        <f>'[1]OCTOBER 2023'!F94</f>
        <v>0</v>
      </c>
      <c r="G1908" s="4"/>
      <c r="H1908" s="4"/>
    </row>
    <row r="1909" spans="1:8" x14ac:dyDescent="0.2">
      <c r="A1909" s="23">
        <f>'[1]OCTOBER 2023'!A100</f>
        <v>45214</v>
      </c>
      <c r="B1909" s="12" t="str">
        <f>'[1]OCTOBER 2023'!B100</f>
        <v>LM</v>
      </c>
      <c r="C1909" s="3">
        <f>'[1]OCTOBER 2023'!C100</f>
        <v>0</v>
      </c>
      <c r="D1909" s="3">
        <f>'[1]OCTOBER 2023'!D100</f>
        <v>864.88</v>
      </c>
      <c r="E1909" s="4">
        <f>'[1]OCTOBER 2023'!E100</f>
        <v>0</v>
      </c>
      <c r="F1909" s="6">
        <f>'[1]OCTOBER 2023'!F100</f>
        <v>0</v>
      </c>
      <c r="G1909" s="4"/>
      <c r="H1909" s="4"/>
    </row>
    <row r="1910" spans="1:8" x14ac:dyDescent="0.2">
      <c r="A1910" s="20">
        <f>'[1]OCTOBER 2023'!A107</f>
        <v>45215</v>
      </c>
      <c r="B1910" s="12" t="str">
        <f>'[1]OCTOBER 2023'!B107</f>
        <v>LM</v>
      </c>
      <c r="C1910" s="3">
        <f>'[1]OCTOBER 2023'!C107</f>
        <v>0</v>
      </c>
      <c r="D1910" s="3">
        <f>'[1]OCTOBER 2023'!D107</f>
        <v>691</v>
      </c>
      <c r="E1910" s="4">
        <f>'[1]OCTOBER 2023'!E107</f>
        <v>0</v>
      </c>
      <c r="F1910" s="6">
        <f>'[1]OCTOBER 2023'!F107</f>
        <v>0</v>
      </c>
      <c r="G1910" s="4"/>
      <c r="H1910" s="4"/>
    </row>
    <row r="1911" spans="1:8" x14ac:dyDescent="0.2">
      <c r="A1911" s="23">
        <f>'[1]OCTOBER 2023'!A108</f>
        <v>45215</v>
      </c>
      <c r="B1911" s="12" t="str">
        <f>'[1]OCTOBER 2023'!B108</f>
        <v>Rauchen</v>
      </c>
      <c r="C1911" s="3">
        <f>'[1]OCTOBER 2023'!C108</f>
        <v>0</v>
      </c>
      <c r="D1911" s="3">
        <f>'[1]OCTOBER 2023'!D108</f>
        <v>150</v>
      </c>
      <c r="E1911" s="4">
        <f>'[1]OCTOBER 2023'!E108</f>
        <v>0</v>
      </c>
      <c r="F1911" s="6">
        <f>'[1]OCTOBER 2023'!F108</f>
        <v>0</v>
      </c>
      <c r="G1911" s="4"/>
      <c r="H1911" s="4"/>
    </row>
    <row r="1912" spans="1:8" x14ac:dyDescent="0.2">
      <c r="A1912" s="23">
        <f>'[1]OCTOBER 2023'!A114</f>
        <v>45216</v>
      </c>
      <c r="B1912" s="12" t="str">
        <f>'[1]OCTOBER 2023'!B114</f>
        <v>LM</v>
      </c>
      <c r="C1912" s="3">
        <f>'[1]OCTOBER 2023'!C114</f>
        <v>0</v>
      </c>
      <c r="D1912" s="3">
        <f>'[1]OCTOBER 2023'!D114</f>
        <v>467</v>
      </c>
      <c r="E1912" s="4">
        <f>'[1]OCTOBER 2023'!E114</f>
        <v>0</v>
      </c>
      <c r="F1912" s="6">
        <f>'[1]OCTOBER 2023'!F114</f>
        <v>0</v>
      </c>
      <c r="G1912" s="4"/>
      <c r="H1912" s="4"/>
    </row>
    <row r="1913" spans="1:8" x14ac:dyDescent="0.2">
      <c r="A1913" s="20">
        <f>'[1]OCTOBER 2023'!A115</f>
        <v>45216</v>
      </c>
      <c r="B1913" s="12" t="str">
        <f>'[1]OCTOBER 2023'!B115</f>
        <v>rent</v>
      </c>
      <c r="C1913" s="3">
        <f>'[1]OCTOBER 2023'!C115</f>
        <v>0</v>
      </c>
      <c r="D1913" s="3">
        <f>'[1]OCTOBER 2023'!D115</f>
        <v>55000</v>
      </c>
      <c r="E1913" s="4">
        <f>'[1]OCTOBER 2023'!E115</f>
        <v>0</v>
      </c>
      <c r="F1913" s="6">
        <f>'[1]OCTOBER 2023'!F115</f>
        <v>50.6</v>
      </c>
      <c r="G1913" s="4"/>
      <c r="H1913" s="4"/>
    </row>
    <row r="1914" spans="1:8" x14ac:dyDescent="0.2">
      <c r="A1914" s="20">
        <f>'[1]OCTOBER 2023'!A117</f>
        <v>45216</v>
      </c>
      <c r="B1914" s="12" t="str">
        <f>'[1]OCTOBER 2023'!B117</f>
        <v>LM</v>
      </c>
      <c r="C1914" s="3">
        <f>'[1]OCTOBER 2023'!C117</f>
        <v>0</v>
      </c>
      <c r="D1914" s="3">
        <f>'[1]OCTOBER 2023'!D117</f>
        <v>75</v>
      </c>
      <c r="E1914" s="4">
        <f>'[1]OCTOBER 2023'!E117</f>
        <v>0</v>
      </c>
      <c r="F1914" s="6">
        <f>'[1]OCTOBER 2023'!F117</f>
        <v>0</v>
      </c>
      <c r="G1914" s="4"/>
      <c r="H1914" s="4"/>
    </row>
    <row r="1915" spans="1:8" x14ac:dyDescent="0.2">
      <c r="A1915" s="20">
        <f>'[1]OCTOBER 2023'!A121</f>
        <v>45217</v>
      </c>
      <c r="B1915" s="12" t="str">
        <f>'[1]OCTOBER 2023'!B121</f>
        <v>LM</v>
      </c>
      <c r="C1915" s="3">
        <f>'[1]OCTOBER 2023'!C121</f>
        <v>0</v>
      </c>
      <c r="D1915" s="3">
        <f>'[1]OCTOBER 2023'!D121</f>
        <v>572</v>
      </c>
      <c r="E1915" s="4">
        <f>'[1]OCTOBER 2023'!E121</f>
        <v>0</v>
      </c>
      <c r="F1915" s="6">
        <f>'[1]OCTOBER 2023'!F121</f>
        <v>0</v>
      </c>
      <c r="G1915" s="4"/>
      <c r="H1915" s="4"/>
    </row>
    <row r="1916" spans="1:8" x14ac:dyDescent="0.2">
      <c r="A1916" s="23">
        <f>'[1]OCTOBER 2023'!A122</f>
        <v>45217</v>
      </c>
      <c r="B1916" s="12" t="str">
        <f>'[1]OCTOBER 2023'!B122</f>
        <v>Rauchen</v>
      </c>
      <c r="C1916" s="3">
        <f>'[1]OCTOBER 2023'!C122</f>
        <v>0</v>
      </c>
      <c r="D1916" s="3">
        <f>'[1]OCTOBER 2023'!D122</f>
        <v>150</v>
      </c>
      <c r="E1916" s="4">
        <f>'[1]OCTOBER 2023'!E122</f>
        <v>0</v>
      </c>
      <c r="F1916" s="6">
        <f>'[1]OCTOBER 2023'!F122</f>
        <v>0</v>
      </c>
      <c r="G1916" s="4"/>
      <c r="H1916" s="4"/>
    </row>
    <row r="1917" spans="1:8" x14ac:dyDescent="0.2">
      <c r="A1917" s="20">
        <f>'[1]OCTOBER 2023'!A135</f>
        <v>45219</v>
      </c>
      <c r="B1917" s="12" t="str">
        <f>'[1]OCTOBER 2023'!B135</f>
        <v>Party</v>
      </c>
      <c r="C1917" s="3">
        <f>'[1]OCTOBER 2023'!C135</f>
        <v>0</v>
      </c>
      <c r="D1917" s="3">
        <f>'[1]OCTOBER 2023'!D135</f>
        <v>3770</v>
      </c>
      <c r="E1917" s="4">
        <f>'[1]OCTOBER 2023'!E135</f>
        <v>0</v>
      </c>
      <c r="F1917" s="6">
        <f>'[1]OCTOBER 2023'!F135</f>
        <v>0</v>
      </c>
      <c r="G1917" s="4"/>
      <c r="H1917" s="4"/>
    </row>
    <row r="1918" spans="1:8" x14ac:dyDescent="0.2">
      <c r="A1918" s="23">
        <f>'[1]OCTOBER 2023'!A136</f>
        <v>45219</v>
      </c>
      <c r="B1918" s="12" t="str">
        <f>'[1]OCTOBER 2023'!B136</f>
        <v>VM</v>
      </c>
      <c r="C1918" s="3">
        <f>'[1]OCTOBER 2023'!C136</f>
        <v>0</v>
      </c>
      <c r="D1918" s="3">
        <f>'[1]OCTOBER 2023'!D136</f>
        <v>1000</v>
      </c>
      <c r="E1918" s="4">
        <f>'[1]OCTOBER 2023'!E136</f>
        <v>0</v>
      </c>
      <c r="F1918" s="6">
        <f>'[1]OCTOBER 2023'!F136</f>
        <v>0</v>
      </c>
      <c r="G1918" s="4"/>
      <c r="H1918" s="4"/>
    </row>
    <row r="1919" spans="1:8" x14ac:dyDescent="0.2">
      <c r="A1919" s="20">
        <f>'[1]OCTOBER 2023'!A137</f>
        <v>45219</v>
      </c>
      <c r="B1919" s="12" t="str">
        <f>'[1]OCTOBER 2023'!B137</f>
        <v>LM</v>
      </c>
      <c r="C1919" s="3">
        <f>'[1]OCTOBER 2023'!C137</f>
        <v>0</v>
      </c>
      <c r="D1919" s="3">
        <f>'[1]OCTOBER 2023'!D137</f>
        <v>3097.0299999999997</v>
      </c>
      <c r="E1919" s="4">
        <f>'[1]OCTOBER 2023'!E137</f>
        <v>0</v>
      </c>
      <c r="F1919" s="6">
        <f>'[1]OCTOBER 2023'!F137</f>
        <v>0</v>
      </c>
      <c r="G1919" s="4"/>
      <c r="H1919" s="4"/>
    </row>
    <row r="1920" spans="1:8" x14ac:dyDescent="0.2">
      <c r="A1920" s="23">
        <f>'[1]OCTOBER 2023'!A138</f>
        <v>45219</v>
      </c>
      <c r="B1920" s="12" t="str">
        <f>'[1]OCTOBER 2023'!B138</f>
        <v>VM</v>
      </c>
      <c r="C1920" s="3">
        <f>'[1]OCTOBER 2023'!C138</f>
        <v>0</v>
      </c>
      <c r="D1920" s="3">
        <f>'[1]OCTOBER 2023'!D138</f>
        <v>61</v>
      </c>
      <c r="E1920" s="4">
        <f>'[1]OCTOBER 2023'!E138</f>
        <v>0</v>
      </c>
      <c r="F1920" s="6">
        <f>'[1]OCTOBER 2023'!F138</f>
        <v>0</v>
      </c>
      <c r="G1920" s="4"/>
      <c r="H1920" s="4"/>
    </row>
    <row r="1921" spans="1:8" x14ac:dyDescent="0.2">
      <c r="A1921" s="23">
        <f>'[1]OCTOBER 2023'!A142</f>
        <v>45220</v>
      </c>
      <c r="B1921" s="12" t="str">
        <f>'[1]OCTOBER 2023'!B142</f>
        <v>Rauchen</v>
      </c>
      <c r="C1921" s="3">
        <f>'[1]OCTOBER 2023'!C142</f>
        <v>0</v>
      </c>
      <c r="D1921" s="3">
        <f>'[1]OCTOBER 2023'!D142</f>
        <v>150</v>
      </c>
      <c r="E1921" s="4">
        <f>'[1]OCTOBER 2023'!E142</f>
        <v>0</v>
      </c>
      <c r="F1921" s="6">
        <f>'[1]OCTOBER 2023'!F142</f>
        <v>0</v>
      </c>
      <c r="G1921" s="4"/>
      <c r="H1921" s="4"/>
    </row>
    <row r="1922" spans="1:8" x14ac:dyDescent="0.2">
      <c r="A1922" s="23">
        <f>'[1]OCTOBER 2023'!A156</f>
        <v>45222</v>
      </c>
      <c r="B1922" s="12" t="str">
        <f>'[1]OCTOBER 2023'!B156</f>
        <v>LM</v>
      </c>
      <c r="C1922" s="3">
        <f>'[1]OCTOBER 2023'!C156</f>
        <v>0</v>
      </c>
      <c r="D1922" s="3">
        <f>'[1]OCTOBER 2023'!D156</f>
        <v>519</v>
      </c>
      <c r="E1922" s="4">
        <f>'[1]OCTOBER 2023'!E156</f>
        <v>0</v>
      </c>
      <c r="F1922" s="6">
        <f>'[1]OCTOBER 2023'!F156</f>
        <v>0</v>
      </c>
      <c r="G1922" s="4"/>
      <c r="H1922" s="4"/>
    </row>
    <row r="1923" spans="1:8" x14ac:dyDescent="0.2">
      <c r="A1923" s="20">
        <f>'[1]OCTOBER 2023'!A157</f>
        <v>45222</v>
      </c>
      <c r="B1923" s="12" t="str">
        <f>'[1]OCTOBER 2023'!B157</f>
        <v>Andere</v>
      </c>
      <c r="C1923" s="3">
        <f>'[1]OCTOBER 2023'!C157</f>
        <v>0</v>
      </c>
      <c r="D1923" s="3">
        <f>'[1]OCTOBER 2023'!D157</f>
        <v>396</v>
      </c>
      <c r="E1923" s="4">
        <f>'[1]OCTOBER 2023'!E157</f>
        <v>0</v>
      </c>
      <c r="F1923" s="6">
        <f>'[1]OCTOBER 2023'!F157</f>
        <v>0</v>
      </c>
      <c r="G1923" s="4"/>
      <c r="H1923" s="4"/>
    </row>
    <row r="1924" spans="1:8" x14ac:dyDescent="0.2">
      <c r="A1924" s="20">
        <f>'[1]OCTOBER 2023'!A163</f>
        <v>45223</v>
      </c>
      <c r="B1924" s="12" t="str">
        <f>'[1]OCTOBER 2023'!B163</f>
        <v>Refill</v>
      </c>
      <c r="C1924" s="3">
        <f>'[1]OCTOBER 2023'!C163</f>
        <v>40811.089999999997</v>
      </c>
      <c r="D1924" s="3">
        <f>'[1]OCTOBER 2023'!D163</f>
        <v>0</v>
      </c>
      <c r="E1924" s="4">
        <f>'[1]OCTOBER 2023'!E163</f>
        <v>0</v>
      </c>
      <c r="F1924" s="6">
        <f>'[1]OCTOBER 2023'!F163</f>
        <v>0</v>
      </c>
      <c r="G1924" s="4"/>
      <c r="H1924" s="4"/>
    </row>
    <row r="1925" spans="1:8" x14ac:dyDescent="0.2">
      <c r="A1925" s="23">
        <f>'[1]OCTOBER 2023'!A164</f>
        <v>45223</v>
      </c>
      <c r="B1925" s="12" t="str">
        <f>'[1]OCTOBER 2023'!B164</f>
        <v>LM</v>
      </c>
      <c r="C1925" s="3">
        <f>'[1]OCTOBER 2023'!C164</f>
        <v>0</v>
      </c>
      <c r="D1925" s="3">
        <f>'[1]OCTOBER 2023'!D164</f>
        <v>461</v>
      </c>
      <c r="E1925" s="4">
        <f>'[1]OCTOBER 2023'!E164</f>
        <v>0</v>
      </c>
      <c r="F1925" s="6">
        <f>'[1]OCTOBER 2023'!F164</f>
        <v>0</v>
      </c>
      <c r="G1925" s="4"/>
      <c r="H1925" s="4"/>
    </row>
    <row r="1926" spans="1:8" x14ac:dyDescent="0.2">
      <c r="A1926" s="23">
        <f>'[1]OCTOBER 2023'!A170</f>
        <v>45224</v>
      </c>
      <c r="B1926" s="12" t="str">
        <f>'[1]OCTOBER 2023'!B170</f>
        <v>VM</v>
      </c>
      <c r="C1926" s="3">
        <f>'[1]OCTOBER 2023'!C170</f>
        <v>0</v>
      </c>
      <c r="D1926" s="3">
        <f>'[1]OCTOBER 2023'!D170</f>
        <v>122</v>
      </c>
      <c r="E1926" s="4">
        <f>'[1]OCTOBER 2023'!E170</f>
        <v>0</v>
      </c>
      <c r="F1926" s="6">
        <f>'[1]OCTOBER 2023'!F170</f>
        <v>0</v>
      </c>
      <c r="G1926" s="4"/>
      <c r="H1926" s="4"/>
    </row>
    <row r="1927" spans="1:8" x14ac:dyDescent="0.2">
      <c r="A1927" s="20">
        <f>'[1]OCTOBER 2023'!A171</f>
        <v>45224</v>
      </c>
      <c r="B1927" s="12" t="str">
        <f>'[1]OCTOBER 2023'!B171</f>
        <v>LM</v>
      </c>
      <c r="C1927" s="3">
        <f>'[1]OCTOBER 2023'!C171</f>
        <v>0</v>
      </c>
      <c r="D1927" s="3">
        <f>'[1]OCTOBER 2023'!D171</f>
        <v>119.98</v>
      </c>
      <c r="E1927" s="4">
        <f>'[1]OCTOBER 2023'!E171</f>
        <v>0</v>
      </c>
      <c r="F1927" s="6">
        <f>'[1]OCTOBER 2023'!F171</f>
        <v>0</v>
      </c>
      <c r="G1927" s="4"/>
      <c r="H1927" s="4"/>
    </row>
    <row r="1928" spans="1:8" x14ac:dyDescent="0.2">
      <c r="A1928" s="23">
        <f>'[1]OCTOBER 2023'!A172</f>
        <v>45224</v>
      </c>
      <c r="B1928" s="12" t="str">
        <f>'[1]OCTOBER 2023'!B172</f>
        <v>Rauchen</v>
      </c>
      <c r="C1928" s="3">
        <f>'[1]OCTOBER 2023'!C172</f>
        <v>0</v>
      </c>
      <c r="D1928" s="3">
        <f>'[1]OCTOBER 2023'!D172</f>
        <v>150</v>
      </c>
      <c r="E1928" s="4">
        <f>'[1]OCTOBER 2023'!E172</f>
        <v>0</v>
      </c>
      <c r="F1928" s="6">
        <f>'[1]OCTOBER 2023'!F172</f>
        <v>0</v>
      </c>
      <c r="G1928" s="4"/>
      <c r="H1928" s="4"/>
    </row>
    <row r="1929" spans="1:8" x14ac:dyDescent="0.2">
      <c r="A1929" s="20">
        <f>'[1]OCTOBER 2023'!A177</f>
        <v>45225</v>
      </c>
      <c r="B1929" s="12" t="str">
        <f>'[1]OCTOBER 2023'!B177</f>
        <v>VM</v>
      </c>
      <c r="C1929" s="3">
        <f>'[1]OCTOBER 2023'!C177</f>
        <v>0</v>
      </c>
      <c r="D1929" s="3">
        <f>'[1]OCTOBER 2023'!D177</f>
        <v>8468</v>
      </c>
      <c r="E1929" s="4">
        <f>'[1]OCTOBER 2023'!E177</f>
        <v>0</v>
      </c>
      <c r="F1929" s="6">
        <f>'[1]OCTOBER 2023'!F177</f>
        <v>0</v>
      </c>
      <c r="G1929" s="4"/>
      <c r="H1929" s="4"/>
    </row>
    <row r="1930" spans="1:8" x14ac:dyDescent="0.2">
      <c r="A1930" s="23">
        <f>'[1]OCTOBER 2023'!A178</f>
        <v>45225</v>
      </c>
      <c r="B1930" s="12" t="str">
        <f>'[1]OCTOBER 2023'!B178</f>
        <v>LM</v>
      </c>
      <c r="C1930" s="3">
        <f>'[1]OCTOBER 2023'!C178</f>
        <v>0</v>
      </c>
      <c r="D1930" s="3">
        <f>'[1]OCTOBER 2023'!D178</f>
        <v>899</v>
      </c>
      <c r="E1930" s="4">
        <f>'[1]OCTOBER 2023'!E178</f>
        <v>0</v>
      </c>
      <c r="F1930" s="6">
        <f>'[1]OCTOBER 2023'!F178</f>
        <v>0</v>
      </c>
      <c r="G1930" s="4"/>
      <c r="H1930" s="4"/>
    </row>
    <row r="1931" spans="1:8" x14ac:dyDescent="0.2">
      <c r="A1931" s="23">
        <f>'[1]OCTOBER 2023'!A184</f>
        <v>45226</v>
      </c>
      <c r="B1931" s="12" t="str">
        <f>'[1]OCTOBER 2023'!B184</f>
        <v>Rauchen</v>
      </c>
      <c r="C1931" s="3">
        <f>'[1]OCTOBER 2023'!C184</f>
        <v>0</v>
      </c>
      <c r="D1931" s="3">
        <f>'[1]OCTOBER 2023'!D184</f>
        <v>150</v>
      </c>
      <c r="E1931" s="4">
        <f>'[1]OCTOBER 2023'!E184</f>
        <v>0</v>
      </c>
      <c r="F1931" s="6">
        <f>'[1]OCTOBER 2023'!F184</f>
        <v>0</v>
      </c>
      <c r="G1931" s="4"/>
      <c r="H1931" s="4"/>
    </row>
    <row r="1932" spans="1:8" x14ac:dyDescent="0.2">
      <c r="A1932" s="20">
        <f>'[1]OCTOBER 2023'!A191</f>
        <v>45227</v>
      </c>
      <c r="B1932" s="12" t="str">
        <f>'[1]OCTOBER 2023'!B191</f>
        <v>Party</v>
      </c>
      <c r="C1932" s="3">
        <f>'[1]OCTOBER 2023'!C191</f>
        <v>0</v>
      </c>
      <c r="D1932" s="3">
        <f>'[1]OCTOBER 2023'!D191</f>
        <v>1535</v>
      </c>
      <c r="E1932" s="4">
        <f>'[1]OCTOBER 2023'!E191</f>
        <v>0</v>
      </c>
      <c r="F1932" s="6">
        <f>'[1]OCTOBER 2023'!F191</f>
        <v>0</v>
      </c>
      <c r="G1932" s="4"/>
      <c r="H1932" s="4"/>
    </row>
    <row r="1933" spans="1:8" x14ac:dyDescent="0.2">
      <c r="A1933" s="23">
        <f>'[1]OCTOBER 2023'!A192</f>
        <v>45227</v>
      </c>
      <c r="B1933" s="12" t="str">
        <f>'[1]OCTOBER 2023'!B192</f>
        <v>LM</v>
      </c>
      <c r="C1933" s="3">
        <f>'[1]OCTOBER 2023'!C192</f>
        <v>0</v>
      </c>
      <c r="D1933" s="3">
        <f>'[1]OCTOBER 2023'!D192</f>
        <v>1439.3899999999999</v>
      </c>
      <c r="E1933" s="4">
        <f>'[1]OCTOBER 2023'!E192</f>
        <v>0</v>
      </c>
      <c r="F1933" s="6">
        <f>'[1]OCTOBER 2023'!F192</f>
        <v>0</v>
      </c>
      <c r="G1933" s="4"/>
      <c r="H1933" s="4"/>
    </row>
    <row r="1934" spans="1:8" x14ac:dyDescent="0.2">
      <c r="A1934" s="23">
        <f>'[1]OCTOBER 2023'!A198</f>
        <v>45228</v>
      </c>
      <c r="B1934" s="12" t="str">
        <f>'[1]OCTOBER 2023'!B198</f>
        <v>LM</v>
      </c>
      <c r="C1934" s="3">
        <f>'[1]OCTOBER 2023'!C198</f>
        <v>0</v>
      </c>
      <c r="D1934" s="3">
        <f>'[1]OCTOBER 2023'!D198</f>
        <v>158.47999999999999</v>
      </c>
      <c r="E1934" s="4">
        <f>'[1]OCTOBER 2023'!E198</f>
        <v>0</v>
      </c>
      <c r="F1934" s="6">
        <f>'[1]OCTOBER 2023'!F198</f>
        <v>0</v>
      </c>
      <c r="G1934" s="4"/>
      <c r="H1934" s="4"/>
    </row>
    <row r="1935" spans="1:8" x14ac:dyDescent="0.2">
      <c r="A1935" s="20">
        <f>'[1]OCTOBER 2023'!A199</f>
        <v>45228</v>
      </c>
      <c r="B1935" s="12" t="str">
        <f>'[1]OCTOBER 2023'!B199</f>
        <v>Andere</v>
      </c>
      <c r="C1935" s="3">
        <f>'[1]OCTOBER 2023'!C199</f>
        <v>0</v>
      </c>
      <c r="D1935" s="3">
        <f>'[1]OCTOBER 2023'!D199</f>
        <v>268</v>
      </c>
      <c r="E1935" s="4">
        <f>'[1]OCTOBER 2023'!E199</f>
        <v>0</v>
      </c>
      <c r="F1935" s="6">
        <f>'[1]OCTOBER 2023'!F199</f>
        <v>0</v>
      </c>
      <c r="G1935" s="4"/>
      <c r="H1935" s="4"/>
    </row>
    <row r="1936" spans="1:8" x14ac:dyDescent="0.2">
      <c r="A1936" s="23">
        <f>'[1]OCTOBER 2023'!A212</f>
        <v>45230</v>
      </c>
      <c r="B1936" s="12" t="str">
        <f>'[1]OCTOBER 2023'!B212</f>
        <v>LM</v>
      </c>
      <c r="C1936" s="3">
        <f>'[1]OCTOBER 2023'!C212</f>
        <v>0</v>
      </c>
      <c r="D1936" s="3">
        <f>'[1]OCTOBER 2023'!D212</f>
        <v>400</v>
      </c>
      <c r="E1936" s="4">
        <f>'[1]OCTOBER 2023'!E212</f>
        <v>0</v>
      </c>
      <c r="F1936" s="6">
        <f>'[1]OCTOBER 2023'!F212</f>
        <v>0</v>
      </c>
      <c r="G1936" s="4"/>
      <c r="H1936" s="4"/>
    </row>
    <row r="1937" spans="1:8" x14ac:dyDescent="0.2">
      <c r="A1937" s="20">
        <f>'[1]OCTOBER 2023'!A213</f>
        <v>45230</v>
      </c>
      <c r="B1937" s="12" t="str">
        <f>'[1]OCTOBER 2023'!B213</f>
        <v>Rauchen</v>
      </c>
      <c r="C1937" s="3">
        <f>'[1]OCTOBER 2023'!C213</f>
        <v>0</v>
      </c>
      <c r="D1937" s="3">
        <f>'[1]OCTOBER 2023'!D213</f>
        <v>170</v>
      </c>
      <c r="E1937" s="4">
        <f>'[1]OCTOBER 2023'!E213</f>
        <v>0</v>
      </c>
      <c r="F1937" s="6">
        <f>'[1]OCTOBER 2023'!F213</f>
        <v>0</v>
      </c>
      <c r="G1937" s="4"/>
      <c r="H1937" s="4"/>
    </row>
    <row r="1938" spans="1:8" x14ac:dyDescent="0.2">
      <c r="A1938" s="23">
        <f>'[1]OCTOBER 2023'!A214</f>
        <v>45230</v>
      </c>
      <c r="B1938" s="12" t="str">
        <f>'[1]OCTOBER 2023'!B214</f>
        <v>Refill</v>
      </c>
      <c r="C1938" s="3">
        <f>'[1]OCTOBER 2023'!C214</f>
        <v>2799.77</v>
      </c>
      <c r="D1938" s="3">
        <f>'[1]OCTOBER 2023'!D214</f>
        <v>0</v>
      </c>
      <c r="E1938" s="4">
        <f>'[1]OCTOBER 2023'!E214</f>
        <v>0</v>
      </c>
      <c r="F1938" s="6">
        <f>'[1]OCTOBER 2023'!F214</f>
        <v>0</v>
      </c>
      <c r="G1938" s="4"/>
      <c r="H1938" s="4"/>
    </row>
    <row r="1939" spans="1:8" x14ac:dyDescent="0.2">
      <c r="A1939" s="20">
        <f>'[1]OCTOBER 2023'!A215</f>
        <v>45230</v>
      </c>
      <c r="B1939" s="12" t="str">
        <f>'[1]OCTOBER 2023'!B215</f>
        <v>Party</v>
      </c>
      <c r="C1939" s="3">
        <f>'[1]OCTOBER 2023'!C215</f>
        <v>0</v>
      </c>
      <c r="D1939" s="3">
        <f>'[1]OCTOBER 2023'!D215</f>
        <v>2700</v>
      </c>
      <c r="E1939" s="4">
        <f>'[1]OCTOBER 2023'!E215</f>
        <v>0</v>
      </c>
      <c r="F1939" s="6">
        <f>'[1]OCTOBER 2023'!F215</f>
        <v>0</v>
      </c>
      <c r="G1939" s="4"/>
      <c r="H1939" s="4"/>
    </row>
    <row r="1940" spans="1:8" x14ac:dyDescent="0.2">
      <c r="A1940" s="20">
        <f>'[1]NOVEMBER 2023'!A2</f>
        <v>45231</v>
      </c>
      <c r="B1940" s="12" t="str">
        <f>'[1]NOVEMBER 2023'!B2</f>
        <v>LM</v>
      </c>
      <c r="C1940" s="3">
        <f>'[1]NOVEMBER 2023'!C2</f>
        <v>0</v>
      </c>
      <c r="D1940" s="3">
        <f>'[1]NOVEMBER 2023'!D2</f>
        <v>1768.16</v>
      </c>
      <c r="E1940" s="4">
        <f>'[1]NOVEMBER 2023'!E2</f>
        <v>0</v>
      </c>
      <c r="F1940" s="6">
        <f>'[1]NOVEMBER 2023'!F2</f>
        <v>0</v>
      </c>
      <c r="G1940" s="4"/>
      <c r="H1940" s="4"/>
    </row>
    <row r="1941" spans="1:8" x14ac:dyDescent="0.2">
      <c r="A1941" s="23">
        <f>'[1]NOVEMBER 2023'!A3</f>
        <v>45231</v>
      </c>
      <c r="B1941" s="12" t="str">
        <f>'[1]NOVEMBER 2023'!B3</f>
        <v>VM</v>
      </c>
      <c r="C1941" s="3">
        <f>'[1]NOVEMBER 2023'!C3</f>
        <v>0</v>
      </c>
      <c r="D1941" s="3">
        <f>'[1]NOVEMBER 2023'!D3</f>
        <v>122</v>
      </c>
      <c r="E1941" s="4">
        <f>'[1]NOVEMBER 2023'!E3</f>
        <v>0</v>
      </c>
      <c r="F1941" s="6">
        <f>'[1]NOVEMBER 2023'!F3</f>
        <v>0</v>
      </c>
      <c r="G1941" s="4"/>
      <c r="H1941" s="4"/>
    </row>
    <row r="1942" spans="1:8" x14ac:dyDescent="0.2">
      <c r="A1942" s="20">
        <f>'[1]NOVEMBER 2023'!A4</f>
        <v>45231</v>
      </c>
      <c r="B1942" s="12" t="str">
        <f>'[1]NOVEMBER 2023'!B4</f>
        <v>Andere</v>
      </c>
      <c r="C1942" s="3">
        <f>'[1]NOVEMBER 2023'!C4</f>
        <v>0</v>
      </c>
      <c r="D1942" s="3">
        <f>'[1]NOVEMBER 2023'!D4</f>
        <v>0</v>
      </c>
      <c r="E1942" s="4">
        <f>'[1]NOVEMBER 2023'!E4</f>
        <v>0</v>
      </c>
      <c r="F1942" s="6">
        <f>'[1]NOVEMBER 2023'!F4</f>
        <v>0</v>
      </c>
      <c r="G1942" s="4"/>
      <c r="H1942" s="4"/>
    </row>
    <row r="1943" spans="1:8" x14ac:dyDescent="0.2">
      <c r="A1943" s="23">
        <f>'[1]NOVEMBER 2023'!A5</f>
        <v>45231</v>
      </c>
      <c r="B1943" s="12" t="str">
        <f>'[1]NOVEMBER 2023'!B5</f>
        <v>for me</v>
      </c>
      <c r="C1943" s="3">
        <f>'[1]NOVEMBER 2023'!C5</f>
        <v>0</v>
      </c>
      <c r="D1943" s="3">
        <f>'[1]NOVEMBER 2023'!D5</f>
        <v>0</v>
      </c>
      <c r="E1943" s="4">
        <f>'[1]NOVEMBER 2023'!E5</f>
        <v>0</v>
      </c>
      <c r="F1943" s="6">
        <f>'[1]NOVEMBER 2023'!F5</f>
        <v>0</v>
      </c>
      <c r="G1943" s="4"/>
      <c r="H1943" s="4"/>
    </row>
    <row r="1944" spans="1:8" x14ac:dyDescent="0.2">
      <c r="A1944" s="20">
        <f>'[1]NOVEMBER 2023'!A6</f>
        <v>45231</v>
      </c>
      <c r="B1944" s="12" t="str">
        <f>'[1]NOVEMBER 2023'!B6</f>
        <v>Party</v>
      </c>
      <c r="C1944" s="3">
        <f>'[1]NOVEMBER 2023'!C6</f>
        <v>0</v>
      </c>
      <c r="D1944" s="3">
        <f>'[1]NOVEMBER 2023'!D6</f>
        <v>0</v>
      </c>
      <c r="E1944" s="4">
        <f>'[1]NOVEMBER 2023'!E6</f>
        <v>0</v>
      </c>
      <c r="F1944" s="6">
        <f>'[1]NOVEMBER 2023'!F6</f>
        <v>0</v>
      </c>
      <c r="G1944" s="4"/>
      <c r="H1944" s="4"/>
    </row>
    <row r="1945" spans="1:8" x14ac:dyDescent="0.2">
      <c r="A1945" s="23">
        <f>'[1]NOVEMBER 2023'!A7</f>
        <v>45231</v>
      </c>
      <c r="B1945" s="12" t="str">
        <f>'[1]NOVEMBER 2023'!B7</f>
        <v>Kleidung</v>
      </c>
      <c r="C1945" s="3">
        <f>'[1]NOVEMBER 2023'!C7</f>
        <v>0</v>
      </c>
      <c r="D1945" s="3">
        <f>'[1]NOVEMBER 2023'!D7</f>
        <v>0</v>
      </c>
      <c r="E1945" s="4">
        <f>'[1]NOVEMBER 2023'!E7</f>
        <v>0</v>
      </c>
      <c r="F1945" s="6">
        <f>'[1]NOVEMBER 2023'!F7</f>
        <v>0</v>
      </c>
      <c r="G1945" s="4"/>
      <c r="H1945" s="4"/>
    </row>
    <row r="1946" spans="1:8" x14ac:dyDescent="0.2">
      <c r="A1946" s="23">
        <f>'[1]NOVEMBER 2023'!A9</f>
        <v>45232</v>
      </c>
      <c r="B1946" s="12" t="str">
        <f>'[1]NOVEMBER 2023'!B9</f>
        <v>LM</v>
      </c>
      <c r="C1946" s="3">
        <f>'[1]NOVEMBER 2023'!C9</f>
        <v>0</v>
      </c>
      <c r="D1946" s="3">
        <f>'[1]NOVEMBER 2023'!D9</f>
        <v>434.84</v>
      </c>
      <c r="E1946" s="4">
        <f>'[1]NOVEMBER 2023'!E9</f>
        <v>0</v>
      </c>
      <c r="F1946" s="6">
        <f>'[1]NOVEMBER 2023'!F9</f>
        <v>0</v>
      </c>
      <c r="G1946" s="4"/>
      <c r="H1946" s="4"/>
    </row>
    <row r="1947" spans="1:8" x14ac:dyDescent="0.2">
      <c r="A1947" s="20">
        <f>'[1]NOVEMBER 2023'!A10</f>
        <v>45232</v>
      </c>
      <c r="B1947" s="12" t="str">
        <f>'[1]NOVEMBER 2023'!B10</f>
        <v>Rauchen</v>
      </c>
      <c r="C1947" s="3">
        <f>'[1]NOVEMBER 2023'!C10</f>
        <v>0</v>
      </c>
      <c r="D1947" s="3">
        <f>'[1]NOVEMBER 2023'!D10</f>
        <v>0</v>
      </c>
      <c r="E1947" s="4">
        <f>'[1]NOVEMBER 2023'!E10</f>
        <v>0</v>
      </c>
      <c r="F1947" s="6">
        <f>'[1]NOVEMBER 2023'!F10</f>
        <v>150</v>
      </c>
      <c r="G1947" s="4"/>
      <c r="H1947" s="4"/>
    </row>
    <row r="1948" spans="1:8" x14ac:dyDescent="0.2">
      <c r="A1948" s="20">
        <f>'[1]NOVEMBER 2023'!A16</f>
        <v>45233</v>
      </c>
      <c r="B1948" s="12" t="str">
        <f>'[1]NOVEMBER 2023'!B16</f>
        <v>LM</v>
      </c>
      <c r="C1948" s="3">
        <f>'[1]NOVEMBER 2023'!C16</f>
        <v>0</v>
      </c>
      <c r="D1948" s="3">
        <f>'[1]NOVEMBER 2023'!D16</f>
        <v>566</v>
      </c>
      <c r="E1948" s="4">
        <f>'[1]NOVEMBER 2023'!E16</f>
        <v>0</v>
      </c>
      <c r="F1948" s="6">
        <f>'[1]NOVEMBER 2023'!F16</f>
        <v>0</v>
      </c>
      <c r="G1948" s="4"/>
      <c r="H1948" s="4"/>
    </row>
    <row r="1949" spans="1:8" x14ac:dyDescent="0.2">
      <c r="A1949" s="23">
        <f>'[1]NOVEMBER 2023'!A23</f>
        <v>45234</v>
      </c>
      <c r="B1949" s="12" t="str">
        <f>'[1]NOVEMBER 2023'!B23</f>
        <v>Andere</v>
      </c>
      <c r="C1949" s="3">
        <f>'[1]NOVEMBER 2023'!C23</f>
        <v>0</v>
      </c>
      <c r="D1949" s="3">
        <f>'[1]NOVEMBER 2023'!D23</f>
        <v>4</v>
      </c>
      <c r="E1949" s="4">
        <f>'[1]NOVEMBER 2023'!E23</f>
        <v>0</v>
      </c>
      <c r="F1949" s="6">
        <f>'[1]NOVEMBER 2023'!F23</f>
        <v>0</v>
      </c>
      <c r="G1949" s="4"/>
      <c r="H1949" s="4"/>
    </row>
    <row r="1950" spans="1:8" x14ac:dyDescent="0.2">
      <c r="A1950" s="20">
        <f>'[1]NOVEMBER 2023'!A24</f>
        <v>45234</v>
      </c>
      <c r="B1950" s="12" t="str">
        <f>'[1]NOVEMBER 2023'!B24</f>
        <v>LM</v>
      </c>
      <c r="C1950" s="3">
        <f>'[1]NOVEMBER 2023'!C24</f>
        <v>0</v>
      </c>
      <c r="D1950" s="3">
        <f>'[1]NOVEMBER 2023'!D24</f>
        <v>641.17000000000007</v>
      </c>
      <c r="E1950" s="4">
        <f>'[1]NOVEMBER 2023'!E24</f>
        <v>0</v>
      </c>
      <c r="F1950" s="6">
        <f>'[1]NOVEMBER 2023'!F24</f>
        <v>0</v>
      </c>
      <c r="G1950" s="4"/>
      <c r="H1950" s="4"/>
    </row>
    <row r="1951" spans="1:8" x14ac:dyDescent="0.2">
      <c r="A1951" s="23">
        <f>'[1]NOVEMBER 2023'!A25</f>
        <v>45234</v>
      </c>
      <c r="B1951" s="12" t="str">
        <f>'[1]NOVEMBER 2023'!B25</f>
        <v>Rauchen</v>
      </c>
      <c r="C1951" s="3">
        <f>'[1]NOVEMBER 2023'!C25</f>
        <v>0</v>
      </c>
      <c r="D1951" s="3">
        <f>'[1]NOVEMBER 2023'!D25</f>
        <v>0</v>
      </c>
      <c r="E1951" s="4">
        <f>'[1]NOVEMBER 2023'!E25</f>
        <v>0</v>
      </c>
      <c r="F1951" s="6">
        <f>'[1]NOVEMBER 2023'!F25</f>
        <v>150</v>
      </c>
      <c r="G1951" s="4"/>
      <c r="H1951" s="4"/>
    </row>
    <row r="1952" spans="1:8" x14ac:dyDescent="0.2">
      <c r="A1952" s="20">
        <f>'[1]NOVEMBER 2023'!A30</f>
        <v>45235</v>
      </c>
      <c r="B1952" s="12" t="str">
        <f>'[1]NOVEMBER 2023'!B30</f>
        <v>LM</v>
      </c>
      <c r="C1952" s="3">
        <f>'[1]NOVEMBER 2023'!C30</f>
        <v>0</v>
      </c>
      <c r="D1952" s="3">
        <f>'[1]NOVEMBER 2023'!D30</f>
        <v>357.89999999999964</v>
      </c>
      <c r="E1952" s="4">
        <f>'[1]NOVEMBER 2023'!E30</f>
        <v>0</v>
      </c>
      <c r="F1952" s="6">
        <f>'[1]NOVEMBER 2023'!F30</f>
        <v>0</v>
      </c>
      <c r="G1952" s="4"/>
      <c r="H1952" s="4"/>
    </row>
    <row r="1953" spans="1:8" x14ac:dyDescent="0.2">
      <c r="A1953" s="23">
        <f>'[1]NOVEMBER 2023'!A31</f>
        <v>45235</v>
      </c>
      <c r="B1953" s="12" t="str">
        <f>'[1]NOVEMBER 2023'!B31</f>
        <v>LM</v>
      </c>
      <c r="C1953" s="3">
        <f>'[1]NOVEMBER 2023'!C31</f>
        <v>0</v>
      </c>
      <c r="D1953" s="3">
        <f>'[1]NOVEMBER 2023'!D31</f>
        <v>0</v>
      </c>
      <c r="E1953" s="4">
        <f>'[1]NOVEMBER 2023'!E31</f>
        <v>0</v>
      </c>
      <c r="F1953" s="6">
        <f>'[1]NOVEMBER 2023'!F31</f>
        <v>0</v>
      </c>
      <c r="G1953" s="4"/>
      <c r="H1953" s="4"/>
    </row>
    <row r="1954" spans="1:8" x14ac:dyDescent="0.2">
      <c r="A1954" s="23">
        <f>'[1]NOVEMBER 2023'!A37</f>
        <v>45236</v>
      </c>
      <c r="B1954" s="12" t="str">
        <f>'[1]NOVEMBER 2023'!B37</f>
        <v>VM</v>
      </c>
      <c r="C1954" s="3">
        <f>'[1]NOVEMBER 2023'!C37</f>
        <v>0</v>
      </c>
      <c r="D1954" s="3">
        <f>'[1]NOVEMBER 2023'!D37</f>
        <v>183</v>
      </c>
      <c r="E1954" s="4">
        <f>'[1]NOVEMBER 2023'!E37</f>
        <v>0</v>
      </c>
      <c r="F1954" s="6">
        <f>'[1]NOVEMBER 2023'!F37</f>
        <v>0</v>
      </c>
      <c r="G1954" s="4"/>
      <c r="H1954" s="4"/>
    </row>
    <row r="1955" spans="1:8" x14ac:dyDescent="0.2">
      <c r="A1955" s="20">
        <f>'[1]NOVEMBER 2023'!A38</f>
        <v>45236</v>
      </c>
      <c r="B1955" s="12" t="str">
        <f>'[1]NOVEMBER 2023'!B38</f>
        <v>Andere</v>
      </c>
      <c r="C1955" s="3">
        <f>'[1]NOVEMBER 2023'!C38</f>
        <v>0</v>
      </c>
      <c r="D1955" s="3">
        <f>'[1]NOVEMBER 2023'!D38</f>
        <v>2000</v>
      </c>
      <c r="E1955" s="4">
        <f>'[1]NOVEMBER 2023'!E38</f>
        <v>0</v>
      </c>
      <c r="F1955" s="6">
        <f>'[1]NOVEMBER 2023'!F38</f>
        <v>0</v>
      </c>
      <c r="G1955" s="4"/>
      <c r="H1955" s="4"/>
    </row>
    <row r="1956" spans="1:8" x14ac:dyDescent="0.2">
      <c r="A1956" s="23">
        <f>'[1]NOVEMBER 2023'!A39</f>
        <v>45236</v>
      </c>
      <c r="B1956" s="12" t="str">
        <f>'[1]NOVEMBER 2023'!B39</f>
        <v>VM</v>
      </c>
      <c r="C1956" s="3">
        <f>'[1]NOVEMBER 2023'!C39</f>
        <v>0</v>
      </c>
      <c r="D1956" s="3">
        <f>'[1]NOVEMBER 2023'!D39</f>
        <v>61</v>
      </c>
      <c r="E1956" s="4">
        <f>'[1]NOVEMBER 2023'!E39</f>
        <v>0</v>
      </c>
      <c r="F1956" s="6">
        <f>'[1]NOVEMBER 2023'!F39</f>
        <v>0</v>
      </c>
      <c r="G1956" s="4"/>
      <c r="H1956" s="4"/>
    </row>
    <row r="1957" spans="1:8" x14ac:dyDescent="0.2">
      <c r="A1957" s="20">
        <f>'[1]NOVEMBER 2023'!A44</f>
        <v>45237</v>
      </c>
      <c r="B1957" s="12" t="str">
        <f>'[1]NOVEMBER 2023'!B44</f>
        <v>LM</v>
      </c>
      <c r="C1957" s="3">
        <f>'[1]NOVEMBER 2023'!C44</f>
        <v>0</v>
      </c>
      <c r="D1957" s="3">
        <f>'[1]NOVEMBER 2023'!D44</f>
        <v>1351</v>
      </c>
      <c r="E1957" s="4">
        <f>'[1]NOVEMBER 2023'!E44</f>
        <v>0</v>
      </c>
      <c r="F1957" s="6">
        <f>'[1]NOVEMBER 2023'!F44</f>
        <v>0</v>
      </c>
      <c r="G1957" s="4"/>
      <c r="H1957" s="4"/>
    </row>
    <row r="1958" spans="1:8" x14ac:dyDescent="0.2">
      <c r="A1958" s="23">
        <f>'[1]NOVEMBER 2023'!A45</f>
        <v>45237</v>
      </c>
      <c r="B1958" s="12" t="str">
        <f>'[1]NOVEMBER 2023'!B45</f>
        <v>VM</v>
      </c>
      <c r="C1958" s="3">
        <f>'[1]NOVEMBER 2023'!C45</f>
        <v>0</v>
      </c>
      <c r="D1958" s="3">
        <f>'[1]NOVEMBER 2023'!D45</f>
        <v>61</v>
      </c>
      <c r="E1958" s="4">
        <f>'[1]NOVEMBER 2023'!E45</f>
        <v>0</v>
      </c>
      <c r="F1958" s="6">
        <f>'[1]NOVEMBER 2023'!F45</f>
        <v>0</v>
      </c>
      <c r="G1958" s="4"/>
      <c r="H1958" s="4"/>
    </row>
    <row r="1959" spans="1:8" x14ac:dyDescent="0.2">
      <c r="A1959" s="23">
        <f>'[1]NOVEMBER 2023'!A51</f>
        <v>45238</v>
      </c>
      <c r="B1959" s="12" t="str">
        <f>'[1]NOVEMBER 2023'!B51</f>
        <v>LM</v>
      </c>
      <c r="C1959" s="3">
        <f>'[1]NOVEMBER 2023'!C51</f>
        <v>0</v>
      </c>
      <c r="D1959" s="3">
        <f>'[1]NOVEMBER 2023'!D51</f>
        <v>279.97000000000003</v>
      </c>
      <c r="E1959" s="4">
        <f>'[1]NOVEMBER 2023'!E51</f>
        <v>0</v>
      </c>
      <c r="F1959" s="6">
        <f>'[1]NOVEMBER 2023'!F51</f>
        <v>0</v>
      </c>
      <c r="G1959" s="4"/>
      <c r="H1959" s="4"/>
    </row>
    <row r="1960" spans="1:8" x14ac:dyDescent="0.2">
      <c r="A1960" s="20">
        <f>'[1]NOVEMBER 2023'!A52</f>
        <v>45238</v>
      </c>
      <c r="B1960" s="12" t="str">
        <f>'[1]NOVEMBER 2023'!B52</f>
        <v>Rauchen</v>
      </c>
      <c r="C1960" s="3">
        <f>'[1]NOVEMBER 2023'!C52</f>
        <v>0</v>
      </c>
      <c r="D1960" s="3">
        <f>'[1]NOVEMBER 2023'!D52</f>
        <v>0</v>
      </c>
      <c r="E1960" s="4">
        <f>'[1]NOVEMBER 2023'!E52</f>
        <v>0</v>
      </c>
      <c r="F1960" s="6">
        <f>'[1]NOVEMBER 2023'!F52</f>
        <v>150</v>
      </c>
      <c r="G1960" s="4"/>
      <c r="H1960" s="4"/>
    </row>
    <row r="1961" spans="1:8" x14ac:dyDescent="0.2">
      <c r="A1961" s="20">
        <f>'[1]NOVEMBER 2023'!A58</f>
        <v>45239</v>
      </c>
      <c r="B1961" s="12" t="str">
        <f>'[1]NOVEMBER 2023'!B58</f>
        <v>Refill</v>
      </c>
      <c r="C1961" s="3">
        <f>'[1]NOVEMBER 2023'!C58</f>
        <v>59412.91</v>
      </c>
      <c r="D1961" s="3">
        <f>'[1]NOVEMBER 2023'!D58</f>
        <v>0</v>
      </c>
      <c r="E1961" s="4">
        <f>'[1]NOVEMBER 2023'!E58</f>
        <v>0</v>
      </c>
      <c r="F1961" s="6">
        <f>'[1]NOVEMBER 2023'!F58</f>
        <v>0</v>
      </c>
      <c r="G1961" s="4"/>
      <c r="H1961" s="4"/>
    </row>
    <row r="1962" spans="1:8" x14ac:dyDescent="0.2">
      <c r="A1962" s="23">
        <f>'[1]NOVEMBER 2023'!A65</f>
        <v>45240</v>
      </c>
      <c r="B1962" s="12" t="str">
        <f>'[1]NOVEMBER 2023'!B65</f>
        <v>Andere</v>
      </c>
      <c r="C1962" s="3">
        <f>'[1]NOVEMBER 2023'!C65</f>
        <v>0</v>
      </c>
      <c r="D1962" s="3">
        <f>'[1]NOVEMBER 2023'!D65</f>
        <v>2210</v>
      </c>
      <c r="E1962" s="4">
        <f>'[1]NOVEMBER 2023'!E65</f>
        <v>0</v>
      </c>
      <c r="F1962" s="6">
        <f>'[1]NOVEMBER 2023'!F65</f>
        <v>0</v>
      </c>
      <c r="G1962" s="4"/>
      <c r="H1962" s="4"/>
    </row>
    <row r="1963" spans="1:8" x14ac:dyDescent="0.2">
      <c r="A1963" s="20">
        <f>'[1]NOVEMBER 2023'!A66</f>
        <v>45240</v>
      </c>
      <c r="B1963" s="12" t="str">
        <f>'[1]NOVEMBER 2023'!B66</f>
        <v>LM</v>
      </c>
      <c r="C1963" s="3">
        <f>'[1]NOVEMBER 2023'!C66</f>
        <v>0</v>
      </c>
      <c r="D1963" s="3">
        <f>'[1]NOVEMBER 2023'!D66</f>
        <v>920</v>
      </c>
      <c r="E1963" s="4">
        <f>'[1]NOVEMBER 2023'!E66</f>
        <v>0</v>
      </c>
      <c r="F1963" s="6">
        <f>'[1]NOVEMBER 2023'!F66</f>
        <v>0</v>
      </c>
      <c r="G1963" s="4"/>
      <c r="H1963" s="4"/>
    </row>
    <row r="1964" spans="1:8" x14ac:dyDescent="0.2">
      <c r="A1964" s="23">
        <f>'[1]NOVEMBER 2023'!A67</f>
        <v>45240</v>
      </c>
      <c r="B1964" s="12" t="str">
        <f>'[1]NOVEMBER 2023'!B67</f>
        <v>none</v>
      </c>
      <c r="C1964" s="3">
        <f>'[1]NOVEMBER 2023'!C67</f>
        <v>0</v>
      </c>
      <c r="D1964" s="3">
        <f>'[1]NOVEMBER 2023'!D67</f>
        <v>4000</v>
      </c>
      <c r="E1964" s="4">
        <f>'[1]NOVEMBER 2023'!E67</f>
        <v>4000</v>
      </c>
      <c r="F1964" s="6">
        <f>'[1]NOVEMBER 2023'!F67</f>
        <v>0</v>
      </c>
      <c r="G1964" s="4"/>
      <c r="H1964" s="4"/>
    </row>
    <row r="1965" spans="1:8" x14ac:dyDescent="0.2">
      <c r="A1965" s="20">
        <f>'[1]NOVEMBER 2023'!A72</f>
        <v>45241</v>
      </c>
      <c r="B1965" s="12" t="str">
        <f>'[1]NOVEMBER 2023'!B72</f>
        <v>LM</v>
      </c>
      <c r="C1965" s="3">
        <f>'[1]NOVEMBER 2023'!C72</f>
        <v>0</v>
      </c>
      <c r="D1965" s="3">
        <f>'[1]NOVEMBER 2023'!D72</f>
        <v>1732.49</v>
      </c>
      <c r="E1965" s="4">
        <f>'[1]NOVEMBER 2023'!E72</f>
        <v>0</v>
      </c>
      <c r="F1965" s="6">
        <f>'[1]NOVEMBER 2023'!F72</f>
        <v>0</v>
      </c>
      <c r="G1965" s="4"/>
      <c r="H1965" s="4"/>
    </row>
    <row r="1966" spans="1:8" x14ac:dyDescent="0.2">
      <c r="A1966" s="23">
        <f>'[1]NOVEMBER 2023'!A73</f>
        <v>45241</v>
      </c>
      <c r="B1966" s="12" t="str">
        <f>'[1]NOVEMBER 2023'!B73</f>
        <v>Andere</v>
      </c>
      <c r="C1966" s="3">
        <f>'[1]NOVEMBER 2023'!C73</f>
        <v>0</v>
      </c>
      <c r="D1966" s="3">
        <f>'[1]NOVEMBER 2023'!D73</f>
        <v>5000</v>
      </c>
      <c r="E1966" s="4">
        <f>'[1]NOVEMBER 2023'!E73</f>
        <v>0</v>
      </c>
      <c r="F1966" s="6">
        <f>'[1]NOVEMBER 2023'!F73</f>
        <v>0</v>
      </c>
      <c r="G1966" s="4"/>
      <c r="H1966" s="4"/>
    </row>
    <row r="1967" spans="1:8" x14ac:dyDescent="0.2">
      <c r="A1967" s="23">
        <f>'[1]NOVEMBER 2023'!A79</f>
        <v>45242</v>
      </c>
      <c r="B1967" s="12" t="str">
        <f>'[1]NOVEMBER 2023'!B79</f>
        <v>none</v>
      </c>
      <c r="C1967" s="3">
        <f>'[1]NOVEMBER 2023'!C79</f>
        <v>1</v>
      </c>
      <c r="D1967" s="3">
        <f>'[1]NOVEMBER 2023'!D79</f>
        <v>0</v>
      </c>
      <c r="E1967" s="4">
        <f>'[1]NOVEMBER 2023'!E79</f>
        <v>0</v>
      </c>
      <c r="F1967" s="6">
        <f>'[1]NOVEMBER 2023'!F79</f>
        <v>0</v>
      </c>
      <c r="G1967" s="4"/>
      <c r="H1967" s="4"/>
    </row>
    <row r="1968" spans="1:8" x14ac:dyDescent="0.2">
      <c r="A1968" s="20">
        <f>'[1]NOVEMBER 2023'!A80</f>
        <v>45242</v>
      </c>
      <c r="B1968" s="12" t="str">
        <f>'[1]NOVEMBER 2023'!B80</f>
        <v>LM</v>
      </c>
      <c r="C1968" s="3">
        <f>'[1]NOVEMBER 2023'!C80</f>
        <v>0</v>
      </c>
      <c r="D1968" s="3">
        <f>'[1]NOVEMBER 2023'!D80</f>
        <v>1285.47</v>
      </c>
      <c r="E1968" s="4">
        <f>'[1]NOVEMBER 2023'!E80</f>
        <v>0</v>
      </c>
      <c r="F1968" s="6">
        <f>'[1]NOVEMBER 2023'!F80</f>
        <v>0</v>
      </c>
      <c r="G1968" s="4"/>
      <c r="H1968" s="4"/>
    </row>
    <row r="1969" spans="1:8" x14ac:dyDescent="0.2">
      <c r="A1969" s="23">
        <f>'[1]NOVEMBER 2023'!A81</f>
        <v>45242</v>
      </c>
      <c r="B1969" s="12" t="str">
        <f>'[1]NOVEMBER 2023'!B81</f>
        <v>VM</v>
      </c>
      <c r="C1969" s="3">
        <f>'[1]NOVEMBER 2023'!C81</f>
        <v>0</v>
      </c>
      <c r="D1969" s="3">
        <f>'[1]NOVEMBER 2023'!D81</f>
        <v>122</v>
      </c>
      <c r="E1969" s="4">
        <f>'[1]NOVEMBER 2023'!E81</f>
        <v>0</v>
      </c>
      <c r="F1969" s="6">
        <f>'[1]NOVEMBER 2023'!F81</f>
        <v>0</v>
      </c>
      <c r="G1969" s="4"/>
      <c r="H1969" s="4"/>
    </row>
    <row r="1970" spans="1:8" x14ac:dyDescent="0.2">
      <c r="A1970" s="20">
        <f>'[1]NOVEMBER 2023'!A86</f>
        <v>45243</v>
      </c>
      <c r="B1970" s="12" t="str">
        <f>'[1]NOVEMBER 2023'!B86</f>
        <v>Rauchen</v>
      </c>
      <c r="C1970" s="3">
        <f>'[1]NOVEMBER 2023'!C86</f>
        <v>0</v>
      </c>
      <c r="D1970" s="3">
        <f>'[1]NOVEMBER 2023'!D86</f>
        <v>170</v>
      </c>
      <c r="E1970" s="4">
        <f>'[1]NOVEMBER 2023'!E86</f>
        <v>0</v>
      </c>
      <c r="F1970" s="6">
        <f>'[1]NOVEMBER 2023'!F86</f>
        <v>0</v>
      </c>
      <c r="G1970" s="4"/>
      <c r="H1970" s="4"/>
    </row>
    <row r="1971" spans="1:8" x14ac:dyDescent="0.2">
      <c r="A1971" s="23">
        <f>'[1]NOVEMBER 2023'!A87</f>
        <v>45243</v>
      </c>
      <c r="B1971" s="12" t="str">
        <f>'[1]NOVEMBER 2023'!B87</f>
        <v>LM</v>
      </c>
      <c r="C1971" s="3">
        <f>'[1]NOVEMBER 2023'!C87</f>
        <v>0</v>
      </c>
      <c r="D1971" s="3">
        <f>'[1]NOVEMBER 2023'!D87</f>
        <v>430</v>
      </c>
      <c r="E1971" s="4">
        <f>'[1]NOVEMBER 2023'!E87</f>
        <v>0</v>
      </c>
      <c r="F1971" s="6">
        <f>'[1]NOVEMBER 2023'!F87</f>
        <v>0</v>
      </c>
      <c r="G1971" s="4"/>
      <c r="H1971" s="4"/>
    </row>
    <row r="1972" spans="1:8" x14ac:dyDescent="0.2">
      <c r="A1972" s="20">
        <f>'[1]NOVEMBER 2023'!A88</f>
        <v>45243</v>
      </c>
      <c r="B1972" s="12" t="str">
        <f>'[1]NOVEMBER 2023'!B88</f>
        <v>VM</v>
      </c>
      <c r="C1972" s="3">
        <f>'[1]NOVEMBER 2023'!C88</f>
        <v>0</v>
      </c>
      <c r="D1972" s="3">
        <f>'[1]NOVEMBER 2023'!D88</f>
        <v>122</v>
      </c>
      <c r="E1972" s="4">
        <f>'[1]NOVEMBER 2023'!E88</f>
        <v>0</v>
      </c>
      <c r="F1972" s="6">
        <f>'[1]NOVEMBER 2023'!F88</f>
        <v>0</v>
      </c>
      <c r="G1972" s="4"/>
      <c r="H1972" s="4"/>
    </row>
    <row r="1973" spans="1:8" x14ac:dyDescent="0.2">
      <c r="A1973" s="23">
        <f>'[1]NOVEMBER 2023'!A89</f>
        <v>45243</v>
      </c>
      <c r="B1973" s="12" t="str">
        <f>'[1]NOVEMBER 2023'!B89</f>
        <v>Andere</v>
      </c>
      <c r="C1973" s="3">
        <f>'[1]NOVEMBER 2023'!C89</f>
        <v>0</v>
      </c>
      <c r="D1973" s="3">
        <f>'[1]NOVEMBER 2023'!D89</f>
        <v>200</v>
      </c>
      <c r="E1973" s="4">
        <f>'[1]NOVEMBER 2023'!E89</f>
        <v>0</v>
      </c>
      <c r="F1973" s="6">
        <f>'[1]NOVEMBER 2023'!F89</f>
        <v>0</v>
      </c>
      <c r="G1973" s="4"/>
      <c r="H1973" s="4"/>
    </row>
    <row r="1974" spans="1:8" x14ac:dyDescent="0.2">
      <c r="A1974" s="23">
        <f>'[1]NOVEMBER 2023'!A93</f>
        <v>45244</v>
      </c>
      <c r="B1974" s="12" t="str">
        <f>'[1]NOVEMBER 2023'!B93</f>
        <v>VM</v>
      </c>
      <c r="C1974" s="3">
        <f>'[1]NOVEMBER 2023'!C93</f>
        <v>0</v>
      </c>
      <c r="D1974" s="3">
        <f>'[1]NOVEMBER 2023'!D93</f>
        <v>500</v>
      </c>
      <c r="E1974" s="4">
        <f>'[1]NOVEMBER 2023'!E93</f>
        <v>0</v>
      </c>
      <c r="F1974" s="6">
        <f>'[1]NOVEMBER 2023'!F93</f>
        <v>0</v>
      </c>
      <c r="G1974" s="4"/>
      <c r="H1974" s="4"/>
    </row>
    <row r="1975" spans="1:8" x14ac:dyDescent="0.2">
      <c r="A1975" s="20">
        <f>'[1]NOVEMBER 2023'!A94</f>
        <v>45244</v>
      </c>
      <c r="B1975" s="12" t="str">
        <f>'[1]NOVEMBER 2023'!B94</f>
        <v>LM</v>
      </c>
      <c r="C1975" s="3">
        <f>'[1]NOVEMBER 2023'!C94</f>
        <v>0</v>
      </c>
      <c r="D1975" s="3">
        <f>'[1]NOVEMBER 2023'!D94</f>
        <v>480</v>
      </c>
      <c r="E1975" s="4">
        <f>'[1]NOVEMBER 2023'!E94</f>
        <v>0</v>
      </c>
      <c r="F1975" s="6">
        <f>'[1]NOVEMBER 2023'!F94</f>
        <v>0</v>
      </c>
      <c r="G1975" s="4"/>
      <c r="H1975" s="4"/>
    </row>
    <row r="1976" spans="1:8" x14ac:dyDescent="0.2">
      <c r="A1976" s="23">
        <f>'[1]NOVEMBER 2023'!A95</f>
        <v>45244</v>
      </c>
      <c r="B1976" s="12" t="str">
        <f>'[1]NOVEMBER 2023'!B95</f>
        <v>VM</v>
      </c>
      <c r="C1976" s="3">
        <f>'[1]NOVEMBER 2023'!C95</f>
        <v>0</v>
      </c>
      <c r="D1976" s="3">
        <f>'[1]NOVEMBER 2023'!D95</f>
        <v>122</v>
      </c>
      <c r="E1976" s="4">
        <f>'[1]NOVEMBER 2023'!E95</f>
        <v>0</v>
      </c>
      <c r="F1976" s="6">
        <f>'[1]NOVEMBER 2023'!F95</f>
        <v>0</v>
      </c>
      <c r="G1976" s="4"/>
      <c r="H1976" s="4"/>
    </row>
    <row r="1977" spans="1:8" x14ac:dyDescent="0.2">
      <c r="A1977" s="20">
        <f>'[1]NOVEMBER 2023'!A96</f>
        <v>45244</v>
      </c>
      <c r="B1977" s="12" t="str">
        <f>'[1]NOVEMBER 2023'!B96</f>
        <v>Andere</v>
      </c>
      <c r="C1977" s="3">
        <f>'[1]NOVEMBER 2023'!C96</f>
        <v>0</v>
      </c>
      <c r="D1977" s="3">
        <f>'[1]NOVEMBER 2023'!D96</f>
        <v>1000</v>
      </c>
      <c r="E1977" s="4">
        <f>'[1]NOVEMBER 2023'!E96</f>
        <v>0</v>
      </c>
      <c r="F1977" s="6">
        <f>'[1]NOVEMBER 2023'!F96</f>
        <v>0</v>
      </c>
      <c r="G1977" s="4"/>
      <c r="H1977" s="4"/>
    </row>
    <row r="1978" spans="1:8" x14ac:dyDescent="0.2">
      <c r="A1978" s="20">
        <f>'[1]NOVEMBER 2023'!A100</f>
        <v>45245</v>
      </c>
      <c r="B1978" s="12" t="str">
        <f>'[1]NOVEMBER 2023'!B100</f>
        <v>VM</v>
      </c>
      <c r="C1978" s="3">
        <f>'[1]NOVEMBER 2023'!C100</f>
        <v>0</v>
      </c>
      <c r="D1978" s="3">
        <f>'[1]NOVEMBER 2023'!D100</f>
        <v>228</v>
      </c>
      <c r="E1978" s="4">
        <f>'[1]NOVEMBER 2023'!E100</f>
        <v>0</v>
      </c>
      <c r="F1978" s="6">
        <f>'[1]NOVEMBER 2023'!F100</f>
        <v>0</v>
      </c>
      <c r="G1978" s="4"/>
      <c r="H1978" s="4"/>
    </row>
    <row r="1979" spans="1:8" x14ac:dyDescent="0.2">
      <c r="A1979" s="23">
        <f>'[1]NOVEMBER 2023'!A101</f>
        <v>45245</v>
      </c>
      <c r="B1979" s="12" t="str">
        <f>'[1]NOVEMBER 2023'!B101</f>
        <v>for me</v>
      </c>
      <c r="C1979" s="3">
        <f>'[1]NOVEMBER 2023'!C101</f>
        <v>0</v>
      </c>
      <c r="D1979" s="3">
        <f>'[1]NOVEMBER 2023'!D101</f>
        <v>0</v>
      </c>
      <c r="E1979" s="4">
        <f>'[1]NOVEMBER 2023'!E101</f>
        <v>0</v>
      </c>
      <c r="F1979" s="6">
        <f>'[1]NOVEMBER 2023'!F101</f>
        <v>1330</v>
      </c>
      <c r="G1979" s="4"/>
      <c r="H1979" s="4"/>
    </row>
    <row r="1980" spans="1:8" x14ac:dyDescent="0.2">
      <c r="A1980" s="23">
        <f>'[1]NOVEMBER 2023'!A107</f>
        <v>45246</v>
      </c>
      <c r="B1980" s="12" t="str">
        <f>'[1]NOVEMBER 2023'!B107</f>
        <v>LM</v>
      </c>
      <c r="C1980" s="3">
        <f>'[1]NOVEMBER 2023'!C107</f>
        <v>0</v>
      </c>
      <c r="D1980" s="3">
        <f>'[1]NOVEMBER 2023'!D107</f>
        <v>19.989999999999998</v>
      </c>
      <c r="E1980" s="4">
        <f>'[1]NOVEMBER 2023'!E107</f>
        <v>0</v>
      </c>
      <c r="F1980" s="6">
        <f>'[1]NOVEMBER 2023'!F107</f>
        <v>0</v>
      </c>
      <c r="G1980" s="4"/>
      <c r="H1980" s="4"/>
    </row>
    <row r="1981" spans="1:8" x14ac:dyDescent="0.2">
      <c r="A1981" s="20">
        <f>'[1]NOVEMBER 2023'!A114</f>
        <v>45247</v>
      </c>
      <c r="B1981" s="12" t="str">
        <f>'[1]NOVEMBER 2023'!B114</f>
        <v>Andere</v>
      </c>
      <c r="C1981" s="3">
        <f>'[1]NOVEMBER 2023'!C114</f>
        <v>0</v>
      </c>
      <c r="D1981" s="3">
        <f>'[1]NOVEMBER 2023'!D114</f>
        <v>230</v>
      </c>
      <c r="E1981" s="4">
        <f>'[1]NOVEMBER 2023'!E114</f>
        <v>0</v>
      </c>
      <c r="F1981" s="6">
        <f>'[1]NOVEMBER 2023'!F114</f>
        <v>0</v>
      </c>
      <c r="G1981" s="4"/>
      <c r="H1981" s="4"/>
    </row>
    <row r="1982" spans="1:8" x14ac:dyDescent="0.2">
      <c r="A1982" s="23">
        <f>'[1]NOVEMBER 2023'!A115</f>
        <v>45247</v>
      </c>
      <c r="B1982" s="12" t="str">
        <f>'[1]NOVEMBER 2023'!B115</f>
        <v>rent</v>
      </c>
      <c r="C1982" s="3">
        <f>'[1]NOVEMBER 2023'!C115</f>
        <v>0</v>
      </c>
      <c r="D1982" s="3">
        <f>'[1]NOVEMBER 2023'!D115</f>
        <v>55000</v>
      </c>
      <c r="E1982" s="4">
        <f>'[1]NOVEMBER 2023'!E115</f>
        <v>0</v>
      </c>
      <c r="F1982" s="6">
        <f>'[1]NOVEMBER 2023'!F115</f>
        <v>67.8</v>
      </c>
      <c r="G1982" s="4"/>
      <c r="H1982" s="4"/>
    </row>
    <row r="1983" spans="1:8" x14ac:dyDescent="0.2">
      <c r="A1983" s="20">
        <f>'[1]NOVEMBER 2023'!A116</f>
        <v>45247</v>
      </c>
      <c r="B1983" s="12" t="str">
        <f>'[1]NOVEMBER 2023'!B116</f>
        <v>Rauchen</v>
      </c>
      <c r="C1983" s="3">
        <f>'[1]NOVEMBER 2023'!C116</f>
        <v>0</v>
      </c>
      <c r="D1983" s="3">
        <f>'[1]NOVEMBER 2023'!D116</f>
        <v>990</v>
      </c>
      <c r="E1983" s="4">
        <f>'[1]NOVEMBER 2023'!E116</f>
        <v>0</v>
      </c>
      <c r="F1983" s="6">
        <f>'[1]NOVEMBER 2023'!F116</f>
        <v>0</v>
      </c>
      <c r="G1983" s="4"/>
      <c r="H1983" s="4"/>
    </row>
    <row r="1984" spans="1:8" x14ac:dyDescent="0.2">
      <c r="A1984" s="23">
        <f>'[1]NOVEMBER 2023'!A117</f>
        <v>45247</v>
      </c>
      <c r="B1984" s="12" t="str">
        <f>'[1]NOVEMBER 2023'!B117</f>
        <v>LM</v>
      </c>
      <c r="C1984" s="3">
        <f>'[1]NOVEMBER 2023'!C117</f>
        <v>0</v>
      </c>
      <c r="D1984" s="3">
        <f>'[1]NOVEMBER 2023'!D117</f>
        <v>1886.8600000000001</v>
      </c>
      <c r="E1984" s="4">
        <f>'[1]NOVEMBER 2023'!E117</f>
        <v>0</v>
      </c>
      <c r="F1984" s="6">
        <f>'[1]NOVEMBER 2023'!F117</f>
        <v>0</v>
      </c>
      <c r="G1984" s="4"/>
      <c r="H1984" s="4"/>
    </row>
    <row r="1985" spans="1:8" x14ac:dyDescent="0.2">
      <c r="A1985" s="23">
        <f>'[1]NOVEMBER 2023'!A121</f>
        <v>45248</v>
      </c>
      <c r="B1985" s="12" t="str">
        <f>'[1]NOVEMBER 2023'!B121</f>
        <v>LM</v>
      </c>
      <c r="C1985" s="3">
        <f>'[1]NOVEMBER 2023'!C121</f>
        <v>0</v>
      </c>
      <c r="D1985" s="3">
        <f>'[1]NOVEMBER 2023'!D121</f>
        <v>1230</v>
      </c>
      <c r="E1985" s="4">
        <f>'[1]NOVEMBER 2023'!E121</f>
        <v>0</v>
      </c>
      <c r="F1985" s="6">
        <f>'[1]NOVEMBER 2023'!F121</f>
        <v>0</v>
      </c>
      <c r="G1985" s="4"/>
      <c r="H1985" s="4"/>
    </row>
    <row r="1986" spans="1:8" x14ac:dyDescent="0.2">
      <c r="A1986" s="20">
        <f>'[1]NOVEMBER 2023'!A122</f>
        <v>45248</v>
      </c>
      <c r="B1986" s="12" t="str">
        <f>'[1]NOVEMBER 2023'!B122</f>
        <v>Andere</v>
      </c>
      <c r="C1986" s="3">
        <f>'[1]NOVEMBER 2023'!C122</f>
        <v>0</v>
      </c>
      <c r="D1986" s="3">
        <f>'[1]NOVEMBER 2023'!D122</f>
        <v>4939</v>
      </c>
      <c r="E1986" s="4">
        <f>'[1]NOVEMBER 2023'!E122</f>
        <v>0</v>
      </c>
      <c r="F1986" s="6">
        <f>'[1]NOVEMBER 2023'!F122</f>
        <v>0</v>
      </c>
      <c r="G1986" s="4"/>
      <c r="H1986" s="4"/>
    </row>
    <row r="1987" spans="1:8" x14ac:dyDescent="0.2">
      <c r="A1987" s="23">
        <f>'[1]NOVEMBER 2023'!A135</f>
        <v>45250</v>
      </c>
      <c r="B1987" s="12" t="str">
        <f>'[1]NOVEMBER 2023'!B135</f>
        <v>LM</v>
      </c>
      <c r="C1987" s="3">
        <f>'[1]NOVEMBER 2023'!C135</f>
        <v>0</v>
      </c>
      <c r="D1987" s="3">
        <f>'[1]NOVEMBER 2023'!D135</f>
        <v>39.979999999999997</v>
      </c>
      <c r="E1987" s="4">
        <f>'[1]NOVEMBER 2023'!E135</f>
        <v>0</v>
      </c>
      <c r="F1987" s="6">
        <f>'[1]NOVEMBER 2023'!F135</f>
        <v>0</v>
      </c>
      <c r="G1987" s="4"/>
      <c r="H1987" s="4"/>
    </row>
    <row r="1988" spans="1:8" x14ac:dyDescent="0.2">
      <c r="A1988" s="23">
        <f>'[1]NOVEMBER 2023'!A149</f>
        <v>45252</v>
      </c>
      <c r="B1988" s="12" t="str">
        <f>'[1]NOVEMBER 2023'!B149</f>
        <v>VM</v>
      </c>
      <c r="C1988" s="3">
        <f>'[1]NOVEMBER 2023'!C149</f>
        <v>0</v>
      </c>
      <c r="D1988" s="3">
        <f>'[1]NOVEMBER 2023'!D149</f>
        <v>313</v>
      </c>
      <c r="E1988" s="4">
        <f>'[1]NOVEMBER 2023'!E149</f>
        <v>0</v>
      </c>
      <c r="F1988" s="6">
        <f>'[1]NOVEMBER 2023'!F149</f>
        <v>0</v>
      </c>
      <c r="G1988" s="4"/>
      <c r="H1988" s="4"/>
    </row>
    <row r="1989" spans="1:8" x14ac:dyDescent="0.2">
      <c r="A1989" s="23">
        <f>'[1]NOVEMBER 2023'!A163</f>
        <v>45254</v>
      </c>
      <c r="B1989" s="12" t="str">
        <f>'[1]NOVEMBER 2023'!B163</f>
        <v>Refill</v>
      </c>
      <c r="C1989" s="3">
        <f>'[1]NOVEMBER 2023'!C163</f>
        <v>42753.86</v>
      </c>
      <c r="D1989" s="3">
        <f>'[1]NOVEMBER 2023'!D163</f>
        <v>0</v>
      </c>
      <c r="E1989" s="4">
        <f>'[1]NOVEMBER 2023'!E163</f>
        <v>0</v>
      </c>
      <c r="F1989" s="6">
        <f>'[1]NOVEMBER 2023'!F163</f>
        <v>0</v>
      </c>
      <c r="G1989" s="4"/>
      <c r="H1989" s="4"/>
    </row>
    <row r="1990" spans="1:8" x14ac:dyDescent="0.2">
      <c r="A1990" s="20">
        <f>'[1]NOVEMBER 2023'!A164</f>
        <v>45254</v>
      </c>
      <c r="B1990" s="12" t="str">
        <f>'[1]NOVEMBER 2023'!B164</f>
        <v>LM</v>
      </c>
      <c r="C1990" s="3">
        <f>'[1]NOVEMBER 2023'!C164</f>
        <v>0</v>
      </c>
      <c r="D1990" s="3">
        <f>'[1]NOVEMBER 2023'!D164</f>
        <v>460.99</v>
      </c>
      <c r="E1990" s="4">
        <f>'[1]NOVEMBER 2023'!E164</f>
        <v>0</v>
      </c>
      <c r="F1990" s="6">
        <f>'[1]NOVEMBER 2023'!F164</f>
        <v>0</v>
      </c>
      <c r="G1990" s="4"/>
      <c r="H1990" s="4"/>
    </row>
    <row r="1991" spans="1:8" x14ac:dyDescent="0.2">
      <c r="A1991" s="23">
        <f>'[1]NOVEMBER 2023'!A165</f>
        <v>45254</v>
      </c>
      <c r="B1991" s="12" t="str">
        <f>'[1]NOVEMBER 2023'!B165</f>
        <v>Party</v>
      </c>
      <c r="C1991" s="3">
        <f>'[1]NOVEMBER 2023'!C165</f>
        <v>0</v>
      </c>
      <c r="D1991" s="3">
        <f>'[1]NOVEMBER 2023'!D165</f>
        <v>590</v>
      </c>
      <c r="E1991" s="4">
        <f>'[1]NOVEMBER 2023'!E165</f>
        <v>0</v>
      </c>
      <c r="F1991" s="6">
        <f>'[1]NOVEMBER 2023'!F165</f>
        <v>0</v>
      </c>
      <c r="G1991" s="4"/>
      <c r="H1991" s="4"/>
    </row>
    <row r="1992" spans="1:8" x14ac:dyDescent="0.2">
      <c r="A1992" s="20">
        <f>'[1]NOVEMBER 2023'!A166</f>
        <v>45254</v>
      </c>
      <c r="B1992" s="12" t="str">
        <f>'[1]NOVEMBER 2023'!B166</f>
        <v>Andere</v>
      </c>
      <c r="C1992" s="3">
        <f>'[1]NOVEMBER 2023'!C166</f>
        <v>0</v>
      </c>
      <c r="D1992" s="3">
        <f>'[1]NOVEMBER 2023'!D166</f>
        <v>1000</v>
      </c>
      <c r="E1992" s="4">
        <f>'[1]NOVEMBER 2023'!E166</f>
        <v>0</v>
      </c>
      <c r="F1992" s="6">
        <f>'[1]NOVEMBER 2023'!F166</f>
        <v>0</v>
      </c>
      <c r="G1992" s="4"/>
      <c r="H1992" s="4"/>
    </row>
    <row r="1993" spans="1:8" x14ac:dyDescent="0.2">
      <c r="A1993" s="23">
        <f>'[1]NOVEMBER 2023'!A167</f>
        <v>45254</v>
      </c>
      <c r="B1993" s="12" t="str">
        <f>'[1]NOVEMBER 2023'!B167</f>
        <v>none</v>
      </c>
      <c r="C1993" s="3">
        <f>'[1]NOVEMBER 2023'!C167</f>
        <v>0</v>
      </c>
      <c r="D1993" s="3">
        <f>'[1]NOVEMBER 2023'!D167</f>
        <v>300</v>
      </c>
      <c r="E1993" s="4">
        <f>'[1]NOVEMBER 2023'!E167</f>
        <v>300</v>
      </c>
      <c r="F1993" s="6">
        <f>'[1]NOVEMBER 2023'!F167</f>
        <v>0</v>
      </c>
      <c r="G1993" s="4"/>
      <c r="H1993" s="4"/>
    </row>
    <row r="1994" spans="1:8" x14ac:dyDescent="0.2">
      <c r="A1994" s="23">
        <f>'[1]NOVEMBER 2023'!A177</f>
        <v>45256</v>
      </c>
      <c r="B1994" s="12" t="str">
        <f>'[1]NOVEMBER 2023'!B177</f>
        <v>Andere</v>
      </c>
      <c r="C1994" s="3">
        <f>'[1]NOVEMBER 2023'!C177</f>
        <v>0</v>
      </c>
      <c r="D1994" s="3">
        <f>'[1]NOVEMBER 2023'!D177</f>
        <v>2400</v>
      </c>
      <c r="E1994" s="4">
        <f>'[1]NOVEMBER 2023'!E177</f>
        <v>0</v>
      </c>
      <c r="F1994" s="6">
        <f>'[1]NOVEMBER 2023'!F177</f>
        <v>0</v>
      </c>
      <c r="G1994" s="4"/>
      <c r="H1994" s="4"/>
    </row>
    <row r="1995" spans="1:8" x14ac:dyDescent="0.2">
      <c r="A1995" s="23">
        <f>'[1]NOVEMBER 2023'!A191</f>
        <v>45258</v>
      </c>
      <c r="B1995" s="12" t="str">
        <f>'[1]NOVEMBER 2023'!B191</f>
        <v>Rauchen</v>
      </c>
      <c r="C1995" s="3">
        <f>'[1]NOVEMBER 2023'!C191</f>
        <v>0</v>
      </c>
      <c r="D1995" s="3">
        <f>'[1]NOVEMBER 2023'!D191</f>
        <v>1190</v>
      </c>
      <c r="E1995" s="4">
        <f>'[1]NOVEMBER 2023'!E191</f>
        <v>0</v>
      </c>
      <c r="F1995" s="6">
        <f>'[1]NOVEMBER 2023'!F191</f>
        <v>0</v>
      </c>
      <c r="G1995" s="4"/>
      <c r="H1995" s="4"/>
    </row>
    <row r="1996" spans="1:8" x14ac:dyDescent="0.2">
      <c r="A1996" s="20">
        <f>'[1]NOVEMBER 2023'!A198</f>
        <v>45259</v>
      </c>
      <c r="B1996" s="12" t="str">
        <f>'[1]NOVEMBER 2023'!B198</f>
        <v>for me</v>
      </c>
      <c r="C1996" s="3">
        <f>'[1]NOVEMBER 2023'!C198</f>
        <v>0</v>
      </c>
      <c r="D1996" s="3">
        <f>'[1]NOVEMBER 2023'!D198</f>
        <v>10000</v>
      </c>
      <c r="E1996" s="4">
        <f>'[1]NOVEMBER 2023'!E198</f>
        <v>0</v>
      </c>
      <c r="F1996" s="6">
        <f>'[1]NOVEMBER 2023'!F198</f>
        <v>0</v>
      </c>
      <c r="G1996" s="4"/>
      <c r="H1996" s="4"/>
    </row>
    <row r="1997" spans="1:8" x14ac:dyDescent="0.2">
      <c r="A1997" s="23">
        <f>'[1]NOVEMBER 2023'!A199</f>
        <v>45259</v>
      </c>
      <c r="B1997" s="12" t="str">
        <f>'[1]NOVEMBER 2023'!B199</f>
        <v>VM</v>
      </c>
      <c r="C1997" s="3">
        <f>'[1]NOVEMBER 2023'!C199</f>
        <v>0</v>
      </c>
      <c r="D1997" s="3">
        <f>'[1]NOVEMBER 2023'!D199</f>
        <v>135</v>
      </c>
      <c r="E1997" s="4">
        <f>'[1]NOVEMBER 2023'!E199</f>
        <v>0</v>
      </c>
      <c r="F1997" s="6">
        <f>'[1]NOVEMBER 2023'!F199</f>
        <v>0</v>
      </c>
      <c r="G1997" s="4"/>
      <c r="H1997" s="4"/>
    </row>
    <row r="1998" spans="1:8" x14ac:dyDescent="0.2">
      <c r="A1998" s="20">
        <f>'[1]NOVEMBER 2023'!A200</f>
        <v>45259</v>
      </c>
      <c r="B1998" s="12" t="str">
        <f>'[1]NOVEMBER 2023'!B200</f>
        <v>LM</v>
      </c>
      <c r="C1998" s="3">
        <f>'[1]NOVEMBER 2023'!C200</f>
        <v>0</v>
      </c>
      <c r="D1998" s="3">
        <f>'[1]NOVEMBER 2023'!D200</f>
        <v>413</v>
      </c>
      <c r="E1998" s="4">
        <f>'[1]NOVEMBER 2023'!E200</f>
        <v>0</v>
      </c>
      <c r="F1998" s="6">
        <f>'[1]NOVEMBER 2023'!F200</f>
        <v>0</v>
      </c>
      <c r="G1998" s="4"/>
      <c r="H1998" s="4"/>
    </row>
    <row r="1999" spans="1:8" x14ac:dyDescent="0.2">
      <c r="A1999" s="20">
        <f>'[1]DECEMBER 2023'!A2</f>
        <v>45261</v>
      </c>
      <c r="B1999" s="12" t="str">
        <f>'[1]DECEMBER 2023'!B2</f>
        <v>LM</v>
      </c>
      <c r="C1999" s="3">
        <f>'[1]DECEMBER 2023'!C2</f>
        <v>0</v>
      </c>
      <c r="D1999" s="3">
        <f>'[1]DECEMBER 2023'!D2</f>
        <v>24.15</v>
      </c>
      <c r="E1999" s="4">
        <f>'[1]DECEMBER 2023'!E2</f>
        <v>0</v>
      </c>
      <c r="F1999" s="6">
        <f>'[1]DECEMBER 2023'!F2</f>
        <v>0</v>
      </c>
      <c r="G1999" s="4"/>
      <c r="H1999" s="4"/>
    </row>
    <row r="2000" spans="1:8" x14ac:dyDescent="0.2">
      <c r="A2000" s="23">
        <f>'[1]DECEMBER 2023'!A3</f>
        <v>45261</v>
      </c>
      <c r="B2000" s="12" t="str">
        <f>'[1]DECEMBER 2023'!B3</f>
        <v>VM</v>
      </c>
      <c r="C2000" s="3">
        <f>'[1]DECEMBER 2023'!C3</f>
        <v>0</v>
      </c>
      <c r="D2000" s="3">
        <f>'[1]DECEMBER 2023'!D3</f>
        <v>0</v>
      </c>
      <c r="E2000" s="4">
        <f>'[1]DECEMBER 2023'!E3</f>
        <v>0</v>
      </c>
      <c r="F2000" s="6">
        <f>'[1]DECEMBER 2023'!F3</f>
        <v>0</v>
      </c>
      <c r="G2000" s="4"/>
      <c r="H2000" s="4"/>
    </row>
    <row r="2001" spans="1:8" x14ac:dyDescent="0.2">
      <c r="A2001" s="20">
        <f>'[1]DECEMBER 2023'!A4</f>
        <v>45261</v>
      </c>
      <c r="B2001" s="12" t="str">
        <f>'[1]DECEMBER 2023'!B4</f>
        <v>Andere</v>
      </c>
      <c r="C2001" s="3">
        <f>'[1]DECEMBER 2023'!C4</f>
        <v>0</v>
      </c>
      <c r="D2001" s="3">
        <f>'[1]DECEMBER 2023'!D4</f>
        <v>500</v>
      </c>
      <c r="E2001" s="4">
        <f>'[1]DECEMBER 2023'!E4</f>
        <v>0</v>
      </c>
      <c r="F2001" s="6">
        <f>'[1]DECEMBER 2023'!F4</f>
        <v>0</v>
      </c>
      <c r="G2001" s="4"/>
      <c r="H2001" s="4"/>
    </row>
    <row r="2002" spans="1:8" x14ac:dyDescent="0.2">
      <c r="A2002" s="23">
        <f>'[1]DECEMBER 2023'!A5</f>
        <v>45261</v>
      </c>
      <c r="B2002" s="12" t="str">
        <f>'[1]DECEMBER 2023'!B5</f>
        <v>for me</v>
      </c>
      <c r="C2002" s="3">
        <f>'[1]DECEMBER 2023'!C5</f>
        <v>0</v>
      </c>
      <c r="D2002" s="3">
        <f>'[1]DECEMBER 2023'!D5</f>
        <v>0</v>
      </c>
      <c r="E2002" s="4">
        <f>'[1]DECEMBER 2023'!E5</f>
        <v>0</v>
      </c>
      <c r="F2002" s="6">
        <f>'[1]DECEMBER 2023'!F5</f>
        <v>0</v>
      </c>
      <c r="G2002" s="4"/>
      <c r="H2002" s="4"/>
    </row>
    <row r="2003" spans="1:8" x14ac:dyDescent="0.2">
      <c r="A2003" s="20">
        <f>'[1]DECEMBER 2023'!A6</f>
        <v>45261</v>
      </c>
      <c r="B2003" s="12" t="str">
        <f>'[1]DECEMBER 2023'!B6</f>
        <v>Party</v>
      </c>
      <c r="C2003" s="3">
        <f>'[1]DECEMBER 2023'!C6</f>
        <v>0</v>
      </c>
      <c r="D2003" s="3">
        <f>'[1]DECEMBER 2023'!D6</f>
        <v>0</v>
      </c>
      <c r="E2003" s="4">
        <f>'[1]DECEMBER 2023'!E6</f>
        <v>0</v>
      </c>
      <c r="F2003" s="6">
        <f>'[1]DECEMBER 2023'!F6</f>
        <v>0</v>
      </c>
      <c r="G2003" s="4"/>
      <c r="H2003" s="4"/>
    </row>
    <row r="2004" spans="1:8" x14ac:dyDescent="0.2">
      <c r="A2004" s="23">
        <f>'[1]DECEMBER 2023'!A7</f>
        <v>45261</v>
      </c>
      <c r="B2004" s="12" t="str">
        <f>'[1]DECEMBER 2023'!B7</f>
        <v>Kleidung</v>
      </c>
      <c r="C2004" s="3">
        <f>'[1]DECEMBER 2023'!C7</f>
        <v>0</v>
      </c>
      <c r="D2004" s="3">
        <f>'[1]DECEMBER 2023'!D7</f>
        <v>0</v>
      </c>
      <c r="E2004" s="4">
        <f>'[1]DECEMBER 2023'!E7</f>
        <v>0</v>
      </c>
      <c r="F2004" s="6">
        <f>'[1]DECEMBER 2023'!F7</f>
        <v>0</v>
      </c>
      <c r="G2004" s="4"/>
      <c r="H2004" s="4"/>
    </row>
    <row r="2005" spans="1:8" x14ac:dyDescent="0.2">
      <c r="A2005" s="23">
        <f>'[1]DECEMBER 2023'!A9</f>
        <v>45262</v>
      </c>
      <c r="B2005" s="12" t="str">
        <f>'[1]DECEMBER 2023'!B9</f>
        <v>Andere</v>
      </c>
      <c r="C2005" s="3">
        <f>'[1]DECEMBER 2023'!C9</f>
        <v>0</v>
      </c>
      <c r="D2005" s="3">
        <f>'[1]DECEMBER 2023'!D9</f>
        <v>7100</v>
      </c>
      <c r="E2005" s="4">
        <f>'[1]DECEMBER 2023'!E9</f>
        <v>0</v>
      </c>
      <c r="F2005" s="6">
        <f>'[1]DECEMBER 2023'!F9</f>
        <v>0</v>
      </c>
      <c r="G2005" s="4"/>
      <c r="H2005" s="4"/>
    </row>
    <row r="2006" spans="1:8" x14ac:dyDescent="0.2">
      <c r="A2006" s="20">
        <f>'[1]DECEMBER 2023'!A10</f>
        <v>45262</v>
      </c>
      <c r="B2006" s="12" t="str">
        <f>'[1]DECEMBER 2023'!B10</f>
        <v>LM</v>
      </c>
      <c r="C2006" s="3">
        <f>'[1]DECEMBER 2023'!C10</f>
        <v>0</v>
      </c>
      <c r="D2006" s="3">
        <f>'[1]DECEMBER 2023'!D10</f>
        <v>807</v>
      </c>
      <c r="E2006" s="4">
        <f>'[1]DECEMBER 2023'!E10</f>
        <v>0</v>
      </c>
      <c r="F2006" s="6">
        <f>'[1]DECEMBER 2023'!F10</f>
        <v>0</v>
      </c>
      <c r="G2006" s="4"/>
      <c r="H2006" s="4"/>
    </row>
    <row r="2007" spans="1:8" x14ac:dyDescent="0.2">
      <c r="A2007" s="20">
        <f>'[1]DECEMBER 2023'!A16</f>
        <v>45263</v>
      </c>
      <c r="B2007" s="12" t="str">
        <f>'[1]DECEMBER 2023'!B16</f>
        <v>Andere</v>
      </c>
      <c r="C2007" s="3">
        <f>'[1]DECEMBER 2023'!C16</f>
        <v>0</v>
      </c>
      <c r="D2007" s="3">
        <f>'[1]DECEMBER 2023'!D16</f>
        <v>1000</v>
      </c>
      <c r="E2007" s="4">
        <f>'[1]DECEMBER 2023'!E16</f>
        <v>0</v>
      </c>
      <c r="F2007" s="6">
        <f>'[1]DECEMBER 2023'!F16</f>
        <v>0</v>
      </c>
      <c r="G2007" s="4"/>
      <c r="H2007" s="4"/>
    </row>
    <row r="2008" spans="1:8" x14ac:dyDescent="0.2">
      <c r="A2008" s="23">
        <f>'[1]DECEMBER 2023'!A17</f>
        <v>45263</v>
      </c>
      <c r="B2008" s="12" t="str">
        <f>'[1]DECEMBER 2023'!B17</f>
        <v>LM</v>
      </c>
      <c r="C2008" s="3">
        <f>'[1]DECEMBER 2023'!C17</f>
        <v>0</v>
      </c>
      <c r="D2008" s="3">
        <f>'[1]DECEMBER 2023'!D17</f>
        <v>47.68</v>
      </c>
      <c r="E2008" s="4">
        <f>'[1]DECEMBER 2023'!E17</f>
        <v>0</v>
      </c>
      <c r="F2008" s="6">
        <f>'[1]DECEMBER 2023'!F17</f>
        <v>0</v>
      </c>
      <c r="G2008" s="4"/>
      <c r="H2008" s="4"/>
    </row>
    <row r="2009" spans="1:8" x14ac:dyDescent="0.2">
      <c r="A2009" s="20">
        <f>'[1]DECEMBER 2023'!A18</f>
        <v>45263</v>
      </c>
      <c r="B2009" s="12" t="str">
        <f>'[1]DECEMBER 2023'!B18</f>
        <v>VM</v>
      </c>
      <c r="C2009" s="3">
        <f>'[1]DECEMBER 2023'!C18</f>
        <v>0</v>
      </c>
      <c r="D2009" s="3">
        <f>'[1]DECEMBER 2023'!D18</f>
        <v>2768</v>
      </c>
      <c r="E2009" s="4">
        <f>'[1]DECEMBER 2023'!E18</f>
        <v>0</v>
      </c>
      <c r="F2009" s="6">
        <f>'[1]DECEMBER 2023'!F18</f>
        <v>0</v>
      </c>
      <c r="G2009" s="4"/>
      <c r="H2009" s="4"/>
    </row>
    <row r="2010" spans="1:8" x14ac:dyDescent="0.2">
      <c r="A2010" s="23">
        <f>'[1]DECEMBER 2023'!A19</f>
        <v>45263</v>
      </c>
      <c r="B2010" s="12" t="str">
        <f>'[1]DECEMBER 2023'!B19</f>
        <v>Andere</v>
      </c>
      <c r="C2010" s="3">
        <f>'[1]DECEMBER 2023'!C19</f>
        <v>0</v>
      </c>
      <c r="D2010" s="3">
        <f>'[1]DECEMBER 2023'!D19</f>
        <v>90</v>
      </c>
      <c r="E2010" s="4">
        <f>'[1]DECEMBER 2023'!E19</f>
        <v>0</v>
      </c>
      <c r="F2010" s="6">
        <f>'[1]DECEMBER 2023'!F19</f>
        <v>0</v>
      </c>
      <c r="G2010" s="4"/>
      <c r="H2010" s="4"/>
    </row>
    <row r="2011" spans="1:8" x14ac:dyDescent="0.2">
      <c r="A2011" s="23">
        <f>'[1]DECEMBER 2023'!A23</f>
        <v>45264</v>
      </c>
      <c r="B2011" s="12" t="str">
        <f>'[1]DECEMBER 2023'!B23</f>
        <v>Andere</v>
      </c>
      <c r="C2011" s="3">
        <f>'[1]DECEMBER 2023'!C23</f>
        <v>0</v>
      </c>
      <c r="D2011" s="3">
        <f>'[1]DECEMBER 2023'!D23</f>
        <v>1000</v>
      </c>
      <c r="E2011" s="4">
        <f>'[1]DECEMBER 2023'!E23</f>
        <v>0</v>
      </c>
      <c r="F2011" s="6">
        <f>'[1]DECEMBER 2023'!F23</f>
        <v>0</v>
      </c>
      <c r="G2011" s="4"/>
      <c r="H2011" s="4"/>
    </row>
    <row r="2012" spans="1:8" x14ac:dyDescent="0.2">
      <c r="A2012" s="20">
        <f>'[1]DECEMBER 2023'!A30</f>
        <v>45265</v>
      </c>
      <c r="B2012" s="12" t="str">
        <f>'[1]DECEMBER 2023'!B30</f>
        <v>VM</v>
      </c>
      <c r="C2012" s="3">
        <f>'[1]DECEMBER 2023'!C30</f>
        <v>0</v>
      </c>
      <c r="D2012" s="3">
        <f>'[1]DECEMBER 2023'!D30</f>
        <v>550</v>
      </c>
      <c r="E2012" s="4">
        <f>'[1]DECEMBER 2023'!E30</f>
        <v>0</v>
      </c>
      <c r="F2012" s="6">
        <f>'[1]DECEMBER 2023'!F30</f>
        <v>0</v>
      </c>
      <c r="G2012" s="4"/>
      <c r="H2012" s="4"/>
    </row>
    <row r="2013" spans="1:8" x14ac:dyDescent="0.2">
      <c r="A2013" s="23">
        <f>'[1]DECEMBER 2023'!A37</f>
        <v>45266</v>
      </c>
      <c r="B2013" s="12" t="str">
        <f>'[1]DECEMBER 2023'!B37</f>
        <v>Andere</v>
      </c>
      <c r="C2013" s="3">
        <f>'[1]DECEMBER 2023'!C37</f>
        <v>3</v>
      </c>
      <c r="D2013" s="3">
        <f>'[1]DECEMBER 2023'!D37</f>
        <v>0</v>
      </c>
      <c r="E2013" s="4">
        <f>'[1]DECEMBER 2023'!E37</f>
        <v>0</v>
      </c>
      <c r="F2013" s="6">
        <f>'[1]DECEMBER 2023'!F37</f>
        <v>0</v>
      </c>
      <c r="G2013" s="4"/>
      <c r="H2013" s="4"/>
    </row>
    <row r="2014" spans="1:8" x14ac:dyDescent="0.2">
      <c r="A2014" s="20">
        <f>'[1]DECEMBER 2023'!A38</f>
        <v>45266</v>
      </c>
      <c r="B2014" s="12" t="str">
        <f>'[1]DECEMBER 2023'!B38</f>
        <v>LM</v>
      </c>
      <c r="C2014" s="3">
        <f>'[1]DECEMBER 2023'!C38</f>
        <v>0</v>
      </c>
      <c r="D2014" s="3">
        <f>'[1]DECEMBER 2023'!D38</f>
        <v>1811.19</v>
      </c>
      <c r="E2014" s="4">
        <f>'[1]DECEMBER 2023'!E38</f>
        <v>0</v>
      </c>
      <c r="F2014" s="6">
        <f>'[1]DECEMBER 2023'!F38</f>
        <v>0</v>
      </c>
      <c r="G2014" s="4"/>
      <c r="H2014" s="4"/>
    </row>
    <row r="2015" spans="1:8" x14ac:dyDescent="0.2">
      <c r="A2015" s="23">
        <f>'[1]DECEMBER 2023'!A39</f>
        <v>45266</v>
      </c>
      <c r="B2015" s="12" t="str">
        <f>'[1]DECEMBER 2023'!B39</f>
        <v>VM</v>
      </c>
      <c r="C2015" s="3">
        <f>'[1]DECEMBER 2023'!C39</f>
        <v>0</v>
      </c>
      <c r="D2015" s="3">
        <f>'[1]DECEMBER 2023'!D39</f>
        <v>61</v>
      </c>
      <c r="E2015" s="4">
        <f>'[1]DECEMBER 2023'!E39</f>
        <v>0</v>
      </c>
      <c r="F2015" s="6">
        <f>'[1]DECEMBER 2023'!F39</f>
        <v>0</v>
      </c>
      <c r="G2015" s="4"/>
      <c r="H2015" s="4"/>
    </row>
    <row r="2016" spans="1:8" x14ac:dyDescent="0.2">
      <c r="A2016" s="20">
        <f>'[1]DECEMBER 2023'!A44</f>
        <v>45267</v>
      </c>
      <c r="B2016" s="12" t="str">
        <f>'[1]DECEMBER 2023'!B44</f>
        <v>LM</v>
      </c>
      <c r="C2016" s="3">
        <f>'[1]DECEMBER 2023'!C44</f>
        <v>0</v>
      </c>
      <c r="D2016" s="3">
        <f>'[1]DECEMBER 2023'!D44</f>
        <v>285.97000000000003</v>
      </c>
      <c r="E2016" s="4">
        <f>'[1]DECEMBER 2023'!E44</f>
        <v>0</v>
      </c>
      <c r="F2016" s="6">
        <f>'[1]DECEMBER 2023'!F44</f>
        <v>0</v>
      </c>
      <c r="G2016" s="4"/>
      <c r="H2016" s="4"/>
    </row>
    <row r="2017" spans="1:8" x14ac:dyDescent="0.2">
      <c r="A2017" s="23">
        <f>'[1]DECEMBER 2023'!A45</f>
        <v>45267</v>
      </c>
      <c r="B2017" s="12" t="str">
        <f>'[1]DECEMBER 2023'!B45</f>
        <v>Refill</v>
      </c>
      <c r="C2017" s="3">
        <f>'[1]DECEMBER 2023'!C45</f>
        <v>74673.86</v>
      </c>
      <c r="D2017" s="3">
        <f>'[1]DECEMBER 2023'!D45</f>
        <v>0</v>
      </c>
      <c r="E2017" s="4">
        <f>'[1]DECEMBER 2023'!E45</f>
        <v>0</v>
      </c>
      <c r="F2017" s="6">
        <f>'[1]DECEMBER 2023'!F45</f>
        <v>0</v>
      </c>
      <c r="G2017" s="4"/>
      <c r="H2017" s="4"/>
    </row>
    <row r="2018" spans="1:8" x14ac:dyDescent="0.2">
      <c r="A2018" s="23">
        <f>'[1]DECEMBER 2023'!A51</f>
        <v>45268</v>
      </c>
      <c r="B2018" s="12" t="str">
        <f>'[1]DECEMBER 2023'!B51</f>
        <v>Rauchen</v>
      </c>
      <c r="C2018" s="3">
        <f>'[1]DECEMBER 2023'!C51</f>
        <v>0</v>
      </c>
      <c r="D2018" s="3">
        <f>'[1]DECEMBER 2023'!D51</f>
        <v>170</v>
      </c>
      <c r="E2018" s="4">
        <f>'[1]DECEMBER 2023'!E51</f>
        <v>0</v>
      </c>
      <c r="F2018" s="6">
        <f>'[1]DECEMBER 2023'!F51</f>
        <v>0</v>
      </c>
      <c r="G2018" s="4"/>
      <c r="H2018" s="4"/>
    </row>
    <row r="2019" spans="1:8" x14ac:dyDescent="0.2">
      <c r="A2019" s="20">
        <f>'[1]DECEMBER 2023'!A52</f>
        <v>45268</v>
      </c>
      <c r="B2019" s="12" t="str">
        <f>'[1]DECEMBER 2023'!B52</f>
        <v>LM</v>
      </c>
      <c r="C2019" s="3">
        <f>'[1]DECEMBER 2023'!C52</f>
        <v>0</v>
      </c>
      <c r="D2019" s="3">
        <f>'[1]DECEMBER 2023'!D52</f>
        <v>89</v>
      </c>
      <c r="E2019" s="4">
        <f>'[1]DECEMBER 2023'!E52</f>
        <v>0</v>
      </c>
      <c r="F2019" s="6">
        <f>'[1]DECEMBER 2023'!F52</f>
        <v>0</v>
      </c>
      <c r="G2019" s="4"/>
      <c r="H2019" s="4"/>
    </row>
    <row r="2020" spans="1:8" x14ac:dyDescent="0.2">
      <c r="A2020" s="23">
        <f>'[1]DECEMBER 2023'!A53</f>
        <v>45268</v>
      </c>
      <c r="B2020" s="12" t="str">
        <f>'[1]DECEMBER 2023'!B53</f>
        <v>VM</v>
      </c>
      <c r="C2020" s="3">
        <f>'[1]DECEMBER 2023'!C53</f>
        <v>0</v>
      </c>
      <c r="D2020" s="3">
        <f>'[1]DECEMBER 2023'!D53</f>
        <v>122</v>
      </c>
      <c r="E2020" s="4">
        <f>'[1]DECEMBER 2023'!E53</f>
        <v>0</v>
      </c>
      <c r="F2020" s="6">
        <f>'[1]DECEMBER 2023'!F53</f>
        <v>0</v>
      </c>
      <c r="G2020" s="4"/>
      <c r="H2020" s="4"/>
    </row>
    <row r="2021" spans="1:8" x14ac:dyDescent="0.2">
      <c r="A2021" s="20">
        <f>'[1]DECEMBER 2023'!A54</f>
        <v>45268</v>
      </c>
      <c r="B2021" s="12" t="str">
        <f>'[1]DECEMBER 2023'!B54</f>
        <v>Party</v>
      </c>
      <c r="C2021" s="3">
        <f>'[1]DECEMBER 2023'!C54</f>
        <v>0</v>
      </c>
      <c r="D2021" s="3">
        <f>'[1]DECEMBER 2023'!D54</f>
        <v>3690</v>
      </c>
      <c r="E2021" s="4">
        <f>'[1]DECEMBER 2023'!E54</f>
        <v>0</v>
      </c>
      <c r="F2021" s="6">
        <f>'[1]DECEMBER 2023'!F54</f>
        <v>0</v>
      </c>
      <c r="G2021" s="4"/>
      <c r="H2021" s="4"/>
    </row>
    <row r="2022" spans="1:8" x14ac:dyDescent="0.2">
      <c r="A2022" s="23">
        <f>'[1]DECEMBER 2023'!A55</f>
        <v>45268</v>
      </c>
      <c r="B2022" s="12" t="str">
        <f>'[1]DECEMBER 2023'!B55</f>
        <v>VM</v>
      </c>
      <c r="C2022" s="3">
        <f>'[1]DECEMBER 2023'!C55</f>
        <v>0</v>
      </c>
      <c r="D2022" s="3">
        <f>'[1]DECEMBER 2023'!D55</f>
        <v>967</v>
      </c>
      <c r="E2022" s="4">
        <f>'[1]DECEMBER 2023'!E55</f>
        <v>0</v>
      </c>
      <c r="F2022" s="6">
        <f>'[1]DECEMBER 2023'!F55</f>
        <v>0</v>
      </c>
      <c r="G2022" s="4"/>
      <c r="H2022" s="4"/>
    </row>
    <row r="2023" spans="1:8" x14ac:dyDescent="0.2">
      <c r="A2023" s="20">
        <f>'[1]DECEMBER 2023'!A56</f>
        <v>45268</v>
      </c>
      <c r="B2023" s="12" t="str">
        <f>'[1]DECEMBER 2023'!B56</f>
        <v>Andere</v>
      </c>
      <c r="C2023" s="3">
        <f>'[1]DECEMBER 2023'!C56</f>
        <v>0</v>
      </c>
      <c r="D2023" s="3">
        <f>'[1]DECEMBER 2023'!D56</f>
        <v>467.63</v>
      </c>
      <c r="E2023" s="4">
        <f>'[1]DECEMBER 2023'!E56</f>
        <v>0</v>
      </c>
      <c r="F2023" s="6">
        <f>'[1]DECEMBER 2023'!F56</f>
        <v>0</v>
      </c>
      <c r="G2023" s="4"/>
      <c r="H2023" s="4"/>
    </row>
    <row r="2024" spans="1:8" x14ac:dyDescent="0.2">
      <c r="A2024" s="23">
        <f>'[1]DECEMBER 2023'!A65</f>
        <v>45270</v>
      </c>
      <c r="B2024" s="12" t="str">
        <f>'[1]DECEMBER 2023'!B65</f>
        <v>LM</v>
      </c>
      <c r="C2024" s="3">
        <f>'[1]DECEMBER 2023'!C65</f>
        <v>0</v>
      </c>
      <c r="D2024" s="3">
        <f>'[1]DECEMBER 2023'!D65</f>
        <v>2450.1099999999997</v>
      </c>
      <c r="E2024" s="4">
        <f>'[1]DECEMBER 2023'!E65</f>
        <v>0</v>
      </c>
      <c r="F2024" s="6">
        <f>'[1]DECEMBER 2023'!F65</f>
        <v>0</v>
      </c>
      <c r="G2024" s="4"/>
      <c r="H2024" s="4"/>
    </row>
    <row r="2025" spans="1:8" x14ac:dyDescent="0.2">
      <c r="A2025" s="20">
        <f>'[1]DECEMBER 2023'!A66</f>
        <v>45270</v>
      </c>
      <c r="B2025" s="12" t="str">
        <f>'[1]DECEMBER 2023'!B66</f>
        <v>VM</v>
      </c>
      <c r="C2025" s="3">
        <f>'[1]DECEMBER 2023'!C66</f>
        <v>0</v>
      </c>
      <c r="D2025" s="3">
        <f>'[1]DECEMBER 2023'!D66</f>
        <v>61</v>
      </c>
      <c r="E2025" s="4">
        <f>'[1]DECEMBER 2023'!E66</f>
        <v>0</v>
      </c>
      <c r="F2025" s="6">
        <f>'[1]DECEMBER 2023'!F66</f>
        <v>0</v>
      </c>
      <c r="G2025" s="4"/>
      <c r="H2025" s="4"/>
    </row>
    <row r="2026" spans="1:8" x14ac:dyDescent="0.2">
      <c r="A2026" s="20">
        <f>'[1]DECEMBER 2023'!A72</f>
        <v>45271</v>
      </c>
      <c r="B2026" s="12" t="str">
        <f>'[1]DECEMBER 2023'!B72</f>
        <v>VM</v>
      </c>
      <c r="C2026" s="3">
        <f>'[1]DECEMBER 2023'!C72</f>
        <v>0</v>
      </c>
      <c r="D2026" s="3">
        <f>'[1]DECEMBER 2023'!D72</f>
        <v>122</v>
      </c>
      <c r="E2026" s="4">
        <f>'[1]DECEMBER 2023'!E72</f>
        <v>0</v>
      </c>
      <c r="F2026" s="6">
        <f>'[1]DECEMBER 2023'!F72</f>
        <v>0</v>
      </c>
      <c r="G2026" s="4"/>
      <c r="H2026" s="4"/>
    </row>
    <row r="2027" spans="1:8" x14ac:dyDescent="0.2">
      <c r="A2027" s="23">
        <f>'[1]DECEMBER 2023'!A73</f>
        <v>45271</v>
      </c>
      <c r="B2027" s="12" t="str">
        <f>'[1]DECEMBER 2023'!B73</f>
        <v>Andere</v>
      </c>
      <c r="C2027" s="3">
        <f>'[1]DECEMBER 2023'!C73</f>
        <v>0</v>
      </c>
      <c r="D2027" s="3">
        <f>'[1]DECEMBER 2023'!D73</f>
        <v>550</v>
      </c>
      <c r="E2027" s="4">
        <f>'[1]DECEMBER 2023'!E73</f>
        <v>0</v>
      </c>
      <c r="F2027" s="6">
        <f>'[1]DECEMBER 2023'!F73</f>
        <v>0</v>
      </c>
      <c r="G2027" s="4"/>
      <c r="H2027" s="4"/>
    </row>
    <row r="2028" spans="1:8" x14ac:dyDescent="0.2">
      <c r="A2028" s="20">
        <f>'[1]DECEMBER 2023'!A74</f>
        <v>45271</v>
      </c>
      <c r="B2028" s="12" t="str">
        <f>'[1]DECEMBER 2023'!B74</f>
        <v>Rauchen</v>
      </c>
      <c r="C2028" s="3">
        <f>'[1]DECEMBER 2023'!C74</f>
        <v>0</v>
      </c>
      <c r="D2028" s="3">
        <f>'[1]DECEMBER 2023'!D74</f>
        <v>0</v>
      </c>
      <c r="E2028" s="4">
        <f>'[1]DECEMBER 2023'!E74</f>
        <v>0</v>
      </c>
      <c r="F2028" s="6">
        <f>'[1]DECEMBER 2023'!F74</f>
        <v>150</v>
      </c>
      <c r="G2028" s="4"/>
      <c r="H2028" s="4"/>
    </row>
    <row r="2029" spans="1:8" x14ac:dyDescent="0.2">
      <c r="A2029" s="20">
        <f>'[1]DECEMBER 2023'!A86</f>
        <v>45273</v>
      </c>
      <c r="B2029" s="12" t="str">
        <f>'[1]DECEMBER 2023'!B86</f>
        <v>Andere</v>
      </c>
      <c r="C2029" s="3">
        <f>'[1]DECEMBER 2023'!C86</f>
        <v>0</v>
      </c>
      <c r="D2029" s="3">
        <f>'[1]DECEMBER 2023'!D86</f>
        <v>555</v>
      </c>
      <c r="E2029" s="4">
        <f>'[1]DECEMBER 2023'!E86</f>
        <v>0</v>
      </c>
      <c r="F2029" s="6">
        <f>'[1]DECEMBER 2023'!F86</f>
        <v>0</v>
      </c>
      <c r="G2029" s="4"/>
      <c r="H2029" s="4"/>
    </row>
    <row r="2030" spans="1:8" x14ac:dyDescent="0.2">
      <c r="A2030" s="23">
        <f>'[1]DECEMBER 2023'!A93</f>
        <v>45274</v>
      </c>
      <c r="B2030" s="12" t="str">
        <f>'[1]DECEMBER 2023'!B93</f>
        <v>LM</v>
      </c>
      <c r="C2030" s="3">
        <f>'[1]DECEMBER 2023'!C93</f>
        <v>0</v>
      </c>
      <c r="D2030" s="3">
        <f>'[1]DECEMBER 2023'!D93</f>
        <v>430</v>
      </c>
      <c r="E2030" s="4">
        <f>'[1]DECEMBER 2023'!E93</f>
        <v>0</v>
      </c>
      <c r="F2030" s="6">
        <f>'[1]DECEMBER 2023'!F93</f>
        <v>0</v>
      </c>
      <c r="G2030" s="4"/>
      <c r="H2030" s="4"/>
    </row>
    <row r="2031" spans="1:8" x14ac:dyDescent="0.2">
      <c r="A2031" s="20">
        <f>'[1]DECEMBER 2023'!A94</f>
        <v>45274</v>
      </c>
      <c r="B2031" s="12" t="str">
        <f>'[1]DECEMBER 2023'!B94</f>
        <v>Rauchen</v>
      </c>
      <c r="C2031" s="3">
        <f>'[1]DECEMBER 2023'!C94</f>
        <v>0</v>
      </c>
      <c r="D2031" s="3">
        <f>'[1]DECEMBER 2023'!D94</f>
        <v>170</v>
      </c>
      <c r="E2031" s="4">
        <f>'[1]DECEMBER 2023'!E94</f>
        <v>0</v>
      </c>
      <c r="F2031" s="6">
        <f>'[1]DECEMBER 2023'!F94</f>
        <v>0</v>
      </c>
      <c r="G2031" s="4"/>
      <c r="H2031" s="4"/>
    </row>
    <row r="2032" spans="1:8" x14ac:dyDescent="0.2">
      <c r="A2032" s="23">
        <f>'[1]DECEMBER 2023'!A95</f>
        <v>45274</v>
      </c>
      <c r="B2032" s="12" t="str">
        <f>'[1]DECEMBER 2023'!B95</f>
        <v>Andere</v>
      </c>
      <c r="C2032" s="3">
        <f>'[1]DECEMBER 2023'!C95</f>
        <v>0</v>
      </c>
      <c r="D2032" s="3">
        <f>'[1]DECEMBER 2023'!D95</f>
        <v>2008</v>
      </c>
      <c r="E2032" s="4">
        <f>'[1]DECEMBER 2023'!E95</f>
        <v>0</v>
      </c>
      <c r="F2032" s="6">
        <f>'[1]DECEMBER 2023'!F95</f>
        <v>700</v>
      </c>
      <c r="G2032" s="4"/>
      <c r="H2032" s="4"/>
    </row>
    <row r="2033" spans="1:8" x14ac:dyDescent="0.2">
      <c r="A2033" s="20">
        <f>'[1]DECEMBER 2023'!A96</f>
        <v>45274</v>
      </c>
      <c r="B2033" s="12" t="str">
        <f>'[1]DECEMBER 2023'!B96</f>
        <v>none</v>
      </c>
      <c r="C2033" s="3">
        <f>'[1]DECEMBER 2023'!C96</f>
        <v>0</v>
      </c>
      <c r="D2033" s="3">
        <f>'[1]DECEMBER 2023'!D96</f>
        <v>2400</v>
      </c>
      <c r="E2033" s="4">
        <f>'[1]DECEMBER 2023'!E96</f>
        <v>2400</v>
      </c>
      <c r="F2033" s="6">
        <f>'[1]DECEMBER 2023'!F96</f>
        <v>0</v>
      </c>
      <c r="G2033" s="4"/>
      <c r="H2033" s="4"/>
    </row>
    <row r="2034" spans="1:8" x14ac:dyDescent="0.2">
      <c r="A2034" s="23">
        <f>'[1]DECEMBER 2023'!A97</f>
        <v>45274</v>
      </c>
      <c r="B2034" s="12" t="str">
        <f>'[1]DECEMBER 2023'!B97</f>
        <v>VM</v>
      </c>
      <c r="C2034" s="3">
        <f>'[1]DECEMBER 2023'!C97</f>
        <v>0</v>
      </c>
      <c r="D2034" s="3">
        <f>'[1]DECEMBER 2023'!D97</f>
        <v>122</v>
      </c>
      <c r="E2034" s="4">
        <f>'[1]DECEMBER 2023'!E97</f>
        <v>0</v>
      </c>
      <c r="F2034" s="6">
        <f>'[1]DECEMBER 2023'!F97</f>
        <v>0</v>
      </c>
      <c r="G2034" s="4"/>
      <c r="H2034" s="4"/>
    </row>
    <row r="2035" spans="1:8" x14ac:dyDescent="0.2">
      <c r="A2035" s="20">
        <f>'[1]DECEMBER 2023'!A100</f>
        <v>45275</v>
      </c>
      <c r="B2035" s="12" t="str">
        <f>'[1]DECEMBER 2023'!B100</f>
        <v>LM</v>
      </c>
      <c r="C2035" s="3">
        <f>'[1]DECEMBER 2023'!C100</f>
        <v>0</v>
      </c>
      <c r="D2035" s="3">
        <f>'[1]DECEMBER 2023'!D100</f>
        <v>390</v>
      </c>
      <c r="E2035" s="4">
        <f>'[1]DECEMBER 2023'!E100</f>
        <v>0</v>
      </c>
      <c r="F2035" s="6">
        <f>'[1]DECEMBER 2023'!F100</f>
        <v>0</v>
      </c>
      <c r="G2035" s="4"/>
      <c r="H2035" s="4"/>
    </row>
    <row r="2036" spans="1:8" x14ac:dyDescent="0.2">
      <c r="A2036" s="23">
        <f>'[1]DECEMBER 2023'!A101</f>
        <v>45275</v>
      </c>
      <c r="B2036" s="12" t="str">
        <f>'[1]DECEMBER 2023'!B101</f>
        <v>Rauchen</v>
      </c>
      <c r="C2036" s="3">
        <f>'[1]DECEMBER 2023'!C101</f>
        <v>0</v>
      </c>
      <c r="D2036" s="3">
        <f>'[1]DECEMBER 2023'!D101</f>
        <v>170</v>
      </c>
      <c r="E2036" s="4">
        <f>'[1]DECEMBER 2023'!E101</f>
        <v>0</v>
      </c>
      <c r="F2036" s="6">
        <f>'[1]DECEMBER 2023'!F101</f>
        <v>0</v>
      </c>
      <c r="G2036" s="4"/>
      <c r="H2036" s="4"/>
    </row>
    <row r="2037" spans="1:8" x14ac:dyDescent="0.2">
      <c r="A2037" s="20">
        <f>'[1]DECEMBER 2023'!A102</f>
        <v>45275</v>
      </c>
      <c r="B2037" s="12" t="str">
        <f>'[1]DECEMBER 2023'!B102</f>
        <v>VM</v>
      </c>
      <c r="C2037" s="3">
        <f>'[1]DECEMBER 2023'!C102</f>
        <v>0</v>
      </c>
      <c r="D2037" s="3">
        <f>'[1]DECEMBER 2023'!D102</f>
        <v>183</v>
      </c>
      <c r="E2037" s="4">
        <f>'[1]DECEMBER 2023'!E102</f>
        <v>0</v>
      </c>
      <c r="F2037" s="6">
        <f>'[1]DECEMBER 2023'!F102</f>
        <v>0</v>
      </c>
      <c r="G2037" s="4"/>
      <c r="H2037" s="4"/>
    </row>
    <row r="2038" spans="1:8" x14ac:dyDescent="0.2">
      <c r="A2038" s="23">
        <f>'[1]DECEMBER 2023'!A107</f>
        <v>45276</v>
      </c>
      <c r="B2038" s="12" t="str">
        <f>'[1]DECEMBER 2023'!B107</f>
        <v>for me</v>
      </c>
      <c r="C2038" s="3">
        <f>'[1]DECEMBER 2023'!C107</f>
        <v>0</v>
      </c>
      <c r="D2038" s="3">
        <f>'[1]DECEMBER 2023'!D107</f>
        <v>430</v>
      </c>
      <c r="E2038" s="4">
        <f>'[1]DECEMBER 2023'!E107</f>
        <v>0</v>
      </c>
      <c r="F2038" s="6">
        <f>'[1]DECEMBER 2023'!F107</f>
        <v>0</v>
      </c>
      <c r="G2038" s="4"/>
      <c r="H2038" s="4"/>
    </row>
    <row r="2039" spans="1:8" x14ac:dyDescent="0.2">
      <c r="A2039" s="20">
        <f>'[1]DECEMBER 2023'!A108</f>
        <v>45276</v>
      </c>
      <c r="B2039" s="12" t="str">
        <f>'[1]DECEMBER 2023'!B108</f>
        <v>LM</v>
      </c>
      <c r="C2039" s="3">
        <f>'[1]DECEMBER 2023'!C108</f>
        <v>0</v>
      </c>
      <c r="D2039" s="3">
        <f>'[1]DECEMBER 2023'!D108</f>
        <v>2671.41</v>
      </c>
      <c r="E2039" s="4">
        <f>'[1]DECEMBER 2023'!E108</f>
        <v>0</v>
      </c>
      <c r="F2039" s="6">
        <f>'[1]DECEMBER 2023'!F108</f>
        <v>0</v>
      </c>
      <c r="G2039" s="4"/>
      <c r="H2039" s="4"/>
    </row>
    <row r="2040" spans="1:8" x14ac:dyDescent="0.2">
      <c r="A2040" s="20">
        <f>'[1]DECEMBER 2023'!A114</f>
        <v>45277</v>
      </c>
      <c r="B2040" s="12" t="str">
        <f>'[1]DECEMBER 2023'!B114</f>
        <v>VM</v>
      </c>
      <c r="C2040" s="3">
        <f>'[1]DECEMBER 2023'!C114</f>
        <v>0</v>
      </c>
      <c r="D2040" s="3">
        <f>'[1]DECEMBER 2023'!D114</f>
        <v>122</v>
      </c>
      <c r="E2040" s="4">
        <f>'[1]DECEMBER 2023'!E114</f>
        <v>0</v>
      </c>
      <c r="F2040" s="6">
        <f>'[1]DECEMBER 2023'!F114</f>
        <v>0</v>
      </c>
      <c r="G2040" s="4"/>
      <c r="H2040" s="4"/>
    </row>
    <row r="2041" spans="1:8" x14ac:dyDescent="0.2">
      <c r="A2041" s="23">
        <f>'[1]DECEMBER 2023'!A115</f>
        <v>45277</v>
      </c>
      <c r="B2041" s="12" t="str">
        <f>'[1]DECEMBER 2023'!B115</f>
        <v>Kleidung</v>
      </c>
      <c r="C2041" s="3">
        <f>'[1]DECEMBER 2023'!C115</f>
        <v>0</v>
      </c>
      <c r="D2041" s="3">
        <f>'[1]DECEMBER 2023'!D115</f>
        <v>7097</v>
      </c>
      <c r="E2041" s="4">
        <f>'[1]DECEMBER 2023'!E115</f>
        <v>0</v>
      </c>
      <c r="F2041" s="6">
        <f>'[1]DECEMBER 2023'!F115</f>
        <v>0</v>
      </c>
      <c r="G2041" s="4"/>
      <c r="H2041" s="4"/>
    </row>
    <row r="2042" spans="1:8" x14ac:dyDescent="0.2">
      <c r="A2042" s="20">
        <f>'[1]DECEMBER 2023'!A116</f>
        <v>45277</v>
      </c>
      <c r="B2042" s="12" t="str">
        <f>'[1]DECEMBER 2023'!B116</f>
        <v>Party</v>
      </c>
      <c r="C2042" s="3">
        <f>'[1]DECEMBER 2023'!C116</f>
        <v>0</v>
      </c>
      <c r="D2042" s="3">
        <f>'[1]DECEMBER 2023'!D116</f>
        <v>920</v>
      </c>
      <c r="E2042" s="4">
        <f>'[1]DECEMBER 2023'!E116</f>
        <v>0</v>
      </c>
      <c r="F2042" s="6">
        <f>'[1]DECEMBER 2023'!F116</f>
        <v>0</v>
      </c>
      <c r="G2042" s="4"/>
      <c r="H2042" s="4"/>
    </row>
    <row r="2043" spans="1:8" x14ac:dyDescent="0.2">
      <c r="A2043" s="23">
        <f>'[1]DECEMBER 2023'!A117</f>
        <v>45277</v>
      </c>
      <c r="B2043" s="12" t="str">
        <f>'[1]DECEMBER 2023'!B117</f>
        <v>none</v>
      </c>
      <c r="C2043" s="3">
        <f>'[1]DECEMBER 2023'!C117</f>
        <v>0</v>
      </c>
      <c r="D2043" s="3">
        <f>'[1]DECEMBER 2023'!D117</f>
        <v>55000</v>
      </c>
      <c r="E2043" s="4">
        <f>'[1]DECEMBER 2023'!E117</f>
        <v>55000</v>
      </c>
      <c r="F2043" s="6">
        <f>'[1]DECEMBER 2023'!F117</f>
        <v>0</v>
      </c>
      <c r="G2043" s="4"/>
      <c r="H2043" s="4"/>
    </row>
    <row r="2044" spans="1:8" x14ac:dyDescent="0.2">
      <c r="A2044" s="20">
        <f>'[1]DECEMBER 2023'!A118</f>
        <v>45277</v>
      </c>
      <c r="B2044" s="12" t="str">
        <f>'[1]DECEMBER 2023'!B118</f>
        <v>rent</v>
      </c>
      <c r="C2044" s="3">
        <f>'[1]DECEMBER 2023'!C118</f>
        <v>0</v>
      </c>
      <c r="D2044" s="3">
        <f>'[1]DECEMBER 2023'!D118</f>
        <v>0</v>
      </c>
      <c r="E2044" s="4">
        <f>'[1]DECEMBER 2023'!E118</f>
        <v>0</v>
      </c>
      <c r="F2044" s="6">
        <f>'[1]DECEMBER 2023'!F118</f>
        <v>55058.5</v>
      </c>
      <c r="G2044" s="4"/>
      <c r="H2044" s="4"/>
    </row>
    <row r="2045" spans="1:8" x14ac:dyDescent="0.2">
      <c r="A2045" s="23">
        <f>'[1]DECEMBER 2023'!A121</f>
        <v>45278</v>
      </c>
      <c r="B2045" s="12" t="str">
        <f>'[1]DECEMBER 2023'!B121</f>
        <v>VM</v>
      </c>
      <c r="C2045" s="3">
        <f>'[1]DECEMBER 2023'!C121</f>
        <v>0</v>
      </c>
      <c r="D2045" s="3">
        <f>'[1]DECEMBER 2023'!D121</f>
        <v>244</v>
      </c>
      <c r="E2045" s="4">
        <f>'[1]DECEMBER 2023'!E121</f>
        <v>0</v>
      </c>
      <c r="F2045" s="6">
        <f>'[1]DECEMBER 2023'!F121</f>
        <v>0</v>
      </c>
      <c r="G2045" s="4"/>
      <c r="H2045" s="4"/>
    </row>
    <row r="2046" spans="1:8" x14ac:dyDescent="0.2">
      <c r="A2046" s="20">
        <f>'[1]DECEMBER 2023'!A122</f>
        <v>45278</v>
      </c>
      <c r="B2046" s="12" t="str">
        <f>'[1]DECEMBER 2023'!B122</f>
        <v>Rauchen</v>
      </c>
      <c r="C2046" s="3">
        <f>'[1]DECEMBER 2023'!C122</f>
        <v>0</v>
      </c>
      <c r="D2046" s="3">
        <f>'[1]DECEMBER 2023'!D122</f>
        <v>0</v>
      </c>
      <c r="E2046" s="4">
        <f>'[1]DECEMBER 2023'!E122</f>
        <v>0</v>
      </c>
      <c r="F2046" s="6">
        <f>'[1]DECEMBER 2023'!F122</f>
        <v>151.5</v>
      </c>
      <c r="G2046" s="4"/>
      <c r="H2046" s="4"/>
    </row>
    <row r="2047" spans="1:8" x14ac:dyDescent="0.2">
      <c r="A2047" s="23">
        <f>'[1]DECEMBER 2023'!A135</f>
        <v>45280</v>
      </c>
      <c r="B2047" s="12" t="str">
        <f>'[1]DECEMBER 2023'!B135</f>
        <v>LM</v>
      </c>
      <c r="C2047" s="3">
        <f>'[1]DECEMBER 2023'!C135</f>
        <v>0</v>
      </c>
      <c r="D2047" s="3">
        <f>'[1]DECEMBER 2023'!D135</f>
        <v>390</v>
      </c>
      <c r="E2047" s="4">
        <f>'[1]DECEMBER 2023'!E135</f>
        <v>0</v>
      </c>
      <c r="F2047" s="6">
        <f>'[1]DECEMBER 2023'!F135</f>
        <v>0</v>
      </c>
      <c r="G2047" s="4"/>
      <c r="H2047" s="4"/>
    </row>
    <row r="2048" spans="1:8" x14ac:dyDescent="0.2">
      <c r="A2048" s="20">
        <f>'[1]DECEMBER 2023'!A136</f>
        <v>45280</v>
      </c>
      <c r="B2048" s="12" t="str">
        <f>'[1]DECEMBER 2023'!B136</f>
        <v>Rauchen</v>
      </c>
      <c r="C2048" s="3">
        <f>'[1]DECEMBER 2023'!C136</f>
        <v>0</v>
      </c>
      <c r="D2048" s="3">
        <f>'[1]DECEMBER 2023'!D136</f>
        <v>0</v>
      </c>
      <c r="E2048" s="4">
        <f>'[1]DECEMBER 2023'!E136</f>
        <v>0</v>
      </c>
      <c r="F2048" s="6">
        <f>'[1]DECEMBER 2023'!F136</f>
        <v>151.5</v>
      </c>
      <c r="G2048" s="4"/>
      <c r="H2048" s="4"/>
    </row>
    <row r="2049" spans="1:8" x14ac:dyDescent="0.2">
      <c r="A2049" s="23">
        <f>'[1]DECEMBER 2023'!A137</f>
        <v>45280</v>
      </c>
      <c r="B2049" s="12" t="str">
        <f>'[1]DECEMBER 2023'!B137</f>
        <v>Andere</v>
      </c>
      <c r="C2049" s="3">
        <f>'[1]DECEMBER 2023'!C137</f>
        <v>0</v>
      </c>
      <c r="D2049" s="3">
        <f>'[1]DECEMBER 2023'!D137</f>
        <v>0</v>
      </c>
      <c r="E2049" s="4">
        <f>'[1]DECEMBER 2023'!E137</f>
        <v>0</v>
      </c>
      <c r="F2049" s="6">
        <f>'[1]DECEMBER 2023'!F137</f>
        <v>150</v>
      </c>
      <c r="G2049" s="4"/>
      <c r="H2049" s="4"/>
    </row>
    <row r="2050" spans="1:8" x14ac:dyDescent="0.2">
      <c r="A2050" s="20">
        <f>'[1]DECEMBER 2023'!A142</f>
        <v>45281</v>
      </c>
      <c r="B2050" s="12" t="str">
        <f>'[1]DECEMBER 2023'!B142</f>
        <v>VM</v>
      </c>
      <c r="C2050" s="3">
        <f>'[1]DECEMBER 2023'!C142</f>
        <v>0</v>
      </c>
      <c r="D2050" s="3">
        <f>'[1]DECEMBER 2023'!D142</f>
        <v>1595</v>
      </c>
      <c r="E2050" s="4">
        <f>'[1]DECEMBER 2023'!E142</f>
        <v>0</v>
      </c>
      <c r="F2050" s="6">
        <f>'[1]DECEMBER 2023'!F142</f>
        <v>0</v>
      </c>
      <c r="G2050" s="4"/>
      <c r="H2050" s="4"/>
    </row>
    <row r="2051" spans="1:8" x14ac:dyDescent="0.2">
      <c r="A2051" s="23">
        <f>'[1]DECEMBER 2023'!A143</f>
        <v>45281</v>
      </c>
      <c r="B2051" s="12" t="str">
        <f>'[1]DECEMBER 2023'!B143</f>
        <v>LM</v>
      </c>
      <c r="C2051" s="3">
        <f>'[1]DECEMBER 2023'!C143</f>
        <v>0</v>
      </c>
      <c r="D2051" s="3">
        <f>'[1]DECEMBER 2023'!D143</f>
        <v>95</v>
      </c>
      <c r="E2051" s="4">
        <f>'[1]DECEMBER 2023'!E143</f>
        <v>0</v>
      </c>
      <c r="F2051" s="6">
        <f>'[1]DECEMBER 2023'!F143</f>
        <v>0</v>
      </c>
      <c r="G2051" s="4"/>
      <c r="H2051" s="4"/>
    </row>
    <row r="2052" spans="1:8" x14ac:dyDescent="0.2">
      <c r="A2052" s="20">
        <f>'[1]DECEMBER 2023'!A144</f>
        <v>45281</v>
      </c>
      <c r="B2052" s="12" t="str">
        <f>'[1]DECEMBER 2023'!B144</f>
        <v>VM</v>
      </c>
      <c r="C2052" s="3">
        <f>'[1]DECEMBER 2023'!C144</f>
        <v>0</v>
      </c>
      <c r="D2052" s="3">
        <f>'[1]DECEMBER 2023'!D144</f>
        <v>244</v>
      </c>
      <c r="E2052" s="4">
        <f>'[1]DECEMBER 2023'!E144</f>
        <v>0</v>
      </c>
      <c r="F2052" s="6">
        <f>'[1]DECEMBER 2023'!F144</f>
        <v>0</v>
      </c>
      <c r="G2052" s="4"/>
      <c r="H2052" s="4"/>
    </row>
    <row r="2053" spans="1:8" x14ac:dyDescent="0.2">
      <c r="A2053" s="23">
        <f>'[1]DECEMBER 2023'!A149</f>
        <v>45282</v>
      </c>
      <c r="B2053" s="12" t="str">
        <f>'[1]DECEMBER 2023'!B149</f>
        <v>LM</v>
      </c>
      <c r="C2053" s="3">
        <f>'[1]DECEMBER 2023'!C149</f>
        <v>0</v>
      </c>
      <c r="D2053" s="3">
        <f>'[1]DECEMBER 2023'!D149</f>
        <v>1148</v>
      </c>
      <c r="E2053" s="4">
        <f>'[1]DECEMBER 2023'!E149</f>
        <v>0</v>
      </c>
      <c r="F2053" s="6">
        <f>'[1]DECEMBER 2023'!F149</f>
        <v>0</v>
      </c>
      <c r="G2053" s="4"/>
      <c r="H2053" s="4"/>
    </row>
    <row r="2054" spans="1:8" x14ac:dyDescent="0.2">
      <c r="A2054" s="20">
        <f>'[1]DECEMBER 2023'!A150</f>
        <v>45282</v>
      </c>
      <c r="B2054" s="12" t="str">
        <f>'[1]DECEMBER 2023'!B150</f>
        <v>Refill</v>
      </c>
      <c r="C2054" s="3">
        <f>'[1]DECEMBER 2023'!C150</f>
        <v>47030.14</v>
      </c>
      <c r="D2054" s="3">
        <f>'[1]DECEMBER 2023'!D150</f>
        <v>0</v>
      </c>
      <c r="E2054" s="4">
        <f>'[1]DECEMBER 2023'!E150</f>
        <v>0</v>
      </c>
      <c r="F2054" s="6">
        <f>'[1]DECEMBER 2023'!F150</f>
        <v>0</v>
      </c>
      <c r="G2054" s="4"/>
      <c r="H2054" s="4"/>
    </row>
    <row r="2055" spans="1:8" x14ac:dyDescent="0.2">
      <c r="A2055" s="23">
        <f>'[1]DECEMBER 2023'!A151</f>
        <v>45282</v>
      </c>
      <c r="B2055" s="12" t="str">
        <f>'[1]DECEMBER 2023'!B151</f>
        <v>Andere</v>
      </c>
      <c r="C2055" s="3">
        <f>'[1]DECEMBER 2023'!C151</f>
        <v>0</v>
      </c>
      <c r="D2055" s="3">
        <f>'[1]DECEMBER 2023'!D151</f>
        <v>293</v>
      </c>
      <c r="E2055" s="4">
        <f>'[1]DECEMBER 2023'!E151</f>
        <v>0</v>
      </c>
      <c r="F2055" s="6">
        <f>'[1]DECEMBER 2023'!F151</f>
        <v>0</v>
      </c>
      <c r="G2055" s="4"/>
      <c r="H2055" s="4"/>
    </row>
    <row r="2056" spans="1:8" x14ac:dyDescent="0.2">
      <c r="A2056" s="20">
        <f>'[1]DECEMBER 2023'!A152</f>
        <v>45282</v>
      </c>
      <c r="B2056" s="12" t="str">
        <f>'[1]DECEMBER 2023'!B152</f>
        <v>Andere</v>
      </c>
      <c r="C2056" s="3">
        <f>'[1]DECEMBER 2023'!C152</f>
        <v>0</v>
      </c>
      <c r="D2056" s="3">
        <f>'[1]DECEMBER 2023'!D152</f>
        <v>7406</v>
      </c>
      <c r="E2056" s="4">
        <f>'[1]DECEMBER 2023'!E152</f>
        <v>0</v>
      </c>
      <c r="F2056" s="6">
        <f>'[1]DECEMBER 2023'!F152</f>
        <v>0</v>
      </c>
      <c r="G2056" s="4"/>
      <c r="H2056" s="4"/>
    </row>
    <row r="2057" spans="1:8" x14ac:dyDescent="0.2">
      <c r="A2057" s="23">
        <f>'[1]DECEMBER 2023'!A153</f>
        <v>45282</v>
      </c>
      <c r="B2057" s="12" t="str">
        <f>'[1]DECEMBER 2023'!B153</f>
        <v>VM</v>
      </c>
      <c r="C2057" s="3">
        <f>'[1]DECEMBER 2023'!C153</f>
        <v>0</v>
      </c>
      <c r="D2057" s="3">
        <f>'[1]DECEMBER 2023'!D153</f>
        <v>122</v>
      </c>
      <c r="E2057" s="4">
        <f>'[1]DECEMBER 2023'!E153</f>
        <v>0</v>
      </c>
      <c r="F2057" s="6">
        <f>'[1]DECEMBER 2023'!F153</f>
        <v>0</v>
      </c>
      <c r="G2057" s="4"/>
      <c r="H2057" s="4"/>
    </row>
    <row r="2058" spans="1:8" x14ac:dyDescent="0.2">
      <c r="A2058" s="20">
        <f>'[1]DECEMBER 2023'!A154</f>
        <v>45282</v>
      </c>
      <c r="B2058" s="12" t="str">
        <f>'[1]DECEMBER 2023'!B154</f>
        <v>Rauchen</v>
      </c>
      <c r="C2058" s="3">
        <f>'[1]DECEMBER 2023'!C154</f>
        <v>0</v>
      </c>
      <c r="D2058" s="3">
        <f>'[1]DECEMBER 2023'!D154</f>
        <v>0</v>
      </c>
      <c r="E2058" s="4">
        <f>'[1]DECEMBER 2023'!E154</f>
        <v>0</v>
      </c>
      <c r="F2058" s="6">
        <f>'[1]DECEMBER 2023'!F154</f>
        <v>151.5</v>
      </c>
      <c r="G2058" s="4"/>
      <c r="H2058" s="4"/>
    </row>
    <row r="2059" spans="1:8" x14ac:dyDescent="0.2">
      <c r="A2059" s="20">
        <f>'[1]DECEMBER 2023'!A156</f>
        <v>45283</v>
      </c>
      <c r="B2059" s="12" t="str">
        <f>'[1]DECEMBER 2023'!B156</f>
        <v>Andere</v>
      </c>
      <c r="C2059" s="3">
        <f>'[1]DECEMBER 2023'!C156</f>
        <v>0</v>
      </c>
      <c r="D2059" s="3">
        <f>'[1]DECEMBER 2023'!D156</f>
        <v>0</v>
      </c>
      <c r="E2059" s="4">
        <f>'[1]DECEMBER 2023'!E156</f>
        <v>0</v>
      </c>
      <c r="F2059" s="6">
        <f>'[1]DECEMBER 2023'!F156</f>
        <v>3054.24</v>
      </c>
      <c r="G2059" s="4"/>
      <c r="H2059" s="4"/>
    </row>
    <row r="2060" spans="1:8" x14ac:dyDescent="0.2">
      <c r="A2060" s="23">
        <f>'[1]DECEMBER 2023'!A157</f>
        <v>45283</v>
      </c>
      <c r="B2060" s="12" t="str">
        <f>'[1]DECEMBER 2023'!B157</f>
        <v>none</v>
      </c>
      <c r="C2060" s="3">
        <f>'[1]DECEMBER 2023'!C157</f>
        <v>0</v>
      </c>
      <c r="D2060" s="3">
        <f>'[1]DECEMBER 2023'!D157</f>
        <v>1700</v>
      </c>
      <c r="E2060" s="4">
        <f>'[1]DECEMBER 2023'!E157</f>
        <v>1700</v>
      </c>
      <c r="F2060" s="6">
        <f>'[1]DECEMBER 2023'!F157</f>
        <v>0</v>
      </c>
      <c r="G2060" s="4"/>
      <c r="H2060" s="4"/>
    </row>
    <row r="2061" spans="1:8" x14ac:dyDescent="0.2">
      <c r="A2061" s="23">
        <f>'[1]DECEMBER 2023'!A163</f>
        <v>45284</v>
      </c>
      <c r="B2061" s="12" t="str">
        <f>'[1]DECEMBER 2023'!B163</f>
        <v>Party</v>
      </c>
      <c r="C2061" s="3">
        <f>'[1]DECEMBER 2023'!C163</f>
        <v>0</v>
      </c>
      <c r="D2061" s="3">
        <f>'[1]DECEMBER 2023'!D163</f>
        <v>2850</v>
      </c>
      <c r="E2061" s="4">
        <f>'[1]DECEMBER 2023'!E163</f>
        <v>0</v>
      </c>
      <c r="F2061" s="6">
        <f>'[1]DECEMBER 2023'!F163</f>
        <v>0</v>
      </c>
      <c r="G2061" s="4"/>
      <c r="H2061" s="4"/>
    </row>
    <row r="2062" spans="1:8" x14ac:dyDescent="0.2">
      <c r="A2062" s="20">
        <f>'[1]DECEMBER 2023'!A164</f>
        <v>45284</v>
      </c>
      <c r="B2062" s="12" t="str">
        <f>'[1]DECEMBER 2023'!B164</f>
        <v>LM</v>
      </c>
      <c r="C2062" s="3">
        <f>'[1]DECEMBER 2023'!C164</f>
        <v>0</v>
      </c>
      <c r="D2062" s="3">
        <f>'[1]DECEMBER 2023'!D164</f>
        <v>1182</v>
      </c>
      <c r="E2062" s="4">
        <f>'[1]DECEMBER 2023'!E164</f>
        <v>0</v>
      </c>
      <c r="F2062" s="6">
        <f>'[1]DECEMBER 2023'!F164</f>
        <v>0</v>
      </c>
      <c r="G2062" s="4"/>
      <c r="H2062" s="4"/>
    </row>
    <row r="2063" spans="1:8" x14ac:dyDescent="0.2">
      <c r="A2063" s="23">
        <f>'[1]DECEMBER 2023'!A165</f>
        <v>45284</v>
      </c>
      <c r="B2063" s="12" t="str">
        <f>'[1]DECEMBER 2023'!B165</f>
        <v>VM</v>
      </c>
      <c r="C2063" s="3">
        <f>'[1]DECEMBER 2023'!C165</f>
        <v>0</v>
      </c>
      <c r="D2063" s="3">
        <f>'[1]DECEMBER 2023'!D165</f>
        <v>183</v>
      </c>
      <c r="E2063" s="4">
        <f>'[1]DECEMBER 2023'!E165</f>
        <v>0</v>
      </c>
      <c r="F2063" s="6">
        <f>'[1]DECEMBER 2023'!F165</f>
        <v>0</v>
      </c>
      <c r="G2063" s="4"/>
      <c r="H2063" s="4"/>
    </row>
    <row r="2064" spans="1:8" x14ac:dyDescent="0.2">
      <c r="A2064" s="20">
        <f>'[1]DECEMBER 2023'!A170</f>
        <v>45285</v>
      </c>
      <c r="B2064" s="12" t="str">
        <f>'[1]DECEMBER 2023'!B170</f>
        <v>VM</v>
      </c>
      <c r="C2064" s="3">
        <f>'[1]DECEMBER 2023'!C170</f>
        <v>0</v>
      </c>
      <c r="D2064" s="3">
        <f>'[1]DECEMBER 2023'!D170</f>
        <v>1</v>
      </c>
      <c r="E2064" s="4">
        <f>'[1]DECEMBER 2023'!E170</f>
        <v>0</v>
      </c>
      <c r="F2064" s="6">
        <f>'[1]DECEMBER 2023'!F170</f>
        <v>0</v>
      </c>
      <c r="G2064" s="4"/>
      <c r="H2064" s="4"/>
    </row>
    <row r="2065" spans="1:8" x14ac:dyDescent="0.2">
      <c r="A2065" s="23">
        <f>'[1]DECEMBER 2023'!A171</f>
        <v>45285</v>
      </c>
      <c r="B2065" s="12" t="str">
        <f>'[1]DECEMBER 2023'!B171</f>
        <v>Andere</v>
      </c>
      <c r="C2065" s="3">
        <f>'[1]DECEMBER 2023'!C171</f>
        <v>0</v>
      </c>
      <c r="D2065" s="3">
        <f>'[1]DECEMBER 2023'!D171</f>
        <v>1000</v>
      </c>
      <c r="E2065" s="4">
        <f>'[1]DECEMBER 2023'!E171</f>
        <v>0</v>
      </c>
      <c r="F2065" s="6">
        <f>'[1]DECEMBER 2023'!F171</f>
        <v>0</v>
      </c>
      <c r="G2065" s="4"/>
      <c r="H2065" s="4"/>
    </row>
    <row r="2066" spans="1:8" x14ac:dyDescent="0.2">
      <c r="A2066" s="20">
        <f>'[1]DECEMBER 2023'!A172</f>
        <v>45285</v>
      </c>
      <c r="B2066" s="12" t="str">
        <f>'[1]DECEMBER 2023'!B172</f>
        <v>LM</v>
      </c>
      <c r="C2066" s="3">
        <f>'[1]DECEMBER 2023'!C172</f>
        <v>0</v>
      </c>
      <c r="D2066" s="3">
        <f>'[1]DECEMBER 2023'!D172</f>
        <v>105</v>
      </c>
      <c r="E2066" s="4">
        <f>'[1]DECEMBER 2023'!E172</f>
        <v>0</v>
      </c>
      <c r="F2066" s="6">
        <f>'[1]DECEMBER 2023'!F172</f>
        <v>0</v>
      </c>
      <c r="G2066" s="4"/>
      <c r="H2066" s="4"/>
    </row>
    <row r="2067" spans="1:8" x14ac:dyDescent="0.2">
      <c r="A2067" s="23">
        <f>'[1]DECEMBER 2023'!A173</f>
        <v>45285</v>
      </c>
      <c r="B2067" s="12" t="str">
        <f>'[1]DECEMBER 2023'!B173</f>
        <v>LM</v>
      </c>
      <c r="C2067" s="3">
        <f>'[1]DECEMBER 2023'!C173</f>
        <v>0</v>
      </c>
      <c r="D2067" s="3">
        <f>'[1]DECEMBER 2023'!D173</f>
        <v>3940</v>
      </c>
      <c r="E2067" s="4">
        <f>'[1]DECEMBER 2023'!E173</f>
        <v>0</v>
      </c>
      <c r="F2067" s="6">
        <f>'[1]DECEMBER 2023'!F173</f>
        <v>0</v>
      </c>
      <c r="G2067" s="4"/>
      <c r="H2067" s="4"/>
    </row>
    <row r="2068" spans="1:8" x14ac:dyDescent="0.2">
      <c r="A2068" s="20">
        <f>'[1]DECEMBER 2023'!A174</f>
        <v>45285</v>
      </c>
      <c r="B2068" s="12" t="str">
        <f>'[1]DECEMBER 2023'!B174</f>
        <v>Rauchen</v>
      </c>
      <c r="C2068" s="3">
        <f>'[1]DECEMBER 2023'!C174</f>
        <v>0</v>
      </c>
      <c r="D2068" s="3">
        <f>'[1]DECEMBER 2023'!D174</f>
        <v>0</v>
      </c>
      <c r="E2068" s="4">
        <f>'[1]DECEMBER 2023'!E174</f>
        <v>0</v>
      </c>
      <c r="F2068" s="6">
        <f>'[1]DECEMBER 2023'!F174</f>
        <v>93.9</v>
      </c>
      <c r="G2068" s="4"/>
      <c r="H2068" s="4"/>
    </row>
    <row r="2069" spans="1:8" x14ac:dyDescent="0.2">
      <c r="A2069" s="23">
        <f>'[1]DECEMBER 2023'!A177</f>
        <v>45286</v>
      </c>
      <c r="B2069" s="12" t="str">
        <f>'[1]DECEMBER 2023'!B177</f>
        <v>VM</v>
      </c>
      <c r="C2069" s="3">
        <f>'[1]DECEMBER 2023'!C177</f>
        <v>0</v>
      </c>
      <c r="D2069" s="3">
        <f>'[1]DECEMBER 2023'!D177</f>
        <v>122</v>
      </c>
      <c r="E2069" s="4">
        <f>'[1]DECEMBER 2023'!E177</f>
        <v>0</v>
      </c>
      <c r="F2069" s="6">
        <f>'[1]DECEMBER 2023'!F177</f>
        <v>0</v>
      </c>
      <c r="G2069" s="4"/>
      <c r="H2069" s="4"/>
    </row>
    <row r="2070" spans="1:8" x14ac:dyDescent="0.2">
      <c r="A2070" s="20">
        <f>'[1]DECEMBER 2023'!A178</f>
        <v>45286</v>
      </c>
      <c r="B2070" s="12" t="str">
        <f>'[1]DECEMBER 2023'!B178</f>
        <v>LM</v>
      </c>
      <c r="C2070" s="3">
        <f>'[1]DECEMBER 2023'!C178</f>
        <v>0</v>
      </c>
      <c r="D2070" s="3">
        <f>'[1]DECEMBER 2023'!D178</f>
        <v>190</v>
      </c>
      <c r="E2070" s="4">
        <f>'[1]DECEMBER 2023'!E178</f>
        <v>0</v>
      </c>
      <c r="F2070" s="6">
        <f>'[1]DECEMBER 2023'!F178</f>
        <v>0</v>
      </c>
      <c r="G2070" s="4"/>
      <c r="H2070" s="4"/>
    </row>
    <row r="2071" spans="1:8" x14ac:dyDescent="0.2">
      <c r="A2071" s="23">
        <f>'[1]DECEMBER 2023'!A179</f>
        <v>45286</v>
      </c>
      <c r="B2071" s="12" t="str">
        <f>'[1]DECEMBER 2023'!B179</f>
        <v>none</v>
      </c>
      <c r="C2071" s="3">
        <f>'[1]DECEMBER 2023'!C179</f>
        <v>389</v>
      </c>
      <c r="D2071" s="3">
        <f>'[1]DECEMBER 2023'!D179</f>
        <v>0</v>
      </c>
      <c r="E2071" s="4">
        <f>'[1]DECEMBER 2023'!E179</f>
        <v>0</v>
      </c>
      <c r="F2071" s="6">
        <f>'[1]DECEMBER 2023'!F179</f>
        <v>0</v>
      </c>
      <c r="G2071" s="4"/>
      <c r="H2071" s="4"/>
    </row>
    <row r="2072" spans="1:8" x14ac:dyDescent="0.2">
      <c r="A2072" s="20">
        <f>'[1]DECEMBER 2023'!A180</f>
        <v>45286</v>
      </c>
      <c r="B2072" s="12" t="str">
        <f>'[1]DECEMBER 2023'!B180</f>
        <v>LM</v>
      </c>
      <c r="C2072" s="3">
        <f>'[1]DECEMBER 2023'!C180</f>
        <v>0</v>
      </c>
      <c r="D2072" s="3">
        <f>'[1]DECEMBER 2023'!D180</f>
        <v>250</v>
      </c>
      <c r="E2072" s="4">
        <f>'[1]DECEMBER 2023'!E180</f>
        <v>0</v>
      </c>
      <c r="F2072" s="6">
        <f>'[1]DECEMBER 2023'!F180</f>
        <v>0</v>
      </c>
      <c r="G2072" s="4"/>
      <c r="H2072" s="4"/>
    </row>
    <row r="2073" spans="1:8" x14ac:dyDescent="0.2">
      <c r="A2073" s="23">
        <f>'[1]DECEMBER 2023'!A181</f>
        <v>45286</v>
      </c>
      <c r="B2073" s="12" t="str">
        <f>'[1]DECEMBER 2023'!B181</f>
        <v>Rauchen</v>
      </c>
      <c r="C2073" s="3">
        <f>'[1]DECEMBER 2023'!C181</f>
        <v>0</v>
      </c>
      <c r="D2073" s="3">
        <f>'[1]DECEMBER 2023'!D181</f>
        <v>170</v>
      </c>
      <c r="E2073" s="4">
        <f>'[1]DECEMBER 2023'!E181</f>
        <v>0</v>
      </c>
      <c r="F2073" s="6">
        <f>'[1]DECEMBER 2023'!F181</f>
        <v>0</v>
      </c>
      <c r="G2073" s="4"/>
      <c r="H2073" s="4"/>
    </row>
    <row r="2074" spans="1:8" x14ac:dyDescent="0.2">
      <c r="A2074" s="20">
        <f>'[1]DECEMBER 2023'!A184</f>
        <v>45287</v>
      </c>
      <c r="B2074" s="12" t="str">
        <f>'[1]DECEMBER 2023'!B184</f>
        <v>VM</v>
      </c>
      <c r="C2074" s="3">
        <f>'[1]DECEMBER 2023'!C184</f>
        <v>0</v>
      </c>
      <c r="D2074" s="3">
        <f>'[1]DECEMBER 2023'!D184</f>
        <v>122</v>
      </c>
      <c r="E2074" s="4">
        <f>'[1]DECEMBER 2023'!E184</f>
        <v>0</v>
      </c>
      <c r="F2074" s="6">
        <f>'[1]DECEMBER 2023'!F184</f>
        <v>0</v>
      </c>
      <c r="G2074" s="4"/>
      <c r="H2074" s="4"/>
    </row>
    <row r="2075" spans="1:8" x14ac:dyDescent="0.2">
      <c r="A2075" s="23">
        <f>'[1]DECEMBER 2023'!A185</f>
        <v>45287</v>
      </c>
      <c r="B2075" s="12" t="str">
        <f>'[1]DECEMBER 2023'!B185</f>
        <v>LM</v>
      </c>
      <c r="C2075" s="3">
        <f>'[1]DECEMBER 2023'!C185</f>
        <v>0</v>
      </c>
      <c r="D2075" s="3">
        <f>'[1]DECEMBER 2023'!D185</f>
        <v>796</v>
      </c>
      <c r="E2075" s="4">
        <f>'[1]DECEMBER 2023'!E185</f>
        <v>0</v>
      </c>
      <c r="F2075" s="6">
        <f>'[1]DECEMBER 2023'!F185</f>
        <v>0</v>
      </c>
      <c r="G2075" s="4"/>
      <c r="H2075" s="4"/>
    </row>
    <row r="2076" spans="1:8" x14ac:dyDescent="0.2">
      <c r="A2076" s="23">
        <f>'[1]DECEMBER 2023'!A191</f>
        <v>45288</v>
      </c>
      <c r="B2076" s="12" t="str">
        <f>'[1]DECEMBER 2023'!B191</f>
        <v>VM</v>
      </c>
      <c r="C2076" s="3">
        <f>'[1]DECEMBER 2023'!C191</f>
        <v>0</v>
      </c>
      <c r="D2076" s="3">
        <f>'[1]DECEMBER 2023'!D191</f>
        <v>779</v>
      </c>
      <c r="E2076" s="4">
        <f>'[1]DECEMBER 2023'!E191</f>
        <v>0</v>
      </c>
      <c r="F2076" s="6">
        <f>'[1]DECEMBER 2023'!F191</f>
        <v>0</v>
      </c>
      <c r="G2076" s="4"/>
      <c r="H2076" s="4"/>
    </row>
    <row r="2077" spans="1:8" x14ac:dyDescent="0.2">
      <c r="A2077" s="20">
        <f>'[1]DECEMBER 2023'!A192</f>
        <v>45288</v>
      </c>
      <c r="B2077" s="12" t="str">
        <f>'[1]DECEMBER 2023'!B192</f>
        <v>LM</v>
      </c>
      <c r="C2077" s="3">
        <f>'[1]DECEMBER 2023'!C192</f>
        <v>0</v>
      </c>
      <c r="D2077" s="3">
        <f>'[1]DECEMBER 2023'!D192</f>
        <v>335</v>
      </c>
      <c r="E2077" s="4">
        <f>'[1]DECEMBER 2023'!E192</f>
        <v>0</v>
      </c>
      <c r="F2077" s="6">
        <f>'[1]DECEMBER 2023'!F192</f>
        <v>0</v>
      </c>
      <c r="G2077" s="4"/>
      <c r="H2077" s="4"/>
    </row>
    <row r="2078" spans="1:8" x14ac:dyDescent="0.2">
      <c r="A2078" s="23">
        <f>'[1]DECEMBER 2023'!A193</f>
        <v>45288</v>
      </c>
      <c r="B2078" s="12" t="str">
        <f>'[1]DECEMBER 2023'!B193</f>
        <v>Refill</v>
      </c>
      <c r="C2078" s="3">
        <f>'[1]DECEMBER 2023'!C193</f>
        <v>71671.600000000006</v>
      </c>
      <c r="D2078" s="3">
        <f>'[1]DECEMBER 2023'!D193</f>
        <v>0</v>
      </c>
      <c r="E2078" s="4">
        <f>'[1]DECEMBER 2023'!E193</f>
        <v>0</v>
      </c>
      <c r="F2078" s="6">
        <f>'[1]DECEMBER 2023'!F193</f>
        <v>0</v>
      </c>
      <c r="G2078" s="4"/>
      <c r="H2078" s="4"/>
    </row>
    <row r="2079" spans="1:8" x14ac:dyDescent="0.2">
      <c r="A2079" s="20">
        <f>'[1]DECEMBER 2023'!A198</f>
        <v>45289</v>
      </c>
      <c r="B2079" s="12" t="str">
        <f>'[1]DECEMBER 2023'!B198</f>
        <v>Andere</v>
      </c>
      <c r="C2079" s="3">
        <f>'[1]DECEMBER 2023'!C198</f>
        <v>0</v>
      </c>
      <c r="D2079" s="3">
        <f>'[1]DECEMBER 2023'!D198</f>
        <v>688</v>
      </c>
      <c r="E2079" s="4">
        <f>'[1]DECEMBER 2023'!E198</f>
        <v>0</v>
      </c>
      <c r="F2079" s="6">
        <f>'[1]DECEMBER 2023'!F198</f>
        <v>0</v>
      </c>
      <c r="G2079" s="4"/>
      <c r="H2079" s="4"/>
    </row>
    <row r="2080" spans="1:8" x14ac:dyDescent="0.2">
      <c r="A2080" s="23">
        <f>'[1]DECEMBER 2023'!A199</f>
        <v>45289</v>
      </c>
      <c r="B2080" s="12" t="str">
        <f>'[1]DECEMBER 2023'!B199</f>
        <v>LM</v>
      </c>
      <c r="C2080" s="3">
        <f>'[1]DECEMBER 2023'!C199</f>
        <v>0</v>
      </c>
      <c r="D2080" s="3">
        <f>'[1]DECEMBER 2023'!D199</f>
        <v>280</v>
      </c>
      <c r="E2080" s="4">
        <f>'[1]DECEMBER 2023'!E199</f>
        <v>0</v>
      </c>
      <c r="F2080" s="6">
        <f>'[1]DECEMBER 2023'!F199</f>
        <v>0</v>
      </c>
      <c r="G2080" s="4"/>
      <c r="H2080" s="4"/>
    </row>
    <row r="2081" spans="1:8" x14ac:dyDescent="0.2">
      <c r="A2081" s="20">
        <f>'[1]DECEMBER 2023'!A200</f>
        <v>45289</v>
      </c>
      <c r="B2081" s="12" t="str">
        <f>'[1]DECEMBER 2023'!B200</f>
        <v>LM</v>
      </c>
      <c r="C2081" s="3">
        <f>'[1]DECEMBER 2023'!C200</f>
        <v>0</v>
      </c>
      <c r="D2081" s="3">
        <f>'[1]DECEMBER 2023'!D200</f>
        <v>861.4</v>
      </c>
      <c r="E2081" s="4">
        <f>'[1]DECEMBER 2023'!E200</f>
        <v>0</v>
      </c>
      <c r="F2081" s="6">
        <f>'[1]DECEMBER 2023'!F200</f>
        <v>0</v>
      </c>
      <c r="G2081" s="4"/>
      <c r="H2081" s="4"/>
    </row>
    <row r="2082" spans="1:8" x14ac:dyDescent="0.2">
      <c r="A2082" s="23">
        <f>'[1]DECEMBER 2023'!A201</f>
        <v>45289</v>
      </c>
      <c r="B2082" s="12" t="str">
        <f>'[1]DECEMBER 2023'!B201</f>
        <v>Rauchen</v>
      </c>
      <c r="C2082" s="3">
        <f>'[1]DECEMBER 2023'!C201</f>
        <v>0</v>
      </c>
      <c r="D2082" s="3">
        <f>'[1]DECEMBER 2023'!D201</f>
        <v>0</v>
      </c>
      <c r="E2082" s="4">
        <f>'[1]DECEMBER 2023'!E201</f>
        <v>0</v>
      </c>
      <c r="F2082" s="6">
        <f>'[1]DECEMBER 2023'!F201</f>
        <v>151.5</v>
      </c>
      <c r="G2082" s="4"/>
      <c r="H2082" s="4"/>
    </row>
    <row r="2083" spans="1:8" x14ac:dyDescent="0.2">
      <c r="A2083" s="23">
        <f>'[1]DECEMBER 2023'!A205</f>
        <v>45290</v>
      </c>
      <c r="B2083" s="12" t="str">
        <f>'[1]DECEMBER 2023'!B205</f>
        <v>Party</v>
      </c>
      <c r="C2083" s="3">
        <f>'[1]DECEMBER 2023'!C205</f>
        <v>0</v>
      </c>
      <c r="D2083" s="3">
        <f>'[1]DECEMBER 2023'!D205</f>
        <v>3300</v>
      </c>
      <c r="E2083" s="4">
        <f>'[1]DECEMBER 2023'!E205</f>
        <v>0</v>
      </c>
      <c r="F2083" s="6">
        <f>'[1]DECEMBER 2023'!F205</f>
        <v>0</v>
      </c>
      <c r="G2083" s="4"/>
      <c r="H2083" s="4"/>
    </row>
    <row r="2084" spans="1:8" x14ac:dyDescent="0.2">
      <c r="A2084" s="20">
        <f>'[1]DECEMBER 2023'!A206</f>
        <v>45290</v>
      </c>
      <c r="B2084" s="12" t="str">
        <f>'[1]DECEMBER 2023'!B206</f>
        <v>LM</v>
      </c>
      <c r="C2084" s="3">
        <f>'[1]DECEMBER 2023'!C206</f>
        <v>0</v>
      </c>
      <c r="D2084" s="3">
        <f>'[1]DECEMBER 2023'!D206</f>
        <v>801</v>
      </c>
      <c r="E2084" s="4">
        <f>'[1]DECEMBER 2023'!E206</f>
        <v>0</v>
      </c>
      <c r="F2084" s="6">
        <f>'[1]DECEMBER 2023'!F206</f>
        <v>0</v>
      </c>
      <c r="G2084" s="4"/>
      <c r="H2084" s="4"/>
    </row>
    <row r="2085" spans="1:8" x14ac:dyDescent="0.2">
      <c r="A2085" s="20">
        <f>'[1]DECEMBER 2023'!A212</f>
        <v>45291</v>
      </c>
      <c r="B2085" s="12" t="str">
        <f>'[1]DECEMBER 2023'!B212</f>
        <v>VM</v>
      </c>
      <c r="C2085" s="3">
        <f>'[1]DECEMBER 2023'!C212</f>
        <v>0</v>
      </c>
      <c r="D2085" s="3">
        <f>'[1]DECEMBER 2023'!D212</f>
        <v>1</v>
      </c>
      <c r="E2085" s="4">
        <f>'[1]DECEMBER 2023'!E212</f>
        <v>0</v>
      </c>
      <c r="F2085" s="6">
        <f>'[1]DECEMBER 2023'!F212</f>
        <v>0</v>
      </c>
      <c r="G2085" s="4"/>
      <c r="H2085" s="4"/>
    </row>
    <row r="2086" spans="1:8" x14ac:dyDescent="0.2">
      <c r="A2086" s="23">
        <f>'[1]DECEMBER 2023'!A213</f>
        <v>45291</v>
      </c>
      <c r="B2086" s="12" t="str">
        <f>'[1]DECEMBER 2023'!B213</f>
        <v>LM</v>
      </c>
      <c r="C2086" s="3">
        <f>'[1]DECEMBER 2023'!C213</f>
        <v>0</v>
      </c>
      <c r="D2086" s="3">
        <f>'[1]DECEMBER 2023'!D213</f>
        <v>1487.3899999999999</v>
      </c>
      <c r="E2086" s="4">
        <f>'[1]DECEMBER 2023'!E213</f>
        <v>0</v>
      </c>
      <c r="F2086" s="6">
        <f>'[1]DECEMBER 2023'!F213</f>
        <v>0</v>
      </c>
      <c r="G2086" s="4"/>
      <c r="H2086" s="4"/>
    </row>
    <row r="2087" spans="1:8" x14ac:dyDescent="0.2">
      <c r="A2087" s="20">
        <f>'[1]DECEMBER 2023'!A214</f>
        <v>45291</v>
      </c>
      <c r="B2087" s="12" t="str">
        <f>'[1]DECEMBER 2023'!B214</f>
        <v>Andere</v>
      </c>
      <c r="C2087" s="3">
        <f>'[1]DECEMBER 2023'!C214</f>
        <v>0</v>
      </c>
      <c r="D2087" s="3">
        <f>'[1]DECEMBER 2023'!D214</f>
        <v>1300</v>
      </c>
      <c r="E2087" s="4">
        <f>'[1]DECEMBER 2023'!E214</f>
        <v>0</v>
      </c>
      <c r="F2087" s="6">
        <f>'[1]DECEMBER 2023'!F214</f>
        <v>0</v>
      </c>
      <c r="G2087" s="4"/>
      <c r="H2087" s="4"/>
    </row>
    <row r="2088" spans="1:8" x14ac:dyDescent="0.2">
      <c r="A2088" s="23">
        <f>'[1]DECEMBER 2023'!A215</f>
        <v>45291</v>
      </c>
      <c r="B2088" s="12" t="str">
        <f>'[1]DECEMBER 2023'!B215</f>
        <v>Rauchen</v>
      </c>
      <c r="C2088" s="3">
        <f>'[1]DECEMBER 2023'!C215</f>
        <v>0</v>
      </c>
      <c r="D2088" s="3">
        <f>'[1]DECEMBER 2023'!D215</f>
        <v>1190</v>
      </c>
      <c r="E2088" s="4">
        <f>'[1]DECEMBER 2023'!E215</f>
        <v>0</v>
      </c>
      <c r="F2088" s="6">
        <f>'[1]DECEMBER 2023'!F215</f>
        <v>0</v>
      </c>
      <c r="G2088" s="4"/>
      <c r="H2088" s="4"/>
    </row>
    <row r="2089" spans="1:8" x14ac:dyDescent="0.2">
      <c r="A2089" s="20">
        <f>'[1]DECEMBER 2023'!A216</f>
        <v>45291</v>
      </c>
      <c r="B2089" s="12" t="str">
        <f>'[1]DECEMBER 2023'!B216</f>
        <v>Refill</v>
      </c>
      <c r="C2089" s="3">
        <f>'[1]DECEMBER 2023'!C216</f>
        <v>3223.1499999999996</v>
      </c>
      <c r="D2089" s="3">
        <f>'[1]DECEMBER 2023'!D216</f>
        <v>0</v>
      </c>
      <c r="E2089" s="4">
        <f>'[1]DECEMBER 2023'!E216</f>
        <v>0</v>
      </c>
      <c r="F2089" s="6">
        <f>'[1]DECEMBER 2023'!F216</f>
        <v>0</v>
      </c>
      <c r="G2089" s="4"/>
      <c r="H2089" s="4"/>
    </row>
    <row r="2090" spans="1:8" x14ac:dyDescent="0.2">
      <c r="A2090" s="23">
        <f>'[1]JAN 2024'!A2</f>
        <v>45292</v>
      </c>
      <c r="B2090" s="12" t="str">
        <f>'[1]JAN 2024'!B2</f>
        <v>LM</v>
      </c>
      <c r="C2090" s="3">
        <f>'[1]JAN 2024'!C2</f>
        <v>0</v>
      </c>
      <c r="D2090" s="3">
        <f>'[1]JAN 2024'!D2</f>
        <v>39.979999999999997</v>
      </c>
      <c r="E2090" s="4">
        <f>'[1]JAN 2024'!E2</f>
        <v>0</v>
      </c>
      <c r="F2090" s="6">
        <f>'[1]JAN 2024'!F2</f>
        <v>0</v>
      </c>
      <c r="G2090" s="4"/>
      <c r="H2090" s="4"/>
    </row>
    <row r="2091" spans="1:8" x14ac:dyDescent="0.2">
      <c r="A2091" s="20">
        <f>'[1]JAN 2024'!A3</f>
        <v>45292</v>
      </c>
      <c r="B2091" s="12" t="str">
        <f>'[1]JAN 2024'!B3</f>
        <v>VM</v>
      </c>
      <c r="C2091" s="3">
        <f>'[1]JAN 2024'!C3</f>
        <v>0</v>
      </c>
      <c r="D2091" s="3">
        <f>'[1]JAN 2024'!D3</f>
        <v>0</v>
      </c>
      <c r="E2091" s="4">
        <f>'[1]JAN 2024'!E3</f>
        <v>0</v>
      </c>
      <c r="F2091" s="6">
        <f>'[1]JAN 2024'!F3</f>
        <v>0</v>
      </c>
      <c r="G2091" s="4"/>
      <c r="H2091" s="4"/>
    </row>
    <row r="2092" spans="1:8" x14ac:dyDescent="0.2">
      <c r="A2092" s="23">
        <f>'[1]JAN 2024'!A4</f>
        <v>45292</v>
      </c>
      <c r="B2092" s="12" t="str">
        <f>'[1]JAN 2024'!B4</f>
        <v>Andere</v>
      </c>
      <c r="C2092" s="3">
        <f>'[1]JAN 2024'!C4</f>
        <v>0</v>
      </c>
      <c r="D2092" s="3">
        <f>'[1]JAN 2024'!D4</f>
        <v>0</v>
      </c>
      <c r="E2092" s="4">
        <f>'[1]JAN 2024'!E4</f>
        <v>0</v>
      </c>
      <c r="F2092" s="6">
        <f>'[1]JAN 2024'!F4</f>
        <v>0</v>
      </c>
      <c r="G2092" s="4"/>
      <c r="H2092" s="4"/>
    </row>
    <row r="2093" spans="1:8" x14ac:dyDescent="0.2">
      <c r="A2093" s="20">
        <f>'[1]JAN 2024'!A5</f>
        <v>45292</v>
      </c>
      <c r="B2093" s="12" t="str">
        <f>'[1]JAN 2024'!B5</f>
        <v>for me</v>
      </c>
      <c r="C2093" s="3">
        <f>'[1]JAN 2024'!C5</f>
        <v>0</v>
      </c>
      <c r="D2093" s="3">
        <f>'[1]JAN 2024'!D5</f>
        <v>0</v>
      </c>
      <c r="E2093" s="4">
        <f>'[1]JAN 2024'!E5</f>
        <v>0</v>
      </c>
      <c r="F2093" s="6">
        <f>'[1]JAN 2024'!F5</f>
        <v>0</v>
      </c>
      <c r="G2093" s="4"/>
      <c r="H2093" s="4"/>
    </row>
    <row r="2094" spans="1:8" x14ac:dyDescent="0.2">
      <c r="A2094" s="23">
        <f>'[1]JAN 2024'!A6</f>
        <v>45292</v>
      </c>
      <c r="B2094" s="12" t="str">
        <f>'[1]JAN 2024'!B6</f>
        <v>Party</v>
      </c>
      <c r="C2094" s="3">
        <f>'[1]JAN 2024'!C6</f>
        <v>0</v>
      </c>
      <c r="D2094" s="3">
        <f>'[1]JAN 2024'!D6</f>
        <v>0</v>
      </c>
      <c r="E2094" s="4">
        <f>'[1]JAN 2024'!E6</f>
        <v>0</v>
      </c>
      <c r="F2094" s="6">
        <f>'[1]JAN 2024'!F6</f>
        <v>0</v>
      </c>
      <c r="G2094" s="4"/>
      <c r="H2094" s="4"/>
    </row>
    <row r="2095" spans="1:8" x14ac:dyDescent="0.2">
      <c r="A2095" s="20">
        <f>'[1]JAN 2024'!A7</f>
        <v>45292</v>
      </c>
      <c r="B2095" s="12" t="str">
        <f>'[1]JAN 2024'!B7</f>
        <v>Kleidung</v>
      </c>
      <c r="C2095" s="3">
        <f>'[1]JAN 2024'!C7</f>
        <v>0</v>
      </c>
      <c r="D2095" s="3">
        <f>'[1]JAN 2024'!D7</f>
        <v>0</v>
      </c>
      <c r="E2095" s="4">
        <f>'[1]JAN 2024'!E7</f>
        <v>0</v>
      </c>
      <c r="F2095" s="6">
        <f>'[1]JAN 2024'!F7</f>
        <v>0</v>
      </c>
      <c r="G2095" s="4"/>
      <c r="H2095" s="4"/>
    </row>
    <row r="2096" spans="1:8" x14ac:dyDescent="0.2">
      <c r="A2096" s="23">
        <f>'[1]JAN 2024'!A16</f>
        <v>45294</v>
      </c>
      <c r="B2096" s="12" t="str">
        <f>'[1]JAN 2024'!B16</f>
        <v>LM</v>
      </c>
      <c r="C2096" s="3">
        <f>'[1]JAN 2024'!C16</f>
        <v>0</v>
      </c>
      <c r="D2096" s="3">
        <f>'[1]JAN 2024'!D16</f>
        <v>410</v>
      </c>
      <c r="E2096" s="4">
        <f>'[1]JAN 2024'!E16</f>
        <v>0</v>
      </c>
      <c r="F2096" s="6">
        <f>'[1]JAN 2024'!F16</f>
        <v>0</v>
      </c>
      <c r="G2096" s="4"/>
      <c r="H2096" s="4"/>
    </row>
    <row r="2097" spans="1:8" x14ac:dyDescent="0.2">
      <c r="A2097" s="20">
        <f>'[1]JAN 2024'!A23</f>
        <v>45295</v>
      </c>
      <c r="B2097" s="12" t="str">
        <f>'[1]JAN 2024'!B23</f>
        <v>VM</v>
      </c>
      <c r="C2097" s="3">
        <f>'[1]JAN 2024'!C23</f>
        <v>0</v>
      </c>
      <c r="D2097" s="3">
        <f>'[1]JAN 2024'!D23</f>
        <v>1621.23</v>
      </c>
      <c r="E2097" s="4">
        <f>'[1]JAN 2024'!E23</f>
        <v>0</v>
      </c>
      <c r="F2097" s="6">
        <f>'[1]JAN 2024'!F23</f>
        <v>0</v>
      </c>
      <c r="G2097" s="4"/>
      <c r="H2097" s="4"/>
    </row>
    <row r="2098" spans="1:8" x14ac:dyDescent="0.2">
      <c r="A2098" s="23">
        <f>'[1]JAN 2024'!A24</f>
        <v>45295</v>
      </c>
      <c r="B2098" s="12" t="str">
        <f>'[1]JAN 2024'!B24</f>
        <v>Andere</v>
      </c>
      <c r="C2098" s="3">
        <f>'[1]JAN 2024'!C24</f>
        <v>0</v>
      </c>
      <c r="D2098" s="3">
        <f>'[1]JAN 2024'!D24</f>
        <v>2310</v>
      </c>
      <c r="E2098" s="4">
        <f>'[1]JAN 2024'!E24</f>
        <v>0</v>
      </c>
      <c r="F2098" s="6">
        <f>'[1]JAN 2024'!F24</f>
        <v>0</v>
      </c>
      <c r="G2098" s="4"/>
      <c r="H2098" s="4"/>
    </row>
    <row r="2099" spans="1:8" x14ac:dyDescent="0.2">
      <c r="A2099" s="23">
        <f>'[1]JAN 2024'!A30</f>
        <v>45296</v>
      </c>
      <c r="B2099" s="12" t="str">
        <f>'[1]JAN 2024'!B30</f>
        <v>LM</v>
      </c>
      <c r="C2099" s="3">
        <f>'[1]JAN 2024'!C30</f>
        <v>0</v>
      </c>
      <c r="D2099" s="3">
        <f>'[1]JAN 2024'!D30</f>
        <v>460</v>
      </c>
      <c r="E2099" s="4">
        <f>'[1]JAN 2024'!E30</f>
        <v>0</v>
      </c>
      <c r="F2099" s="6">
        <f>'[1]JAN 2024'!F30</f>
        <v>0</v>
      </c>
      <c r="G2099" s="4"/>
      <c r="H2099" s="4"/>
    </row>
    <row r="2100" spans="1:8" x14ac:dyDescent="0.2">
      <c r="A2100" s="20">
        <f>'[1]JAN 2024'!A31</f>
        <v>45296</v>
      </c>
      <c r="B2100" s="12" t="str">
        <f>'[1]JAN 2024'!B31</f>
        <v>Party</v>
      </c>
      <c r="C2100" s="3">
        <f>'[1]JAN 2024'!C31</f>
        <v>0</v>
      </c>
      <c r="D2100" s="3">
        <f>'[1]JAN 2024'!D31</f>
        <v>3170</v>
      </c>
      <c r="E2100" s="4">
        <f>'[1]JAN 2024'!E31</f>
        <v>0</v>
      </c>
      <c r="F2100" s="6">
        <f>'[1]JAN 2024'!F31</f>
        <v>1100</v>
      </c>
      <c r="G2100" s="4"/>
      <c r="H2100" s="4"/>
    </row>
    <row r="2101" spans="1:8" x14ac:dyDescent="0.2">
      <c r="A2101" s="20">
        <f>'[1]JAN 2024'!A37</f>
        <v>45297</v>
      </c>
      <c r="B2101" s="12" t="str">
        <f>'[1]JAN 2024'!B37</f>
        <v>VM</v>
      </c>
      <c r="C2101" s="3">
        <f>'[1]JAN 2024'!C37</f>
        <v>0</v>
      </c>
      <c r="D2101" s="3">
        <f>'[1]JAN 2024'!D37</f>
        <v>359</v>
      </c>
      <c r="E2101" s="4">
        <f>'[1]JAN 2024'!E37</f>
        <v>0</v>
      </c>
      <c r="F2101" s="6">
        <f>'[1]JAN 2024'!F37</f>
        <v>0</v>
      </c>
      <c r="G2101" s="4"/>
      <c r="H2101" s="4"/>
    </row>
    <row r="2102" spans="1:8" x14ac:dyDescent="0.2">
      <c r="A2102" s="23">
        <f>'[1]JAN 2024'!A44</f>
        <v>45298</v>
      </c>
      <c r="B2102" s="12" t="str">
        <f>'[1]JAN 2024'!B44</f>
        <v>LM</v>
      </c>
      <c r="C2102" s="3">
        <f>'[1]JAN 2024'!C44</f>
        <v>0</v>
      </c>
      <c r="D2102" s="3">
        <f>'[1]JAN 2024'!D44</f>
        <v>1399.89</v>
      </c>
      <c r="E2102" s="4">
        <f>'[1]JAN 2024'!E44</f>
        <v>0</v>
      </c>
      <c r="F2102" s="6">
        <f>'[1]JAN 2024'!F44</f>
        <v>0</v>
      </c>
      <c r="G2102" s="4"/>
      <c r="H2102" s="4"/>
    </row>
    <row r="2103" spans="1:8" x14ac:dyDescent="0.2">
      <c r="A2103" s="20">
        <f>'[1]JAN 2024'!A45</f>
        <v>45298</v>
      </c>
      <c r="B2103" s="12" t="str">
        <f>'[1]JAN 2024'!B45</f>
        <v>Refill</v>
      </c>
      <c r="C2103" s="3">
        <f>'[1]JAN 2024'!C45</f>
        <v>0</v>
      </c>
      <c r="D2103" s="3">
        <f>'[1]JAN 2024'!D45</f>
        <v>0</v>
      </c>
      <c r="E2103" s="4">
        <f>'[1]JAN 2024'!E45</f>
        <v>0</v>
      </c>
      <c r="F2103" s="6">
        <f>'[1]JAN 2024'!F45</f>
        <v>0</v>
      </c>
      <c r="G2103" s="4"/>
      <c r="H2103" s="4"/>
    </row>
    <row r="2104" spans="1:8" x14ac:dyDescent="0.2">
      <c r="A2104" s="20">
        <f>'[1]JAN 2024'!A51</f>
        <v>45299</v>
      </c>
      <c r="B2104" s="12" t="str">
        <f>'[1]JAN 2024'!B51</f>
        <v>Andere</v>
      </c>
      <c r="C2104" s="3">
        <f>'[1]JAN 2024'!C51</f>
        <v>45</v>
      </c>
      <c r="D2104" s="3">
        <f>'[1]JAN 2024'!D51</f>
        <v>0</v>
      </c>
      <c r="E2104" s="4">
        <f>'[1]JAN 2024'!E51</f>
        <v>0</v>
      </c>
      <c r="F2104" s="6">
        <f>'[1]JAN 2024'!F51</f>
        <v>0</v>
      </c>
      <c r="G2104" s="4"/>
      <c r="H2104" s="4"/>
    </row>
    <row r="2105" spans="1:8" x14ac:dyDescent="0.2">
      <c r="A2105" s="23">
        <f>'[1]JAN 2024'!A58</f>
        <v>45300</v>
      </c>
      <c r="B2105" s="12" t="str">
        <f>'[1]JAN 2024'!B58</f>
        <v>Rauchen</v>
      </c>
      <c r="C2105" s="3">
        <f>'[1]JAN 2024'!C58</f>
        <v>0</v>
      </c>
      <c r="D2105" s="3">
        <f>'[1]JAN 2024'!D58</f>
        <v>1190</v>
      </c>
      <c r="E2105" s="4">
        <f>'[1]JAN 2024'!E58</f>
        <v>0</v>
      </c>
      <c r="F2105" s="6">
        <f>'[1]JAN 2024'!F58</f>
        <v>0</v>
      </c>
      <c r="G2105" s="4"/>
      <c r="H2105" s="4"/>
    </row>
    <row r="2106" spans="1:8" x14ac:dyDescent="0.2">
      <c r="A2106" s="20">
        <f>'[1]JAN 2024'!A59</f>
        <v>45300</v>
      </c>
      <c r="B2106" s="12" t="str">
        <f>'[1]JAN 2024'!B59</f>
        <v>Andere</v>
      </c>
      <c r="C2106" s="3">
        <f>'[1]JAN 2024'!C59</f>
        <v>0</v>
      </c>
      <c r="D2106" s="3">
        <f>'[1]JAN 2024'!D59</f>
        <v>252.48</v>
      </c>
      <c r="E2106" s="4">
        <f>'[1]JAN 2024'!E59</f>
        <v>0</v>
      </c>
      <c r="F2106" s="6">
        <f>'[1]JAN 2024'!F59</f>
        <v>0</v>
      </c>
      <c r="G2106" s="4"/>
      <c r="H2106" s="4"/>
    </row>
    <row r="2107" spans="1:8" x14ac:dyDescent="0.2">
      <c r="A2107" s="23">
        <f>'[1]JAN 2024'!A60</f>
        <v>45300</v>
      </c>
      <c r="B2107" s="12" t="str">
        <f>'[1]JAN 2024'!B60</f>
        <v>LM</v>
      </c>
      <c r="C2107" s="3">
        <f>'[1]JAN 2024'!C60</f>
        <v>0</v>
      </c>
      <c r="D2107" s="3">
        <f>'[1]JAN 2024'!D60</f>
        <v>482.06</v>
      </c>
      <c r="E2107" s="4">
        <f>'[1]JAN 2024'!E60</f>
        <v>0</v>
      </c>
      <c r="F2107" s="6">
        <f>'[1]JAN 2024'!F60</f>
        <v>0</v>
      </c>
      <c r="G2107" s="4"/>
      <c r="H2107" s="4"/>
    </row>
    <row r="2108" spans="1:8" x14ac:dyDescent="0.2">
      <c r="A2108" s="20">
        <f>'[1]JAN 2024'!A61</f>
        <v>45300</v>
      </c>
      <c r="B2108" s="12" t="str">
        <f>'[1]JAN 2024'!B61</f>
        <v>none</v>
      </c>
      <c r="C2108" s="3">
        <f>'[1]JAN 2024'!C61</f>
        <v>7.0000000000000007E-2</v>
      </c>
      <c r="D2108" s="3">
        <f>'[1]JAN 2024'!D61</f>
        <v>0</v>
      </c>
      <c r="E2108" s="4">
        <f>'[1]JAN 2024'!E61</f>
        <v>0</v>
      </c>
      <c r="F2108" s="6">
        <f>'[1]JAN 2024'!F61</f>
        <v>0</v>
      </c>
      <c r="G2108" s="4"/>
      <c r="H2108" s="4"/>
    </row>
    <row r="2109" spans="1:8" x14ac:dyDescent="0.2">
      <c r="A2109" s="20">
        <f>'[1]JAN 2024'!A65</f>
        <v>45301</v>
      </c>
      <c r="B2109" s="12" t="str">
        <f>'[1]JAN 2024'!B65</f>
        <v>Andere</v>
      </c>
      <c r="C2109" s="3">
        <f>'[1]JAN 2024'!C65</f>
        <v>0</v>
      </c>
      <c r="D2109" s="3">
        <f>'[1]JAN 2024'!D65</f>
        <v>3148</v>
      </c>
      <c r="E2109" s="4">
        <f>'[1]JAN 2024'!E65</f>
        <v>0</v>
      </c>
      <c r="F2109" s="6">
        <f>'[1]JAN 2024'!F65</f>
        <v>0</v>
      </c>
      <c r="G2109" s="4"/>
      <c r="H2109" s="4"/>
    </row>
    <row r="2110" spans="1:8" x14ac:dyDescent="0.2">
      <c r="A2110" s="23">
        <f>'[1]JAN 2024'!A72</f>
        <v>45302</v>
      </c>
      <c r="B2110" s="12" t="str">
        <f>'[1]JAN 2024'!B72</f>
        <v>VM</v>
      </c>
      <c r="C2110" s="3">
        <f>'[1]JAN 2024'!C72</f>
        <v>0</v>
      </c>
      <c r="D2110" s="3">
        <f>'[1]JAN 2024'!D72</f>
        <v>120</v>
      </c>
      <c r="E2110" s="4">
        <f>'[1]JAN 2024'!E72</f>
        <v>0</v>
      </c>
      <c r="F2110" s="6">
        <f>'[1]JAN 2024'!F72</f>
        <v>0</v>
      </c>
      <c r="G2110" s="4"/>
      <c r="H2110" s="4"/>
    </row>
    <row r="2111" spans="1:8" x14ac:dyDescent="0.2">
      <c r="A2111" s="23">
        <f>'[1]JAN 2024'!A86</f>
        <v>45304</v>
      </c>
      <c r="B2111" s="12" t="str">
        <f>'[1]JAN 2024'!B86</f>
        <v>Andere</v>
      </c>
      <c r="C2111" s="3">
        <f>'[1]JAN 2024'!C86</f>
        <v>0</v>
      </c>
      <c r="D2111" s="3">
        <f>'[1]JAN 2024'!D86</f>
        <v>379</v>
      </c>
      <c r="E2111" s="4">
        <f>'[1]JAN 2024'!E86</f>
        <v>0</v>
      </c>
      <c r="F2111" s="6">
        <f>'[1]JAN 2024'!F86</f>
        <v>0</v>
      </c>
      <c r="G2111" s="4"/>
      <c r="H2111" s="4"/>
    </row>
    <row r="2112" spans="1:8" x14ac:dyDescent="0.2">
      <c r="A2112" s="20">
        <f>'[1]JAN 2024'!A87</f>
        <v>45304</v>
      </c>
      <c r="B2112" s="12" t="str">
        <f>'[1]JAN 2024'!B87</f>
        <v>Andere</v>
      </c>
      <c r="C2112" s="3">
        <f>'[1]JAN 2024'!C87</f>
        <v>0</v>
      </c>
      <c r="D2112" s="3">
        <f>'[1]JAN 2024'!D87</f>
        <v>6800</v>
      </c>
      <c r="E2112" s="4">
        <f>'[1]JAN 2024'!E87</f>
        <v>0</v>
      </c>
      <c r="F2112" s="6">
        <f>'[1]JAN 2024'!F87</f>
        <v>0</v>
      </c>
      <c r="G2112" s="4"/>
      <c r="H2112" s="4"/>
    </row>
    <row r="2113" spans="1:8" x14ac:dyDescent="0.2">
      <c r="A2113" s="20">
        <f>'[1]JAN 2024'!A93</f>
        <v>45305</v>
      </c>
      <c r="B2113" s="12" t="str">
        <f>'[1]JAN 2024'!B93</f>
        <v>Andere</v>
      </c>
      <c r="C2113" s="3">
        <f>'[1]JAN 2024'!C93</f>
        <v>0</v>
      </c>
      <c r="D2113" s="3">
        <f>'[1]JAN 2024'!D93</f>
        <v>300</v>
      </c>
      <c r="E2113" s="4">
        <f>'[1]JAN 2024'!E93</f>
        <v>0</v>
      </c>
      <c r="F2113" s="6">
        <f>'[1]JAN 2024'!F93</f>
        <v>0</v>
      </c>
      <c r="G2113" s="4"/>
      <c r="H2113" s="4"/>
    </row>
    <row r="2114" spans="1:8" x14ac:dyDescent="0.2">
      <c r="A2114" s="23">
        <f>'[1]JAN 2024'!A94</f>
        <v>45305</v>
      </c>
      <c r="B2114" s="12" t="str">
        <f>'[1]JAN 2024'!B94</f>
        <v>LM</v>
      </c>
      <c r="C2114" s="3">
        <f>'[1]JAN 2024'!C94</f>
        <v>0</v>
      </c>
      <c r="D2114" s="3">
        <f>'[1]JAN 2024'!D94</f>
        <v>350</v>
      </c>
      <c r="E2114" s="4">
        <f>'[1]JAN 2024'!E94</f>
        <v>0</v>
      </c>
      <c r="F2114" s="6">
        <f>'[1]JAN 2024'!F94</f>
        <v>0</v>
      </c>
      <c r="G2114" s="4"/>
      <c r="H2114" s="4"/>
    </row>
    <row r="2115" spans="1:8" x14ac:dyDescent="0.2">
      <c r="A2115" s="20">
        <f>'[1]JAN 2024'!A95</f>
        <v>45305</v>
      </c>
      <c r="B2115" s="12" t="str">
        <f>'[1]JAN 2024'!B95</f>
        <v>VM</v>
      </c>
      <c r="C2115" s="3">
        <f>'[1]JAN 2024'!C95</f>
        <v>0</v>
      </c>
      <c r="D2115" s="3">
        <f>'[1]JAN 2024'!D95</f>
        <v>1902</v>
      </c>
      <c r="E2115" s="4">
        <f>'[1]JAN 2024'!E95</f>
        <v>0</v>
      </c>
      <c r="F2115" s="6">
        <f>'[1]JAN 2024'!F95</f>
        <v>0</v>
      </c>
      <c r="G2115" s="4"/>
      <c r="H2115" s="4"/>
    </row>
    <row r="2116" spans="1:8" x14ac:dyDescent="0.2">
      <c r="A2116" s="23">
        <f>'[1]JAN 2024'!A100</f>
        <v>45306</v>
      </c>
      <c r="B2116" s="12" t="str">
        <f>'[1]JAN 2024'!B100</f>
        <v>Andere</v>
      </c>
      <c r="C2116" s="3">
        <f>'[1]JAN 2024'!C100</f>
        <v>0</v>
      </c>
      <c r="D2116" s="3">
        <f>'[1]JAN 2024'!D100</f>
        <v>4575</v>
      </c>
      <c r="E2116" s="4">
        <f>'[1]JAN 2024'!E100</f>
        <v>0</v>
      </c>
      <c r="F2116" s="6">
        <f>'[1]JAN 2024'!F100</f>
        <v>0</v>
      </c>
      <c r="G2116" s="4"/>
      <c r="H2116" s="4"/>
    </row>
    <row r="2117" spans="1:8" x14ac:dyDescent="0.2">
      <c r="A2117" s="20">
        <f>'[1]JAN 2024'!A101</f>
        <v>45306</v>
      </c>
      <c r="B2117" s="12" t="str">
        <f>'[1]JAN 2024'!B101</f>
        <v>Andere</v>
      </c>
      <c r="C2117" s="3">
        <f>'[1]JAN 2024'!C101</f>
        <v>0</v>
      </c>
      <c r="D2117" s="3">
        <f>'[1]JAN 2024'!D101</f>
        <v>800</v>
      </c>
      <c r="E2117" s="4">
        <f>'[1]JAN 2024'!E101</f>
        <v>0</v>
      </c>
      <c r="F2117" s="6">
        <f>'[1]JAN 2024'!F101</f>
        <v>0</v>
      </c>
      <c r="G2117" s="4"/>
      <c r="H2117" s="4"/>
    </row>
    <row r="2118" spans="1:8" x14ac:dyDescent="0.2">
      <c r="A2118" s="23">
        <f>'[1]JAN 2024'!A102</f>
        <v>45306</v>
      </c>
      <c r="B2118" s="12" t="str">
        <f>'[1]JAN 2024'!B102</f>
        <v>Party</v>
      </c>
      <c r="C2118" s="3">
        <f>'[1]JAN 2024'!C102</f>
        <v>0</v>
      </c>
      <c r="D2118" s="3">
        <f>'[1]JAN 2024'!D102</f>
        <v>600</v>
      </c>
      <c r="E2118" s="4">
        <f>'[1]JAN 2024'!E102</f>
        <v>0</v>
      </c>
      <c r="F2118" s="6">
        <f>'[1]JAN 2024'!F102</f>
        <v>0</v>
      </c>
      <c r="G2118" s="4"/>
      <c r="H2118" s="4"/>
    </row>
    <row r="2119" spans="1:8" x14ac:dyDescent="0.2">
      <c r="A2119" s="20">
        <f>'[1]JAN 2024'!A103</f>
        <v>45306</v>
      </c>
      <c r="B2119" s="12" t="str">
        <f>'[1]JAN 2024'!B103</f>
        <v>none</v>
      </c>
      <c r="C2119" s="3">
        <f>'[1]JAN 2024'!C103</f>
        <v>0</v>
      </c>
      <c r="D2119" s="3">
        <f>'[1]JAN 2024'!D103</f>
        <v>900</v>
      </c>
      <c r="E2119" s="4">
        <f>'[1]JAN 2024'!E103</f>
        <v>900</v>
      </c>
      <c r="F2119" s="6">
        <f>'[1]JAN 2024'!F103</f>
        <v>0</v>
      </c>
      <c r="G2119" s="4"/>
      <c r="H2119" s="4"/>
    </row>
    <row r="2120" spans="1:8" x14ac:dyDescent="0.2">
      <c r="A2120" s="20">
        <f>'[1]JAN 2024'!A107</f>
        <v>45307</v>
      </c>
      <c r="B2120" s="12" t="str">
        <f>'[1]JAN 2024'!B107</f>
        <v>LM</v>
      </c>
      <c r="C2120" s="3">
        <f>'[1]JAN 2024'!C107</f>
        <v>0</v>
      </c>
      <c r="D2120" s="3">
        <f>'[1]JAN 2024'!D107</f>
        <v>2051.1999999999998</v>
      </c>
      <c r="E2120" s="4">
        <f>'[1]JAN 2024'!E107</f>
        <v>0</v>
      </c>
      <c r="F2120" s="6">
        <f>'[1]JAN 2024'!F107</f>
        <v>0</v>
      </c>
      <c r="G2120" s="4"/>
      <c r="H2120" s="4"/>
    </row>
    <row r="2121" spans="1:8" x14ac:dyDescent="0.2">
      <c r="A2121" s="23">
        <f>'[1]JAN 2024'!A108</f>
        <v>45307</v>
      </c>
      <c r="B2121" s="12" t="str">
        <f>'[1]JAN 2024'!B108</f>
        <v>Andere</v>
      </c>
      <c r="C2121" s="3">
        <f>'[1]JAN 2024'!C108</f>
        <v>0</v>
      </c>
      <c r="D2121" s="3">
        <f>'[1]JAN 2024'!D108</f>
        <v>1000</v>
      </c>
      <c r="E2121" s="4">
        <f>'[1]JAN 2024'!E108</f>
        <v>0</v>
      </c>
      <c r="F2121" s="6">
        <f>'[1]JAN 2024'!F108</f>
        <v>0</v>
      </c>
      <c r="G2121" s="4"/>
      <c r="H2121" s="4"/>
    </row>
    <row r="2122" spans="1:8" x14ac:dyDescent="0.2">
      <c r="A2122" s="23">
        <f>'[1]JAN 2024'!A114</f>
        <v>45308</v>
      </c>
      <c r="B2122" s="12" t="str">
        <f>'[1]JAN 2024'!B114</f>
        <v>rent</v>
      </c>
      <c r="C2122" s="3">
        <f>'[1]JAN 2024'!C114</f>
        <v>0</v>
      </c>
      <c r="D2122" s="3">
        <f>'[1]JAN 2024'!D114</f>
        <v>0</v>
      </c>
      <c r="E2122" s="4">
        <f>'[1]JAN 2024'!E114</f>
        <v>0</v>
      </c>
      <c r="F2122" s="6">
        <f>'[1]JAN 2024'!F114</f>
        <v>55061</v>
      </c>
      <c r="G2122" s="4"/>
      <c r="H2122" s="4"/>
    </row>
    <row r="2123" spans="1:8" x14ac:dyDescent="0.2">
      <c r="A2123" s="20">
        <f>'[1]JAN 2024'!A115</f>
        <v>45308</v>
      </c>
      <c r="B2123" s="12" t="str">
        <f>'[1]JAN 2024'!B115</f>
        <v>none</v>
      </c>
      <c r="C2123" s="3">
        <f>'[1]JAN 2024'!C115</f>
        <v>0</v>
      </c>
      <c r="D2123" s="3">
        <f>'[1]JAN 2024'!D115</f>
        <v>55000</v>
      </c>
      <c r="E2123" s="4">
        <f>'[1]JAN 2024'!E115</f>
        <v>55000</v>
      </c>
      <c r="F2123" s="6">
        <f>'[1]JAN 2024'!F115</f>
        <v>0</v>
      </c>
      <c r="G2123" s="4"/>
      <c r="H2123" s="4"/>
    </row>
    <row r="2124" spans="1:8" x14ac:dyDescent="0.2">
      <c r="A2124" s="23">
        <f>'[1]JAN 2024'!A116</f>
        <v>45308</v>
      </c>
      <c r="B2124" s="12" t="str">
        <f>'[1]JAN 2024'!B116</f>
        <v>LM</v>
      </c>
      <c r="C2124" s="3">
        <f>'[1]JAN 2024'!C116</f>
        <v>0</v>
      </c>
      <c r="D2124" s="3">
        <f>'[1]JAN 2024'!D116</f>
        <v>545</v>
      </c>
      <c r="E2124" s="4">
        <f>'[1]JAN 2024'!E116</f>
        <v>0</v>
      </c>
      <c r="F2124" s="6">
        <f>'[1]JAN 2024'!F116</f>
        <v>0</v>
      </c>
      <c r="G2124" s="4"/>
      <c r="H2124" s="4"/>
    </row>
    <row r="2125" spans="1:8" x14ac:dyDescent="0.2">
      <c r="A2125" s="20">
        <f>'[1]JAN 2024'!A117</f>
        <v>45308</v>
      </c>
      <c r="B2125" s="12" t="str">
        <f>'[1]JAN 2024'!B117</f>
        <v>Rauchen</v>
      </c>
      <c r="C2125" s="3">
        <f>'[1]JAN 2024'!C117</f>
        <v>0</v>
      </c>
      <c r="D2125" s="3">
        <f>'[1]JAN 2024'!D117</f>
        <v>170</v>
      </c>
      <c r="E2125" s="4">
        <f>'[1]JAN 2024'!E117</f>
        <v>0</v>
      </c>
      <c r="F2125" s="6">
        <f>'[1]JAN 2024'!F117</f>
        <v>0</v>
      </c>
      <c r="G2125" s="4"/>
      <c r="H2125" s="4"/>
    </row>
    <row r="2126" spans="1:8" x14ac:dyDescent="0.2">
      <c r="A2126" s="23">
        <f>'[1]JAN 2024'!A118</f>
        <v>45308</v>
      </c>
      <c r="B2126" s="12" t="str">
        <f>'[1]JAN 2024'!B118</f>
        <v>for me</v>
      </c>
      <c r="C2126" s="3">
        <f>'[1]JAN 2024'!C118</f>
        <v>0</v>
      </c>
      <c r="D2126" s="3">
        <f>'[1]JAN 2024'!D118</f>
        <v>0</v>
      </c>
      <c r="E2126" s="4">
        <f>'[1]JAN 2024'!E118</f>
        <v>0</v>
      </c>
      <c r="F2126" s="6">
        <f>'[1]JAN 2024'!F118</f>
        <v>707</v>
      </c>
      <c r="G2126" s="4"/>
      <c r="H2126" s="4"/>
    </row>
    <row r="2127" spans="1:8" x14ac:dyDescent="0.2">
      <c r="A2127" s="20">
        <f>'[1]JAN 2024'!A119</f>
        <v>45308</v>
      </c>
      <c r="B2127" s="12" t="str">
        <f>'[1]JAN 2024'!B119</f>
        <v>Kleidung</v>
      </c>
      <c r="C2127" s="3">
        <f>'[1]JAN 2024'!C119</f>
        <v>0</v>
      </c>
      <c r="D2127" s="3">
        <f>'[1]JAN 2024'!D119</f>
        <v>2526</v>
      </c>
      <c r="E2127" s="4">
        <f>'[1]JAN 2024'!E119</f>
        <v>0</v>
      </c>
      <c r="F2127" s="6">
        <f>'[1]JAN 2024'!F119</f>
        <v>0</v>
      </c>
      <c r="G2127" s="4"/>
      <c r="H2127" s="4"/>
    </row>
    <row r="2128" spans="1:8" x14ac:dyDescent="0.2">
      <c r="A2128" s="23">
        <f>'[1]JAN 2024'!A120</f>
        <v>45308</v>
      </c>
      <c r="B2128" s="12" t="str">
        <f>'[1]JAN 2024'!B120</f>
        <v>VM</v>
      </c>
      <c r="C2128" s="3">
        <f>'[1]JAN 2024'!C120</f>
        <v>2500</v>
      </c>
      <c r="D2128" s="3">
        <f>'[1]JAN 2024'!D120</f>
        <v>2265</v>
      </c>
      <c r="E2128" s="4">
        <f>'[1]JAN 2024'!E120</f>
        <v>0</v>
      </c>
      <c r="F2128" s="6">
        <f>'[1]JAN 2024'!F120</f>
        <v>0</v>
      </c>
      <c r="G2128" s="4"/>
      <c r="H2128" s="4"/>
    </row>
    <row r="2129" spans="1:8" x14ac:dyDescent="0.2">
      <c r="A2129" s="23">
        <f>'[1]JAN 2024'!A122</f>
        <v>45309</v>
      </c>
      <c r="B2129" s="12" t="str">
        <f>'[1]JAN 2024'!B122</f>
        <v>LM</v>
      </c>
      <c r="C2129" s="3">
        <f>'[1]JAN 2024'!C122</f>
        <v>0</v>
      </c>
      <c r="D2129" s="3">
        <f>'[1]JAN 2024'!D122</f>
        <v>1170</v>
      </c>
      <c r="E2129" s="4">
        <f>'[1]JAN 2024'!E122</f>
        <v>0</v>
      </c>
      <c r="F2129" s="6">
        <f>'[1]JAN 2024'!F122</f>
        <v>0</v>
      </c>
      <c r="G2129" s="4"/>
      <c r="H2129" s="4"/>
    </row>
    <row r="2130" spans="1:8" x14ac:dyDescent="0.2">
      <c r="A2130" s="20">
        <f>'[1]JAN 2024'!A123</f>
        <v>45309</v>
      </c>
      <c r="B2130" s="12" t="str">
        <f>'[1]JAN 2024'!B123</f>
        <v>Refill</v>
      </c>
      <c r="C2130" s="3">
        <f>'[1]JAN 2024'!C123</f>
        <v>4600</v>
      </c>
      <c r="D2130" s="3">
        <f>'[1]JAN 2024'!D123</f>
        <v>0</v>
      </c>
      <c r="E2130" s="4">
        <f>'[1]JAN 2024'!E123</f>
        <v>0</v>
      </c>
      <c r="F2130" s="6">
        <f>'[1]JAN 2024'!F123</f>
        <v>0</v>
      </c>
      <c r="G2130" s="4"/>
      <c r="H2130" s="4"/>
    </row>
    <row r="2131" spans="1:8" x14ac:dyDescent="0.2">
      <c r="A2131" s="23">
        <f>'[1]JAN 2024'!A124</f>
        <v>45309</v>
      </c>
      <c r="B2131" s="12" t="str">
        <f>'[1]JAN 2024'!B124</f>
        <v>VM</v>
      </c>
      <c r="C2131" s="3">
        <f>'[1]JAN 2024'!C124</f>
        <v>0</v>
      </c>
      <c r="D2131" s="3">
        <f>'[1]JAN 2024'!D124</f>
        <v>183</v>
      </c>
      <c r="E2131" s="4">
        <f>'[1]JAN 2024'!E124</f>
        <v>0</v>
      </c>
      <c r="F2131" s="6">
        <f>'[1]JAN 2024'!F124</f>
        <v>0</v>
      </c>
      <c r="G2131" s="4"/>
      <c r="H2131" s="4"/>
    </row>
    <row r="2132" spans="1:8" x14ac:dyDescent="0.2">
      <c r="A2132" s="20">
        <f>'[1]JAN 2024'!A125</f>
        <v>45309</v>
      </c>
      <c r="B2132" s="12" t="str">
        <f>'[1]JAN 2024'!B125</f>
        <v>none</v>
      </c>
      <c r="C2132" s="3">
        <f>'[1]JAN 2024'!C125</f>
        <v>0</v>
      </c>
      <c r="D2132" s="3">
        <f>'[1]JAN 2024'!D125</f>
        <v>780</v>
      </c>
      <c r="E2132" s="4">
        <f>'[1]JAN 2024'!E125</f>
        <v>780</v>
      </c>
      <c r="F2132" s="6">
        <f>'[1]JAN 2024'!F125</f>
        <v>0</v>
      </c>
      <c r="G2132" s="4"/>
      <c r="H2132" s="4"/>
    </row>
    <row r="2133" spans="1:8" x14ac:dyDescent="0.2">
      <c r="A2133" s="23">
        <f>'[1]JAN 2024'!A128</f>
        <v>45310</v>
      </c>
      <c r="B2133" s="12" t="str">
        <f>'[1]JAN 2024'!B128</f>
        <v>Party</v>
      </c>
      <c r="C2133" s="3">
        <f>'[1]JAN 2024'!C128</f>
        <v>0</v>
      </c>
      <c r="D2133" s="3">
        <f>'[1]JAN 2024'!D128</f>
        <v>775</v>
      </c>
      <c r="E2133" s="4">
        <f>'[1]JAN 2024'!E128</f>
        <v>0</v>
      </c>
      <c r="F2133" s="6">
        <f>'[1]JAN 2024'!F128</f>
        <v>0</v>
      </c>
      <c r="G2133" s="4"/>
      <c r="H2133" s="4"/>
    </row>
    <row r="2134" spans="1:8" x14ac:dyDescent="0.2">
      <c r="A2134" s="20">
        <f>'[1]JAN 2024'!A129</f>
        <v>45310</v>
      </c>
      <c r="B2134" s="12" t="str">
        <f>'[1]JAN 2024'!B129</f>
        <v>VM</v>
      </c>
      <c r="C2134" s="3">
        <f>'[1]JAN 2024'!C129</f>
        <v>0</v>
      </c>
      <c r="D2134" s="3">
        <f>'[1]JAN 2024'!D129</f>
        <v>122</v>
      </c>
      <c r="E2134" s="4">
        <f>'[1]JAN 2024'!E129</f>
        <v>0</v>
      </c>
      <c r="F2134" s="6">
        <f>'[1]JAN 2024'!F129</f>
        <v>0</v>
      </c>
      <c r="G2134" s="4"/>
      <c r="H2134" s="4"/>
    </row>
    <row r="2135" spans="1:8" x14ac:dyDescent="0.2">
      <c r="A2135" s="23">
        <f>'[1]JAN 2024'!A130</f>
        <v>45310</v>
      </c>
      <c r="B2135" s="12" t="str">
        <f>'[1]JAN 2024'!B130</f>
        <v>VM</v>
      </c>
      <c r="C2135" s="3">
        <f>'[1]JAN 2024'!C130</f>
        <v>0</v>
      </c>
      <c r="D2135" s="3">
        <f>'[1]JAN 2024'!D130</f>
        <v>1899</v>
      </c>
      <c r="E2135" s="4">
        <f>'[1]JAN 2024'!E130</f>
        <v>0</v>
      </c>
      <c r="F2135" s="6">
        <f>'[1]JAN 2024'!F130</f>
        <v>0</v>
      </c>
      <c r="G2135" s="4"/>
      <c r="H2135" s="4"/>
    </row>
    <row r="2136" spans="1:8" x14ac:dyDescent="0.2">
      <c r="A2136" s="20">
        <f>'[1]JAN 2024'!A131</f>
        <v>45310</v>
      </c>
      <c r="B2136" s="12" t="str">
        <f>'[1]JAN 2024'!B131</f>
        <v>VM</v>
      </c>
      <c r="C2136" s="3">
        <f>'[1]JAN 2024'!C131</f>
        <v>0</v>
      </c>
      <c r="D2136" s="3">
        <f>'[1]JAN 2024'!D131</f>
        <v>1350</v>
      </c>
      <c r="E2136" s="4">
        <f>'[1]JAN 2024'!E131</f>
        <v>0</v>
      </c>
      <c r="F2136" s="6">
        <f>'[1]JAN 2024'!F131</f>
        <v>0</v>
      </c>
      <c r="G2136" s="4"/>
      <c r="H2136" s="4"/>
    </row>
    <row r="2137" spans="1:8" x14ac:dyDescent="0.2">
      <c r="A2137" s="23">
        <f>'[1]JAN 2024'!A142</f>
        <v>45312</v>
      </c>
      <c r="B2137" s="12" t="str">
        <f>'[1]JAN 2024'!B142</f>
        <v>Party</v>
      </c>
      <c r="C2137" s="3">
        <f>'[1]JAN 2024'!C142</f>
        <v>0</v>
      </c>
      <c r="D2137" s="3">
        <f>'[1]JAN 2024'!D142</f>
        <v>4500</v>
      </c>
      <c r="E2137" s="4">
        <f>'[1]JAN 2024'!E142</f>
        <v>0</v>
      </c>
      <c r="F2137" s="6">
        <f>'[1]JAN 2024'!F142</f>
        <v>0</v>
      </c>
      <c r="G2137" s="4"/>
      <c r="H2137" s="4"/>
    </row>
    <row r="2138" spans="1:8" x14ac:dyDescent="0.2">
      <c r="A2138" s="20">
        <f>'[1]JAN 2024'!A143</f>
        <v>45312</v>
      </c>
      <c r="B2138" s="12" t="str">
        <f>'[1]JAN 2024'!B143</f>
        <v>VM</v>
      </c>
      <c r="C2138" s="3">
        <f>'[1]JAN 2024'!C143</f>
        <v>0</v>
      </c>
      <c r="D2138" s="3">
        <f>'[1]JAN 2024'!D143</f>
        <v>61</v>
      </c>
      <c r="E2138" s="4">
        <f>'[1]JAN 2024'!E143</f>
        <v>0</v>
      </c>
      <c r="F2138" s="6">
        <f>'[1]JAN 2024'!F143</f>
        <v>0</v>
      </c>
      <c r="G2138" s="4"/>
      <c r="H2138" s="4"/>
    </row>
    <row r="2139" spans="1:8" x14ac:dyDescent="0.2">
      <c r="A2139" s="23">
        <f>'[1]JAN 2024'!A144</f>
        <v>45312</v>
      </c>
      <c r="B2139" s="12" t="str">
        <f>'[1]JAN 2024'!B144</f>
        <v>LM</v>
      </c>
      <c r="C2139" s="3">
        <f>'[1]JAN 2024'!C144</f>
        <v>0</v>
      </c>
      <c r="D2139" s="3">
        <f>'[1]JAN 2024'!D144</f>
        <v>300</v>
      </c>
      <c r="E2139" s="4">
        <f>'[1]JAN 2024'!E144</f>
        <v>0</v>
      </c>
      <c r="F2139" s="6">
        <f>'[1]JAN 2024'!F144</f>
        <v>0</v>
      </c>
      <c r="G2139" s="4"/>
      <c r="H2139" s="4"/>
    </row>
    <row r="2140" spans="1:8" x14ac:dyDescent="0.2">
      <c r="A2140" s="20">
        <f>'[1]JAN 2024'!A145</f>
        <v>45312</v>
      </c>
      <c r="B2140" s="12" t="str">
        <f>'[1]JAN 2024'!B145</f>
        <v>LM</v>
      </c>
      <c r="C2140" s="3">
        <f>'[1]JAN 2024'!C145</f>
        <v>0</v>
      </c>
      <c r="D2140" s="3">
        <f>'[1]JAN 2024'!D145</f>
        <v>309.99</v>
      </c>
      <c r="E2140" s="4">
        <f>'[1]JAN 2024'!E145</f>
        <v>0</v>
      </c>
      <c r="F2140" s="6">
        <f>'[1]JAN 2024'!F145</f>
        <v>0</v>
      </c>
      <c r="G2140" s="4"/>
      <c r="H2140" s="4"/>
    </row>
    <row r="2141" spans="1:8" x14ac:dyDescent="0.2">
      <c r="A2141" s="23">
        <f>'[1]JAN 2024'!A146</f>
        <v>45312</v>
      </c>
      <c r="B2141" s="12" t="str">
        <f>'[1]JAN 2024'!B146</f>
        <v>VM</v>
      </c>
      <c r="C2141" s="3">
        <f>'[1]JAN 2024'!C146</f>
        <v>0</v>
      </c>
      <c r="D2141" s="3">
        <f>'[1]JAN 2024'!D146</f>
        <v>122</v>
      </c>
      <c r="E2141" s="4">
        <f>'[1]JAN 2024'!E146</f>
        <v>0</v>
      </c>
      <c r="F2141" s="6">
        <f>'[1]JAN 2024'!F146</f>
        <v>0</v>
      </c>
      <c r="G2141" s="4"/>
      <c r="H2141" s="4"/>
    </row>
    <row r="2142" spans="1:8" x14ac:dyDescent="0.2">
      <c r="A2142" s="20">
        <f>'[1]JAN 2024'!A147</f>
        <v>45312</v>
      </c>
      <c r="B2142" s="12" t="str">
        <f>'[1]JAN 2024'!B147</f>
        <v>Rauchen</v>
      </c>
      <c r="C2142" s="3">
        <f>'[1]JAN 2024'!C147</f>
        <v>0</v>
      </c>
      <c r="D2142" s="3">
        <f>'[1]JAN 2024'!D147</f>
        <v>0</v>
      </c>
      <c r="E2142" s="4">
        <f>'[1]JAN 2024'!E147</f>
        <v>0</v>
      </c>
      <c r="F2142" s="6">
        <f>'[1]JAN 2024'!F147</f>
        <v>150</v>
      </c>
      <c r="G2142" s="4"/>
      <c r="H2142" s="4"/>
    </row>
    <row r="2143" spans="1:8" x14ac:dyDescent="0.2">
      <c r="A2143" s="20">
        <f>'[1]JAN 2024'!A149</f>
        <v>45313</v>
      </c>
      <c r="B2143" s="12" t="str">
        <f>'[1]JAN 2024'!B149</f>
        <v>LM</v>
      </c>
      <c r="C2143" s="3">
        <f>'[1]JAN 2024'!C149</f>
        <v>0</v>
      </c>
      <c r="D2143" s="3">
        <f>'[1]JAN 2024'!D149</f>
        <v>1536.85</v>
      </c>
      <c r="E2143" s="4">
        <f>'[1]JAN 2024'!E149</f>
        <v>0</v>
      </c>
      <c r="F2143" s="6">
        <f>'[1]JAN 2024'!F149</f>
        <v>0</v>
      </c>
      <c r="G2143" s="4"/>
      <c r="H2143" s="4"/>
    </row>
    <row r="2144" spans="1:8" x14ac:dyDescent="0.2">
      <c r="A2144" s="23">
        <f>'[1]JAN 2024'!A150</f>
        <v>45313</v>
      </c>
      <c r="B2144" s="12" t="str">
        <f>'[1]JAN 2024'!B150</f>
        <v>Andere</v>
      </c>
      <c r="C2144" s="3">
        <f>'[1]JAN 2024'!C150</f>
        <v>0</v>
      </c>
      <c r="D2144" s="3">
        <f>'[1]JAN 2024'!D150</f>
        <v>87.75</v>
      </c>
      <c r="E2144" s="4">
        <f>'[1]JAN 2024'!E150</f>
        <v>0</v>
      </c>
      <c r="F2144" s="6">
        <f>'[1]JAN 2024'!F150</f>
        <v>0</v>
      </c>
      <c r="G2144" s="4"/>
      <c r="H2144" s="4"/>
    </row>
    <row r="2145" spans="1:8" x14ac:dyDescent="0.2">
      <c r="A2145" s="23">
        <f>'[1]JAN 2024'!A156</f>
        <v>45314</v>
      </c>
      <c r="B2145" s="12" t="str">
        <f>'[1]JAN 2024'!B156</f>
        <v>LM</v>
      </c>
      <c r="C2145" s="3">
        <f>'[1]JAN 2024'!C156</f>
        <v>0</v>
      </c>
      <c r="D2145" s="3">
        <f>'[1]JAN 2024'!D156</f>
        <v>384</v>
      </c>
      <c r="E2145" s="4">
        <f>'[1]JAN 2024'!E156</f>
        <v>0</v>
      </c>
      <c r="F2145" s="6">
        <f>'[1]JAN 2024'!F156</f>
        <v>0</v>
      </c>
      <c r="G2145" s="4"/>
      <c r="H2145" s="4"/>
    </row>
    <row r="2146" spans="1:8" x14ac:dyDescent="0.2">
      <c r="A2146" s="20">
        <f>'[1]JAN 2024'!A157</f>
        <v>45314</v>
      </c>
      <c r="B2146" s="12" t="str">
        <f>'[1]JAN 2024'!B157</f>
        <v>Rauchen</v>
      </c>
      <c r="C2146" s="3">
        <f>'[1]JAN 2024'!C157</f>
        <v>0</v>
      </c>
      <c r="D2146" s="3">
        <f>'[1]JAN 2024'!D157</f>
        <v>170</v>
      </c>
      <c r="E2146" s="4">
        <f>'[1]JAN 2024'!E157</f>
        <v>0</v>
      </c>
      <c r="F2146" s="6">
        <f>'[1]JAN 2024'!F157</f>
        <v>0</v>
      </c>
      <c r="G2146" s="4"/>
      <c r="H2146" s="4"/>
    </row>
    <row r="2147" spans="1:8" x14ac:dyDescent="0.2">
      <c r="A2147" s="23">
        <f>'[1]JAN 2024'!A158</f>
        <v>45314</v>
      </c>
      <c r="B2147" s="12" t="str">
        <f>'[1]JAN 2024'!B158</f>
        <v>Party</v>
      </c>
      <c r="C2147" s="3">
        <f>'[1]JAN 2024'!C158</f>
        <v>0</v>
      </c>
      <c r="D2147" s="3">
        <f>'[1]JAN 2024'!D158</f>
        <v>1900</v>
      </c>
      <c r="E2147" s="4">
        <f>'[1]JAN 2024'!E158</f>
        <v>0</v>
      </c>
      <c r="F2147" s="6">
        <f>'[1]JAN 2024'!F158</f>
        <v>0</v>
      </c>
      <c r="G2147" s="4"/>
      <c r="H2147" s="4"/>
    </row>
    <row r="2148" spans="1:8" x14ac:dyDescent="0.2">
      <c r="A2148" s="20">
        <f>'[1]JAN 2024'!A163</f>
        <v>45315</v>
      </c>
      <c r="B2148" s="12" t="str">
        <f>'[1]JAN 2024'!B163</f>
        <v>Refill</v>
      </c>
      <c r="C2148" s="3">
        <f>'[1]JAN 2024'!C163</f>
        <v>7042.9</v>
      </c>
      <c r="D2148" s="3">
        <f>'[1]JAN 2024'!D163</f>
        <v>0</v>
      </c>
      <c r="E2148" s="4">
        <f>'[1]JAN 2024'!E163</f>
        <v>0</v>
      </c>
      <c r="F2148" s="6">
        <f>'[1]JAN 2024'!F163</f>
        <v>0</v>
      </c>
      <c r="G2148" s="4"/>
      <c r="H2148" s="4"/>
    </row>
    <row r="2149" spans="1:8" x14ac:dyDescent="0.2">
      <c r="A2149" s="23">
        <f>'[1]JAN 2024'!A164</f>
        <v>45315</v>
      </c>
      <c r="B2149" s="12" t="str">
        <f>'[1]JAN 2024'!B164</f>
        <v>LM</v>
      </c>
      <c r="C2149" s="3">
        <f>'[1]JAN 2024'!C164</f>
        <v>0</v>
      </c>
      <c r="D2149" s="3">
        <f>'[1]JAN 2024'!D164</f>
        <v>720</v>
      </c>
      <c r="E2149" s="4">
        <f>'[1]JAN 2024'!E164</f>
        <v>0</v>
      </c>
      <c r="F2149" s="6">
        <f>'[1]JAN 2024'!F164</f>
        <v>0</v>
      </c>
      <c r="G2149" s="4"/>
      <c r="H2149" s="4"/>
    </row>
    <row r="2150" spans="1:8" x14ac:dyDescent="0.2">
      <c r="A2150" s="20">
        <f>'[1]JAN 2024'!A165</f>
        <v>45315</v>
      </c>
      <c r="B2150" s="12" t="str">
        <f>'[1]JAN 2024'!B165</f>
        <v>Andere</v>
      </c>
      <c r="C2150" s="3">
        <f>'[1]JAN 2024'!C165</f>
        <v>0</v>
      </c>
      <c r="D2150" s="3">
        <f>'[1]JAN 2024'!D165</f>
        <v>4000</v>
      </c>
      <c r="E2150" s="4">
        <f>'[1]JAN 2024'!E165</f>
        <v>0</v>
      </c>
      <c r="F2150" s="6">
        <f>'[1]JAN 2024'!F165</f>
        <v>0</v>
      </c>
      <c r="G2150" s="4"/>
      <c r="H2150" s="4"/>
    </row>
    <row r="2151" spans="1:8" x14ac:dyDescent="0.2">
      <c r="A2151" s="23">
        <f>'[1]JAN 2024'!A166</f>
        <v>45315</v>
      </c>
      <c r="B2151" s="12" t="str">
        <f>'[1]JAN 2024'!B166</f>
        <v>VM</v>
      </c>
      <c r="C2151" s="3">
        <f>'[1]JAN 2024'!C166</f>
        <v>0</v>
      </c>
      <c r="D2151" s="3">
        <f>'[1]JAN 2024'!D166</f>
        <v>122</v>
      </c>
      <c r="E2151" s="4">
        <f>'[1]JAN 2024'!E166</f>
        <v>0</v>
      </c>
      <c r="F2151" s="6">
        <f>'[1]JAN 2024'!F166</f>
        <v>0</v>
      </c>
      <c r="G2151" s="4"/>
      <c r="H2151" s="4"/>
    </row>
    <row r="2152" spans="1:8" x14ac:dyDescent="0.2">
      <c r="A2152" s="20">
        <f>'[1]JAN 2024'!A167</f>
        <v>45315</v>
      </c>
      <c r="B2152" s="12" t="str">
        <f>'[1]JAN 2024'!B167</f>
        <v>none</v>
      </c>
      <c r="C2152" s="3">
        <f>'[1]JAN 2024'!C167</f>
        <v>0</v>
      </c>
      <c r="D2152" s="3">
        <f>'[1]JAN 2024'!D167</f>
        <v>2000</v>
      </c>
      <c r="E2152" s="4">
        <f>'[1]JAN 2024'!E167</f>
        <v>2000</v>
      </c>
      <c r="F2152" s="6">
        <f>'[1]JAN 2024'!F167</f>
        <v>0</v>
      </c>
      <c r="G2152" s="4"/>
      <c r="H2152" s="4"/>
    </row>
    <row r="2153" spans="1:8" x14ac:dyDescent="0.2">
      <c r="A2153" s="23">
        <f>'[1]JAN 2024'!A170</f>
        <v>45316</v>
      </c>
      <c r="B2153" s="12" t="str">
        <f>'[1]JAN 2024'!B170</f>
        <v>VM</v>
      </c>
      <c r="C2153" s="3">
        <f>'[1]JAN 2024'!C170</f>
        <v>0</v>
      </c>
      <c r="D2153" s="3">
        <f>'[1]JAN 2024'!D170</f>
        <v>61</v>
      </c>
      <c r="E2153" s="4">
        <f>'[1]JAN 2024'!E170</f>
        <v>0</v>
      </c>
      <c r="F2153" s="6">
        <f>'[1]JAN 2024'!F170</f>
        <v>0</v>
      </c>
      <c r="G2153" s="4"/>
      <c r="H2153" s="4"/>
    </row>
    <row r="2154" spans="1:8" x14ac:dyDescent="0.2">
      <c r="A2154" s="20">
        <f>'[1]JAN 2024'!A177</f>
        <v>45317</v>
      </c>
      <c r="B2154" s="12" t="str">
        <f>'[1]JAN 2024'!B177</f>
        <v>LM</v>
      </c>
      <c r="C2154" s="3">
        <f>'[1]JAN 2024'!C177</f>
        <v>0</v>
      </c>
      <c r="D2154" s="3">
        <f>'[1]JAN 2024'!D177</f>
        <v>585</v>
      </c>
      <c r="E2154" s="4">
        <f>'[1]JAN 2024'!E177</f>
        <v>0</v>
      </c>
      <c r="F2154" s="6">
        <f>'[1]JAN 2024'!F177</f>
        <v>0</v>
      </c>
      <c r="G2154" s="4"/>
      <c r="H2154" s="4"/>
    </row>
    <row r="2155" spans="1:8" x14ac:dyDescent="0.2">
      <c r="A2155" s="23">
        <f>'[1]JAN 2024'!A178</f>
        <v>45317</v>
      </c>
      <c r="B2155" s="12" t="str">
        <f>'[1]JAN 2024'!B178</f>
        <v>Rauchen</v>
      </c>
      <c r="C2155" s="3">
        <f>'[1]JAN 2024'!C178</f>
        <v>0</v>
      </c>
      <c r="D2155" s="3">
        <f>'[1]JAN 2024'!D178</f>
        <v>170</v>
      </c>
      <c r="E2155" s="4">
        <f>'[1]JAN 2024'!E178</f>
        <v>0</v>
      </c>
      <c r="F2155" s="6">
        <f>'[1]JAN 2024'!F178</f>
        <v>0</v>
      </c>
      <c r="G2155" s="4"/>
      <c r="H2155" s="4"/>
    </row>
    <row r="2156" spans="1:8" x14ac:dyDescent="0.2">
      <c r="A2156" s="20">
        <f>'[1]JAN 2024'!A179</f>
        <v>45317</v>
      </c>
      <c r="B2156" s="12" t="str">
        <f>'[1]JAN 2024'!B179</f>
        <v>LM</v>
      </c>
      <c r="C2156" s="3">
        <f>'[1]JAN 2024'!C179</f>
        <v>0</v>
      </c>
      <c r="D2156" s="3">
        <f>'[1]JAN 2024'!D179</f>
        <v>2390</v>
      </c>
      <c r="E2156" s="4">
        <f>'[1]JAN 2024'!E179</f>
        <v>0</v>
      </c>
      <c r="F2156" s="6">
        <f>'[1]JAN 2024'!F179</f>
        <v>0</v>
      </c>
      <c r="G2156" s="4"/>
      <c r="H2156" s="4"/>
    </row>
    <row r="2157" spans="1:8" x14ac:dyDescent="0.2">
      <c r="A2157" s="23">
        <f>'[1]JAN 2024'!A180</f>
        <v>45317</v>
      </c>
      <c r="B2157" s="12" t="str">
        <f>'[1]JAN 2024'!B180</f>
        <v>Party</v>
      </c>
      <c r="C2157" s="3">
        <f>'[1]JAN 2024'!C180</f>
        <v>0</v>
      </c>
      <c r="D2157" s="3">
        <f>'[1]JAN 2024'!D180</f>
        <v>1970</v>
      </c>
      <c r="E2157" s="4">
        <f>'[1]JAN 2024'!E180</f>
        <v>0</v>
      </c>
      <c r="F2157" s="6">
        <f>'[1]JAN 2024'!F180</f>
        <v>0</v>
      </c>
      <c r="G2157" s="4"/>
      <c r="H2157" s="4"/>
    </row>
    <row r="2158" spans="1:8" x14ac:dyDescent="0.2">
      <c r="A2158" s="20">
        <f>'[1]JAN 2024'!A181</f>
        <v>45317</v>
      </c>
      <c r="B2158" s="12" t="str">
        <f>'[1]JAN 2024'!B181</f>
        <v>none</v>
      </c>
      <c r="C2158" s="3">
        <f>'[1]JAN 2024'!C181</f>
        <v>0</v>
      </c>
      <c r="D2158" s="3">
        <f>'[1]JAN 2024'!D181</f>
        <v>1500</v>
      </c>
      <c r="E2158" s="4">
        <f>'[1]JAN 2024'!E181</f>
        <v>1500</v>
      </c>
      <c r="F2158" s="6">
        <f>'[1]JAN 2024'!F181</f>
        <v>0</v>
      </c>
      <c r="G2158" s="4"/>
      <c r="H2158" s="4"/>
    </row>
    <row r="2159" spans="1:8" x14ac:dyDescent="0.2">
      <c r="A2159" s="23">
        <f>'[1]JAN 2024'!A182</f>
        <v>45317</v>
      </c>
      <c r="B2159" s="12" t="str">
        <f>'[1]JAN 2024'!B182</f>
        <v>none</v>
      </c>
      <c r="C2159" s="3">
        <f>'[1]JAN 2024'!C182</f>
        <v>0</v>
      </c>
      <c r="D2159" s="3">
        <f>'[1]JAN 2024'!D182</f>
        <v>1000</v>
      </c>
      <c r="E2159" s="4">
        <f>'[1]JAN 2024'!E182</f>
        <v>1000</v>
      </c>
      <c r="F2159" s="6">
        <f>'[1]JAN 2024'!F182</f>
        <v>0</v>
      </c>
      <c r="G2159" s="4"/>
      <c r="H2159" s="4"/>
    </row>
    <row r="2160" spans="1:8" x14ac:dyDescent="0.2">
      <c r="A2160" s="23">
        <f>'[1]JAN 2024'!A184</f>
        <v>45318</v>
      </c>
      <c r="B2160" s="12" t="str">
        <f>'[1]JAN 2024'!B184</f>
        <v>LM</v>
      </c>
      <c r="C2160" s="3">
        <f>'[1]JAN 2024'!C184</f>
        <v>0</v>
      </c>
      <c r="D2160" s="3">
        <f>'[1]JAN 2024'!D184</f>
        <v>150</v>
      </c>
      <c r="E2160" s="4">
        <f>'[1]JAN 2024'!E184</f>
        <v>0</v>
      </c>
      <c r="F2160" s="6">
        <f>'[1]JAN 2024'!F184</f>
        <v>0</v>
      </c>
      <c r="G2160" s="4"/>
      <c r="H2160" s="4"/>
    </row>
    <row r="2161" spans="1:8" x14ac:dyDescent="0.2">
      <c r="A2161" s="20">
        <f>'[1]JAN 2024'!A185</f>
        <v>45318</v>
      </c>
      <c r="B2161" s="12" t="str">
        <f>'[1]JAN 2024'!B185</f>
        <v>Frauen</v>
      </c>
      <c r="C2161" s="3">
        <f>'[1]JAN 2024'!C185</f>
        <v>0</v>
      </c>
      <c r="D2161" s="3">
        <f>'[1]JAN 2024'!D185</f>
        <v>1030</v>
      </c>
      <c r="E2161" s="4">
        <f>'[1]JAN 2024'!E185</f>
        <v>0</v>
      </c>
      <c r="F2161" s="6">
        <f>'[1]JAN 2024'!F185</f>
        <v>0</v>
      </c>
      <c r="G2161" s="4"/>
      <c r="H2161" s="4"/>
    </row>
    <row r="2162" spans="1:8" x14ac:dyDescent="0.2">
      <c r="A2162" s="23">
        <f>'[1]JAN 2024'!A186</f>
        <v>45318</v>
      </c>
      <c r="B2162" s="12" t="str">
        <f>'[1]JAN 2024'!B186</f>
        <v>LM</v>
      </c>
      <c r="C2162" s="3">
        <f>'[1]JAN 2024'!C186</f>
        <v>0</v>
      </c>
      <c r="D2162" s="3">
        <f>'[1]JAN 2024'!D186</f>
        <v>1000</v>
      </c>
      <c r="E2162" s="4">
        <f>'[1]JAN 2024'!E186</f>
        <v>0</v>
      </c>
      <c r="F2162" s="6">
        <f>'[1]JAN 2024'!F186</f>
        <v>0</v>
      </c>
      <c r="G2162" s="4"/>
      <c r="H2162" s="4"/>
    </row>
    <row r="2163" spans="1:8" x14ac:dyDescent="0.2">
      <c r="A2163" s="20">
        <f>'[1]JAN 2024'!A187</f>
        <v>45318</v>
      </c>
      <c r="B2163" s="12" t="str">
        <f>'[1]JAN 2024'!B187</f>
        <v>none</v>
      </c>
      <c r="C2163" s="3">
        <f>'[1]JAN 2024'!C187</f>
        <v>0</v>
      </c>
      <c r="D2163" s="3">
        <f>'[1]JAN 2024'!D187</f>
        <v>2000</v>
      </c>
      <c r="E2163" s="4">
        <f>'[1]JAN 2024'!E187</f>
        <v>2000</v>
      </c>
      <c r="F2163" s="6">
        <f>'[1]JAN 2024'!F187</f>
        <v>0</v>
      </c>
      <c r="G2163" s="4"/>
      <c r="H2163" s="4"/>
    </row>
    <row r="2164" spans="1:8" x14ac:dyDescent="0.2">
      <c r="A2164" s="23">
        <f>'[1]JAN 2024'!A188</f>
        <v>45318</v>
      </c>
      <c r="B2164" s="12" t="str">
        <f>'[1]JAN 2024'!B188</f>
        <v>VM</v>
      </c>
      <c r="C2164" s="3">
        <f>'[1]JAN 2024'!C188</f>
        <v>0</v>
      </c>
      <c r="D2164" s="3">
        <f>'[1]JAN 2024'!D188</f>
        <v>61</v>
      </c>
      <c r="E2164" s="4">
        <f>'[1]JAN 2024'!E188</f>
        <v>0</v>
      </c>
      <c r="F2164" s="6">
        <f>'[1]JAN 2024'!F188</f>
        <v>0</v>
      </c>
      <c r="G2164" s="4"/>
      <c r="H2164" s="4"/>
    </row>
    <row r="2165" spans="1:8" x14ac:dyDescent="0.2">
      <c r="A2165" s="20">
        <f>'[1]JAN 2024'!A191</f>
        <v>45319</v>
      </c>
      <c r="B2165" s="12" t="str">
        <f>'[1]JAN 2024'!B191</f>
        <v>Andere</v>
      </c>
      <c r="C2165" s="3">
        <f>'[1]JAN 2024'!C191</f>
        <v>0</v>
      </c>
      <c r="D2165" s="3">
        <f>'[1]JAN 2024'!D191</f>
        <v>299</v>
      </c>
      <c r="E2165" s="4">
        <f>'[1]JAN 2024'!E191</f>
        <v>0</v>
      </c>
      <c r="F2165" s="6">
        <f>'[1]JAN 2024'!F191</f>
        <v>0</v>
      </c>
      <c r="G2165" s="4"/>
      <c r="H2165" s="4"/>
    </row>
    <row r="2166" spans="1:8" x14ac:dyDescent="0.2">
      <c r="A2166" s="23">
        <f>'[1]JAN 2024'!A192</f>
        <v>45319</v>
      </c>
      <c r="B2166" s="12" t="str">
        <f>'[1]JAN 2024'!B192</f>
        <v>Rauchen</v>
      </c>
      <c r="C2166" s="3">
        <f>'[1]JAN 2024'!C192</f>
        <v>0</v>
      </c>
      <c r="D2166" s="3">
        <f>'[1]JAN 2024'!D192</f>
        <v>150</v>
      </c>
      <c r="E2166" s="4">
        <f>'[1]JAN 2024'!E192</f>
        <v>0</v>
      </c>
      <c r="F2166" s="6">
        <f>'[1]JAN 2024'!F192</f>
        <v>0</v>
      </c>
      <c r="G2166" s="4"/>
      <c r="H2166" s="4"/>
    </row>
    <row r="2167" spans="1:8" x14ac:dyDescent="0.2">
      <c r="A2167" s="20">
        <f>'[1]JAN 2024'!A193</f>
        <v>45319</v>
      </c>
      <c r="B2167" s="12" t="str">
        <f>'[1]JAN 2024'!B193</f>
        <v>LM</v>
      </c>
      <c r="C2167" s="3">
        <f>'[1]JAN 2024'!C193</f>
        <v>0</v>
      </c>
      <c r="D2167" s="3">
        <f>'[1]JAN 2024'!D193</f>
        <v>233</v>
      </c>
      <c r="E2167" s="4">
        <f>'[1]JAN 2024'!E193</f>
        <v>0</v>
      </c>
      <c r="F2167" s="6">
        <f>'[1]JAN 2024'!F193</f>
        <v>0</v>
      </c>
      <c r="G2167" s="4"/>
      <c r="H2167" s="4"/>
    </row>
    <row r="2168" spans="1:8" x14ac:dyDescent="0.2">
      <c r="A2168" s="23">
        <f>'[1]JAN 2024'!A194</f>
        <v>45319</v>
      </c>
      <c r="B2168" s="12" t="str">
        <f>'[1]JAN 2024'!B194</f>
        <v>VM</v>
      </c>
      <c r="C2168" s="3">
        <f>'[1]JAN 2024'!C194</f>
        <v>0</v>
      </c>
      <c r="D2168" s="3">
        <f>'[1]JAN 2024'!D194</f>
        <v>122</v>
      </c>
      <c r="E2168" s="4">
        <f>'[1]JAN 2024'!E194</f>
        <v>0</v>
      </c>
      <c r="F2168" s="6">
        <f>'[1]JAN 2024'!F194</f>
        <v>0</v>
      </c>
      <c r="G2168" s="4"/>
      <c r="H2168" s="4"/>
    </row>
    <row r="2169" spans="1:8" x14ac:dyDescent="0.2">
      <c r="A2169" s="20">
        <f>'[1]JAN 2024'!A195</f>
        <v>45319</v>
      </c>
      <c r="B2169" s="12" t="str">
        <f>'[1]JAN 2024'!B195</f>
        <v>VM</v>
      </c>
      <c r="C2169" s="3">
        <f>'[1]JAN 2024'!C195</f>
        <v>0</v>
      </c>
      <c r="D2169" s="3">
        <f>'[1]JAN 2024'!D195</f>
        <v>704</v>
      </c>
      <c r="E2169" s="4">
        <f>'[1]JAN 2024'!E195</f>
        <v>0</v>
      </c>
      <c r="F2169" s="6">
        <f>'[1]JAN 2024'!F195</f>
        <v>0</v>
      </c>
      <c r="G2169" s="4"/>
      <c r="H2169" s="4"/>
    </row>
    <row r="2170" spans="1:8" x14ac:dyDescent="0.2">
      <c r="A2170" s="23">
        <f>'[1]JAN 2024'!A198</f>
        <v>45320</v>
      </c>
      <c r="B2170" s="12" t="str">
        <f>'[1]JAN 2024'!B198</f>
        <v>VM</v>
      </c>
      <c r="C2170" s="3">
        <f>'[1]JAN 2024'!C198</f>
        <v>0</v>
      </c>
      <c r="D2170" s="3">
        <f>'[1]JAN 2024'!D198</f>
        <v>696</v>
      </c>
      <c r="E2170" s="4">
        <f>'[1]JAN 2024'!E198</f>
        <v>0</v>
      </c>
      <c r="F2170" s="6">
        <f>'[1]JAN 2024'!F198</f>
        <v>0</v>
      </c>
      <c r="G2170" s="4"/>
      <c r="H2170" s="4"/>
    </row>
    <row r="2171" spans="1:8" x14ac:dyDescent="0.2">
      <c r="A2171" s="20">
        <f>'[1]JAN 2024'!A199</f>
        <v>45320</v>
      </c>
      <c r="B2171" s="12" t="str">
        <f>'[1]JAN 2024'!B199</f>
        <v>LM</v>
      </c>
      <c r="C2171" s="3">
        <f>'[1]JAN 2024'!C199</f>
        <v>0</v>
      </c>
      <c r="D2171" s="3">
        <f>'[1]JAN 2024'!D199</f>
        <v>959</v>
      </c>
      <c r="E2171" s="4">
        <f>'[1]JAN 2024'!E199</f>
        <v>0</v>
      </c>
      <c r="F2171" s="6">
        <f>'[1]JAN 2024'!F199</f>
        <v>0</v>
      </c>
      <c r="G2171" s="4"/>
      <c r="H2171" s="4"/>
    </row>
    <row r="2172" spans="1:8" x14ac:dyDescent="0.2">
      <c r="A2172" s="23">
        <f>'[1]JAN 2024'!A200</f>
        <v>45320</v>
      </c>
      <c r="B2172" s="12" t="str">
        <f>'[1]JAN 2024'!B200</f>
        <v>Frauen</v>
      </c>
      <c r="C2172" s="3">
        <f>'[1]JAN 2024'!C200</f>
        <v>0</v>
      </c>
      <c r="D2172" s="3">
        <f>'[1]JAN 2024'!D200</f>
        <v>827</v>
      </c>
      <c r="E2172" s="4">
        <f>'[1]JAN 2024'!E200</f>
        <v>0</v>
      </c>
      <c r="F2172" s="6">
        <f>'[1]JAN 2024'!F200</f>
        <v>0</v>
      </c>
      <c r="G2172" s="4"/>
      <c r="H2172" s="4"/>
    </row>
    <row r="2173" spans="1:8" x14ac:dyDescent="0.2">
      <c r="A2173" s="20">
        <f>'[1]JAN 2024'!A205</f>
        <v>45321</v>
      </c>
      <c r="B2173" s="12" t="str">
        <f>'[1]JAN 2024'!B205</f>
        <v>Andere</v>
      </c>
      <c r="C2173" s="3">
        <f>'[1]JAN 2024'!C205</f>
        <v>0</v>
      </c>
      <c r="D2173" s="3">
        <f>'[1]JAN 2024'!D205</f>
        <v>598</v>
      </c>
      <c r="E2173" s="4">
        <f>'[1]JAN 2024'!E205</f>
        <v>0</v>
      </c>
      <c r="F2173" s="6">
        <f>'[1]JAN 2024'!F205</f>
        <v>0</v>
      </c>
      <c r="G2173" s="4"/>
      <c r="H2173" s="4"/>
    </row>
    <row r="2174" spans="1:8" x14ac:dyDescent="0.2">
      <c r="A2174" s="23">
        <f>'[1]JAN 2024'!A206</f>
        <v>45321</v>
      </c>
      <c r="B2174" s="12" t="str">
        <f>'[1]JAN 2024'!B206</f>
        <v>LM</v>
      </c>
      <c r="C2174" s="3">
        <f>'[1]JAN 2024'!C206</f>
        <v>0</v>
      </c>
      <c r="D2174" s="3">
        <f>'[1]JAN 2024'!D206</f>
        <v>414</v>
      </c>
      <c r="E2174" s="4">
        <f>'[1]JAN 2024'!E206</f>
        <v>0</v>
      </c>
      <c r="F2174" s="6">
        <f>'[1]JAN 2024'!F206</f>
        <v>0</v>
      </c>
      <c r="G2174" s="4"/>
      <c r="H2174" s="4"/>
    </row>
    <row r="2175" spans="1:8" x14ac:dyDescent="0.2">
      <c r="A2175" s="20">
        <f>'[1]JAN 2024'!A207</f>
        <v>45321</v>
      </c>
      <c r="B2175" s="12" t="str">
        <f>'[1]JAN 2024'!B207</f>
        <v>Rauchen</v>
      </c>
      <c r="C2175" s="3">
        <f>'[1]JAN 2024'!C207</f>
        <v>0</v>
      </c>
      <c r="D2175" s="3">
        <f>'[1]JAN 2024'!D207</f>
        <v>0</v>
      </c>
      <c r="E2175" s="4">
        <f>'[1]JAN 2024'!E207</f>
        <v>0</v>
      </c>
      <c r="F2175" s="6">
        <f>'[1]JAN 2024'!F207</f>
        <v>153</v>
      </c>
      <c r="G2175" s="4"/>
      <c r="H2175" s="4"/>
    </row>
    <row r="2176" spans="1:8" x14ac:dyDescent="0.2">
      <c r="A2176" s="23">
        <f>'[1]JAN 2024'!A212</f>
        <v>45322</v>
      </c>
      <c r="B2176" s="12" t="str">
        <f>'[1]JAN 2024'!B212</f>
        <v>Frauen</v>
      </c>
      <c r="C2176" s="3">
        <f>'[1]JAN 2024'!C212</f>
        <v>0</v>
      </c>
      <c r="D2176" s="3">
        <f>'[1]JAN 2024'!D212</f>
        <v>2589</v>
      </c>
      <c r="E2176" s="4">
        <f>'[1]JAN 2024'!E212</f>
        <v>0</v>
      </c>
      <c r="F2176" s="6">
        <f>'[1]JAN 2024'!F212</f>
        <v>0</v>
      </c>
      <c r="G2176" s="4"/>
      <c r="H2176" s="4"/>
    </row>
    <row r="2177" spans="1:8" x14ac:dyDescent="0.2">
      <c r="A2177" s="20">
        <f>'[1]JAN 2024'!A213</f>
        <v>45322</v>
      </c>
      <c r="B2177" s="12" t="str">
        <f>'[1]JAN 2024'!B213</f>
        <v>LM</v>
      </c>
      <c r="C2177" s="3">
        <f>'[1]JAN 2024'!C213</f>
        <v>0</v>
      </c>
      <c r="D2177" s="3">
        <f>'[1]JAN 2024'!D213</f>
        <v>960.15</v>
      </c>
      <c r="E2177" s="4">
        <f>'[1]JAN 2024'!E213</f>
        <v>0</v>
      </c>
      <c r="F2177" s="6">
        <f>'[1]JAN 2024'!F213</f>
        <v>0</v>
      </c>
      <c r="G2177" s="4"/>
      <c r="H2177" s="4"/>
    </row>
    <row r="2178" spans="1:8" x14ac:dyDescent="0.2">
      <c r="A2178" s="23">
        <f>'[1]JAN 2024'!A214</f>
        <v>45322</v>
      </c>
      <c r="B2178" s="12" t="str">
        <f>'[1]JAN 2024'!B214</f>
        <v>for me</v>
      </c>
      <c r="C2178" s="3">
        <f>'[1]JAN 2024'!C214</f>
        <v>0</v>
      </c>
      <c r="D2178" s="3">
        <f>'[1]JAN 2024'!D214</f>
        <v>700</v>
      </c>
      <c r="E2178" s="4">
        <f>'[1]JAN 2024'!E214</f>
        <v>0</v>
      </c>
      <c r="F2178" s="6">
        <f>'[1]JAN 2024'!F214</f>
        <v>0</v>
      </c>
      <c r="G2178" s="4"/>
      <c r="H2178" s="4"/>
    </row>
    <row r="2179" spans="1:8" x14ac:dyDescent="0.2">
      <c r="A2179" s="20">
        <f>'[1]JAN 2024'!A215</f>
        <v>45322</v>
      </c>
      <c r="B2179" s="12" t="str">
        <f>'[1]JAN 2024'!B215</f>
        <v>for me</v>
      </c>
      <c r="C2179" s="3">
        <f>'[1]JAN 2024'!C215</f>
        <v>0</v>
      </c>
      <c r="D2179" s="3">
        <f>'[1]JAN 2024'!D215</f>
        <v>1350</v>
      </c>
      <c r="E2179" s="4">
        <f>'[1]JAN 2024'!E215</f>
        <v>0</v>
      </c>
      <c r="F2179" s="6">
        <f>'[1]JAN 2024'!F215</f>
        <v>0</v>
      </c>
      <c r="G2179" s="4"/>
      <c r="H2179" s="4"/>
    </row>
    <row r="2180" spans="1:8" x14ac:dyDescent="0.2">
      <c r="A2180" s="23">
        <f>'[1]JAN 2024'!A216</f>
        <v>45322</v>
      </c>
      <c r="B2180" s="12" t="str">
        <f>'[1]JAN 2024'!B216</f>
        <v>none</v>
      </c>
      <c r="C2180" s="3">
        <f>'[1]JAN 2024'!C216</f>
        <v>0</v>
      </c>
      <c r="D2180" s="3">
        <f>'[1]JAN 2024'!D216</f>
        <v>1350</v>
      </c>
      <c r="E2180" s="4">
        <f>'[1]JAN 2024'!E216</f>
        <v>1350</v>
      </c>
      <c r="F2180" s="6">
        <f>'[1]JAN 2024'!F216</f>
        <v>0</v>
      </c>
      <c r="G2180" s="4"/>
      <c r="H2180" s="4"/>
    </row>
    <row r="2181" spans="1:8" x14ac:dyDescent="0.2">
      <c r="A2181" s="20">
        <f>'[1]JAN 2024'!A217</f>
        <v>45322</v>
      </c>
      <c r="B2181" s="12" t="str">
        <f>'[1]JAN 2024'!B217</f>
        <v>Refill</v>
      </c>
      <c r="C2181" s="3">
        <f>'[1]JAN 2024'!C217</f>
        <v>2897.57</v>
      </c>
      <c r="D2181" s="3">
        <f>'[1]JAN 2024'!D217</f>
        <v>0</v>
      </c>
      <c r="E2181" s="4">
        <f>'[1]JAN 2024'!E217</f>
        <v>0</v>
      </c>
      <c r="F2181" s="6">
        <f>'[1]JAN 2024'!F217</f>
        <v>0</v>
      </c>
      <c r="G2181" s="4"/>
      <c r="H2181" s="4"/>
    </row>
    <row r="2182" spans="1:8" x14ac:dyDescent="0.2">
      <c r="A2182" s="20">
        <f>'[1]FEB 2024'!A2</f>
        <v>45323</v>
      </c>
      <c r="B2182" s="12" t="str">
        <f>'[1]FEB 2024'!B2</f>
        <v>LM</v>
      </c>
      <c r="C2182" s="3">
        <f>'[1]FEB 2024'!C2</f>
        <v>0</v>
      </c>
      <c r="D2182" s="3">
        <f>'[1]FEB 2024'!D2</f>
        <v>2470</v>
      </c>
      <c r="E2182" s="4">
        <f>'[1]FEB 2024'!E2</f>
        <v>0</v>
      </c>
      <c r="F2182" s="6">
        <f>'[1]FEB 2024'!F2</f>
        <v>0</v>
      </c>
      <c r="G2182" s="4"/>
      <c r="H2182" s="4"/>
    </row>
    <row r="2183" spans="1:8" x14ac:dyDescent="0.2">
      <c r="A2183" s="23">
        <f>'[1]FEB 2024'!A3</f>
        <v>45323</v>
      </c>
      <c r="B2183" s="12" t="str">
        <f>'[1]FEB 2024'!B3</f>
        <v>VM</v>
      </c>
      <c r="C2183" s="3">
        <f>'[1]FEB 2024'!C3</f>
        <v>0</v>
      </c>
      <c r="D2183" s="3">
        <f>'[1]FEB 2024'!D3</f>
        <v>0</v>
      </c>
      <c r="E2183" s="4">
        <f>'[1]FEB 2024'!E3</f>
        <v>0</v>
      </c>
      <c r="F2183" s="6">
        <f>'[1]FEB 2024'!F3</f>
        <v>0</v>
      </c>
      <c r="G2183" s="4"/>
      <c r="H2183" s="4"/>
    </row>
    <row r="2184" spans="1:8" x14ac:dyDescent="0.2">
      <c r="A2184" s="20">
        <f>'[1]FEB 2024'!A4</f>
        <v>45323</v>
      </c>
      <c r="B2184" s="12" t="str">
        <f>'[1]FEB 2024'!B4</f>
        <v>Andere</v>
      </c>
      <c r="C2184" s="3">
        <f>'[1]FEB 2024'!C4</f>
        <v>0</v>
      </c>
      <c r="D2184" s="3">
        <f>'[1]FEB 2024'!D4</f>
        <v>0</v>
      </c>
      <c r="E2184" s="4">
        <f>'[1]FEB 2024'!E4</f>
        <v>0</v>
      </c>
      <c r="F2184" s="6">
        <f>'[1]FEB 2024'!F4</f>
        <v>0</v>
      </c>
      <c r="G2184" s="4"/>
      <c r="H2184" s="4"/>
    </row>
    <row r="2185" spans="1:8" x14ac:dyDescent="0.2">
      <c r="A2185" s="23">
        <f>'[1]FEB 2024'!A5</f>
        <v>45323</v>
      </c>
      <c r="B2185" s="12" t="str">
        <f>'[1]FEB 2024'!B5</f>
        <v>for me</v>
      </c>
      <c r="C2185" s="3">
        <f>'[1]FEB 2024'!C5</f>
        <v>0</v>
      </c>
      <c r="D2185" s="3">
        <f>'[1]FEB 2024'!D5</f>
        <v>0</v>
      </c>
      <c r="E2185" s="4">
        <f>'[1]FEB 2024'!E5</f>
        <v>0</v>
      </c>
      <c r="F2185" s="6">
        <f>'[1]FEB 2024'!F5</f>
        <v>0</v>
      </c>
      <c r="G2185" s="4"/>
      <c r="H2185" s="4"/>
    </row>
    <row r="2186" spans="1:8" x14ac:dyDescent="0.2">
      <c r="A2186" s="20">
        <f>'[1]FEB 2024'!A6</f>
        <v>45323</v>
      </c>
      <c r="B2186" s="12" t="str">
        <f>'[1]FEB 2024'!B6</f>
        <v>Party</v>
      </c>
      <c r="C2186" s="3">
        <f>'[1]FEB 2024'!C6</f>
        <v>0</v>
      </c>
      <c r="D2186" s="3">
        <f>'[1]FEB 2024'!D6</f>
        <v>0</v>
      </c>
      <c r="E2186" s="4">
        <f>'[1]FEB 2024'!E6</f>
        <v>0</v>
      </c>
      <c r="F2186" s="6">
        <f>'[1]FEB 2024'!F6</f>
        <v>0</v>
      </c>
      <c r="G2186" s="4"/>
      <c r="H2186" s="4"/>
    </row>
    <row r="2187" spans="1:8" x14ac:dyDescent="0.2">
      <c r="A2187" s="23">
        <f>'[1]FEB 2024'!A7</f>
        <v>45323</v>
      </c>
      <c r="B2187" s="12" t="str">
        <f>'[1]FEB 2024'!B7</f>
        <v>Kleidung</v>
      </c>
      <c r="C2187" s="3">
        <f>'[1]FEB 2024'!C7</f>
        <v>0</v>
      </c>
      <c r="D2187" s="3">
        <f>'[1]FEB 2024'!D7</f>
        <v>0</v>
      </c>
      <c r="E2187" s="4">
        <f>'[1]FEB 2024'!E7</f>
        <v>0</v>
      </c>
      <c r="F2187" s="6">
        <f>'[1]FEB 2024'!F7</f>
        <v>0</v>
      </c>
      <c r="G2187" s="4"/>
      <c r="H2187" s="4"/>
    </row>
    <row r="2188" spans="1:8" x14ac:dyDescent="0.2">
      <c r="A2188" s="23">
        <f>'[1]FEB 2024'!A9</f>
        <v>45324</v>
      </c>
      <c r="B2188" s="12" t="str">
        <f>'[1]FEB 2024'!B9</f>
        <v>LM</v>
      </c>
      <c r="C2188" s="3">
        <f>'[1]FEB 2024'!C9</f>
        <v>0</v>
      </c>
      <c r="D2188" s="3">
        <f>'[1]FEB 2024'!D9</f>
        <v>250</v>
      </c>
      <c r="E2188" s="4">
        <f>'[1]FEB 2024'!E9</f>
        <v>0</v>
      </c>
      <c r="F2188" s="6">
        <f>'[1]FEB 2024'!F9</f>
        <v>0</v>
      </c>
      <c r="G2188" s="4"/>
      <c r="H2188" s="4"/>
    </row>
    <row r="2189" spans="1:8" x14ac:dyDescent="0.2">
      <c r="A2189" s="20">
        <f>'[1]FEB 2024'!A10</f>
        <v>45324</v>
      </c>
      <c r="B2189" s="12" t="str">
        <f>'[1]FEB 2024'!B10</f>
        <v>Andere</v>
      </c>
      <c r="C2189" s="3">
        <f>'[1]FEB 2024'!C10</f>
        <v>0</v>
      </c>
      <c r="D2189" s="3">
        <f>'[1]FEB 2024'!D10</f>
        <v>400</v>
      </c>
      <c r="E2189" s="4">
        <f>'[1]FEB 2024'!E10</f>
        <v>0</v>
      </c>
      <c r="F2189" s="6">
        <f>'[1]FEB 2024'!F10</f>
        <v>0</v>
      </c>
      <c r="G2189" s="4"/>
      <c r="H2189" s="4"/>
    </row>
    <row r="2190" spans="1:8" x14ac:dyDescent="0.2">
      <c r="A2190" s="23">
        <f>'[1]FEB 2024'!A11</f>
        <v>45324</v>
      </c>
      <c r="B2190" s="12" t="str">
        <f>'[1]FEB 2024'!B11</f>
        <v>Andere</v>
      </c>
      <c r="C2190" s="3">
        <f>'[1]FEB 2024'!C11</f>
        <v>0</v>
      </c>
      <c r="D2190" s="3">
        <f>'[1]FEB 2024'!D11</f>
        <v>750</v>
      </c>
      <c r="E2190" s="4">
        <f>'[1]FEB 2024'!E11</f>
        <v>0</v>
      </c>
      <c r="F2190" s="6">
        <f>'[1]FEB 2024'!F11</f>
        <v>0</v>
      </c>
      <c r="G2190" s="4"/>
      <c r="H2190" s="4"/>
    </row>
    <row r="2191" spans="1:8" x14ac:dyDescent="0.2">
      <c r="A2191" s="20">
        <f>'[1]FEB 2024'!A12</f>
        <v>45324</v>
      </c>
      <c r="B2191" s="12" t="str">
        <f>'[1]FEB 2024'!B12</f>
        <v>Party</v>
      </c>
      <c r="C2191" s="3">
        <f>'[1]FEB 2024'!C12</f>
        <v>0</v>
      </c>
      <c r="D2191" s="3">
        <f>'[1]FEB 2024'!D12</f>
        <v>3750</v>
      </c>
      <c r="E2191" s="4">
        <f>'[1]FEB 2024'!E12</f>
        <v>0</v>
      </c>
      <c r="F2191" s="6">
        <f>'[1]FEB 2024'!F12</f>
        <v>0</v>
      </c>
      <c r="G2191" s="4"/>
      <c r="H2191" s="4"/>
    </row>
    <row r="2192" spans="1:8" x14ac:dyDescent="0.2">
      <c r="A2192" s="23">
        <f>'[1]FEB 2024'!A13</f>
        <v>45324</v>
      </c>
      <c r="B2192" s="12" t="str">
        <f>'[1]FEB 2024'!B13</f>
        <v>Party</v>
      </c>
      <c r="C2192" s="3">
        <f>'[1]FEB 2024'!C13</f>
        <v>0</v>
      </c>
      <c r="D2192" s="3">
        <f>'[1]FEB 2024'!D13</f>
        <v>1900</v>
      </c>
      <c r="E2192" s="4">
        <f>'[1]FEB 2024'!E13</f>
        <v>0</v>
      </c>
      <c r="F2192" s="6">
        <f>'[1]FEB 2024'!F13</f>
        <v>0</v>
      </c>
      <c r="G2192" s="4"/>
      <c r="H2192" s="4"/>
    </row>
    <row r="2193" spans="1:8" x14ac:dyDescent="0.2">
      <c r="A2193" s="20">
        <f>'[1]FEB 2024'!A16</f>
        <v>45325</v>
      </c>
      <c r="B2193" s="12" t="str">
        <f>'[1]FEB 2024'!B16</f>
        <v>LM</v>
      </c>
      <c r="C2193" s="3">
        <f>'[1]FEB 2024'!C16</f>
        <v>0</v>
      </c>
      <c r="D2193" s="3">
        <f>'[1]FEB 2024'!D16</f>
        <v>345</v>
      </c>
      <c r="E2193" s="4">
        <f>'[1]FEB 2024'!E16</f>
        <v>0</v>
      </c>
      <c r="F2193" s="6">
        <f>'[1]FEB 2024'!F16</f>
        <v>0</v>
      </c>
      <c r="G2193" s="4"/>
      <c r="H2193" s="4"/>
    </row>
    <row r="2194" spans="1:8" x14ac:dyDescent="0.2">
      <c r="A2194" s="23">
        <f>'[1]FEB 2024'!A17</f>
        <v>45325</v>
      </c>
      <c r="B2194" s="12" t="str">
        <f>'[1]FEB 2024'!B17</f>
        <v>VM</v>
      </c>
      <c r="C2194" s="3">
        <f>'[1]FEB 2024'!C17</f>
        <v>0</v>
      </c>
      <c r="D2194" s="3">
        <f>'[1]FEB 2024'!D17</f>
        <v>122</v>
      </c>
      <c r="E2194" s="4">
        <f>'[1]FEB 2024'!E17</f>
        <v>0</v>
      </c>
      <c r="F2194" s="6">
        <f>'[1]FEB 2024'!F17</f>
        <v>0</v>
      </c>
      <c r="G2194" s="4"/>
      <c r="H2194" s="4"/>
    </row>
    <row r="2195" spans="1:8" x14ac:dyDescent="0.2">
      <c r="A2195" s="20">
        <f>'[1]FEB 2024'!A18</f>
        <v>45325</v>
      </c>
      <c r="B2195" s="12" t="str">
        <f>'[1]FEB 2024'!B18</f>
        <v>LM</v>
      </c>
      <c r="C2195" s="3">
        <f>'[1]FEB 2024'!C18</f>
        <v>0</v>
      </c>
      <c r="D2195" s="3">
        <f>'[1]FEB 2024'!D18</f>
        <v>60</v>
      </c>
      <c r="E2195" s="4">
        <f>'[1]FEB 2024'!E18</f>
        <v>0</v>
      </c>
      <c r="F2195" s="6">
        <f>'[1]FEB 2024'!F18</f>
        <v>0</v>
      </c>
      <c r="G2195" s="4"/>
      <c r="H2195" s="4"/>
    </row>
    <row r="2196" spans="1:8" x14ac:dyDescent="0.2">
      <c r="A2196" s="23">
        <f>'[1]FEB 2024'!A19</f>
        <v>45325</v>
      </c>
      <c r="B2196" s="12" t="str">
        <f>'[1]FEB 2024'!B19</f>
        <v>Andere</v>
      </c>
      <c r="C2196" s="3">
        <f>'[1]FEB 2024'!C19</f>
        <v>0</v>
      </c>
      <c r="D2196" s="3">
        <f>'[1]FEB 2024'!D19</f>
        <v>300</v>
      </c>
      <c r="E2196" s="4">
        <f>'[1]FEB 2024'!E19</f>
        <v>0</v>
      </c>
      <c r="F2196" s="6">
        <f>'[1]FEB 2024'!F19</f>
        <v>0</v>
      </c>
      <c r="G2196" s="4"/>
      <c r="H2196" s="4"/>
    </row>
    <row r="2197" spans="1:8" x14ac:dyDescent="0.2">
      <c r="A2197" s="20">
        <f>'[1]FEB 2024'!A20</f>
        <v>45325</v>
      </c>
      <c r="B2197" s="12" t="str">
        <f>'[1]FEB 2024'!B20</f>
        <v>Frauen</v>
      </c>
      <c r="C2197" s="3">
        <f>'[1]FEB 2024'!C20</f>
        <v>0</v>
      </c>
      <c r="D2197" s="3">
        <f>'[1]FEB 2024'!D20</f>
        <v>300</v>
      </c>
      <c r="E2197" s="4">
        <f>'[1]FEB 2024'!E20</f>
        <v>0</v>
      </c>
      <c r="F2197" s="6">
        <f>'[1]FEB 2024'!F20</f>
        <v>0</v>
      </c>
      <c r="G2197" s="4"/>
      <c r="H2197" s="4"/>
    </row>
    <row r="2198" spans="1:8" x14ac:dyDescent="0.2">
      <c r="A2198" s="23">
        <f>'[1]FEB 2024'!A21</f>
        <v>45325</v>
      </c>
      <c r="B2198" s="12" t="str">
        <f>'[1]FEB 2024'!B21</f>
        <v>VM</v>
      </c>
      <c r="C2198" s="3">
        <f>'[1]FEB 2024'!C21</f>
        <v>0</v>
      </c>
      <c r="D2198" s="3">
        <f>'[1]FEB 2024'!D21</f>
        <v>560</v>
      </c>
      <c r="E2198" s="4">
        <f>'[1]FEB 2024'!E21</f>
        <v>0</v>
      </c>
      <c r="F2198" s="6">
        <f>'[1]FEB 2024'!F21</f>
        <v>0</v>
      </c>
      <c r="G2198" s="4"/>
      <c r="H2198" s="4"/>
    </row>
    <row r="2199" spans="1:8" x14ac:dyDescent="0.2">
      <c r="A2199" s="20">
        <f>'[1]FEB 2024'!A22</f>
        <v>45325</v>
      </c>
      <c r="B2199" s="12" t="str">
        <f>'[1]FEB 2024'!B22</f>
        <v>LM</v>
      </c>
      <c r="C2199" s="3">
        <f>'[1]FEB 2024'!C22</f>
        <v>0</v>
      </c>
      <c r="D2199" s="3">
        <f>'[1]FEB 2024'!D22</f>
        <v>791</v>
      </c>
      <c r="E2199" s="4">
        <f>'[1]FEB 2024'!E22</f>
        <v>0</v>
      </c>
      <c r="F2199" s="6">
        <f>'[1]FEB 2024'!F22</f>
        <v>0</v>
      </c>
      <c r="G2199" s="4"/>
      <c r="H2199" s="4"/>
    </row>
    <row r="2200" spans="1:8" x14ac:dyDescent="0.2">
      <c r="A2200" s="23">
        <f>'[1]FEB 2024'!A23</f>
        <v>45326</v>
      </c>
      <c r="B2200" s="12" t="str">
        <f>'[1]FEB 2024'!B23</f>
        <v>LM</v>
      </c>
      <c r="C2200" s="3">
        <f>'[1]FEB 2024'!C23</f>
        <v>0</v>
      </c>
      <c r="D2200" s="3">
        <f>'[1]FEB 2024'!D23</f>
        <v>1150</v>
      </c>
      <c r="E2200" s="4">
        <f>'[1]FEB 2024'!E23</f>
        <v>0</v>
      </c>
      <c r="F2200" s="6">
        <f>'[1]FEB 2024'!F23</f>
        <v>0</v>
      </c>
      <c r="G2200" s="4"/>
      <c r="H2200" s="4"/>
    </row>
    <row r="2201" spans="1:8" x14ac:dyDescent="0.2">
      <c r="A2201" s="20">
        <f>'[1]FEB 2024'!A24</f>
        <v>45326</v>
      </c>
      <c r="B2201" s="12" t="str">
        <f>'[1]FEB 2024'!B24</f>
        <v>Andere</v>
      </c>
      <c r="C2201" s="3">
        <f>'[1]FEB 2024'!C24</f>
        <v>0</v>
      </c>
      <c r="D2201" s="3">
        <f>'[1]FEB 2024'!D24</f>
        <v>2000</v>
      </c>
      <c r="E2201" s="4">
        <f>'[1]FEB 2024'!E24</f>
        <v>0</v>
      </c>
      <c r="F2201" s="6">
        <f>'[1]FEB 2024'!F24</f>
        <v>0</v>
      </c>
      <c r="G2201" s="4"/>
      <c r="H2201" s="4"/>
    </row>
    <row r="2202" spans="1:8" x14ac:dyDescent="0.2">
      <c r="A2202" s="23">
        <f>'[1]FEB 2024'!A25</f>
        <v>45326</v>
      </c>
      <c r="B2202" s="12" t="str">
        <f>'[1]FEB 2024'!B25</f>
        <v>Frauen</v>
      </c>
      <c r="C2202" s="3">
        <f>'[1]FEB 2024'!C25</f>
        <v>0</v>
      </c>
      <c r="D2202" s="3">
        <f>'[1]FEB 2024'!D25</f>
        <v>2277</v>
      </c>
      <c r="E2202" s="4">
        <f>'[1]FEB 2024'!E25</f>
        <v>0</v>
      </c>
      <c r="F2202" s="6">
        <f>'[1]FEB 2024'!F25</f>
        <v>0</v>
      </c>
      <c r="G2202" s="4"/>
      <c r="H2202" s="4"/>
    </row>
    <row r="2203" spans="1:8" x14ac:dyDescent="0.2">
      <c r="A2203" s="20">
        <f>'[1]FEB 2024'!A26</f>
        <v>45326</v>
      </c>
      <c r="B2203" s="12" t="str">
        <f>'[1]FEB 2024'!B26</f>
        <v>LM</v>
      </c>
      <c r="C2203" s="3">
        <f>'[1]FEB 2024'!C26</f>
        <v>0</v>
      </c>
      <c r="D2203" s="3">
        <f>'[1]FEB 2024'!D26</f>
        <v>1628</v>
      </c>
      <c r="E2203" s="4">
        <f>'[1]FEB 2024'!E26</f>
        <v>0</v>
      </c>
      <c r="F2203" s="6">
        <f>'[1]FEB 2024'!F26</f>
        <v>0</v>
      </c>
      <c r="G2203" s="4"/>
      <c r="H2203" s="4"/>
    </row>
    <row r="2204" spans="1:8" x14ac:dyDescent="0.2">
      <c r="A2204" s="20">
        <f>'[1]FEB 2024'!A30</f>
        <v>45327</v>
      </c>
      <c r="B2204" s="12" t="str">
        <f>'[1]FEB 2024'!B30</f>
        <v>VM</v>
      </c>
      <c r="C2204" s="3">
        <f>'[1]FEB 2024'!C30</f>
        <v>0</v>
      </c>
      <c r="D2204" s="3">
        <f>'[1]FEB 2024'!D30</f>
        <v>1431</v>
      </c>
      <c r="E2204" s="4">
        <f>'[1]FEB 2024'!E30</f>
        <v>0</v>
      </c>
      <c r="F2204" s="6">
        <f>'[1]FEB 2024'!F30</f>
        <v>0</v>
      </c>
      <c r="G2204" s="4"/>
      <c r="H2204" s="4"/>
    </row>
    <row r="2205" spans="1:8" x14ac:dyDescent="0.2">
      <c r="A2205" s="23">
        <f>'[1]FEB 2024'!A31</f>
        <v>45327</v>
      </c>
      <c r="B2205" s="12" t="str">
        <f>'[1]FEB 2024'!B31</f>
        <v>LM</v>
      </c>
      <c r="C2205" s="3">
        <f>'[1]FEB 2024'!C31</f>
        <v>0</v>
      </c>
      <c r="D2205" s="3">
        <f>'[1]FEB 2024'!D31</f>
        <v>1445</v>
      </c>
      <c r="E2205" s="4">
        <f>'[1]FEB 2024'!E31</f>
        <v>0</v>
      </c>
      <c r="F2205" s="6">
        <f>'[1]FEB 2024'!F31</f>
        <v>0</v>
      </c>
      <c r="G2205" s="4"/>
      <c r="H2205" s="4"/>
    </row>
    <row r="2206" spans="1:8" x14ac:dyDescent="0.2">
      <c r="A2206" s="23">
        <f>'[1]FEB 2024'!A37</f>
        <v>45328</v>
      </c>
      <c r="B2206" s="12" t="str">
        <f>'[1]FEB 2024'!B37</f>
        <v>LM</v>
      </c>
      <c r="C2206" s="3">
        <f>'[1]FEB 2024'!C37</f>
        <v>0</v>
      </c>
      <c r="D2206" s="3">
        <f>'[1]FEB 2024'!D37</f>
        <v>89</v>
      </c>
      <c r="E2206" s="4">
        <f>'[1]FEB 2024'!E37</f>
        <v>0</v>
      </c>
      <c r="F2206" s="6">
        <f>'[1]FEB 2024'!F37</f>
        <v>0</v>
      </c>
      <c r="G2206" s="4"/>
      <c r="H2206" s="4"/>
    </row>
    <row r="2207" spans="1:8" x14ac:dyDescent="0.2">
      <c r="A2207" s="20">
        <f>'[1]FEB 2024'!A38</f>
        <v>45328</v>
      </c>
      <c r="B2207" s="12" t="str">
        <f>'[1]FEB 2024'!B38</f>
        <v>LM</v>
      </c>
      <c r="C2207" s="3">
        <f>'[1]FEB 2024'!C38</f>
        <v>0</v>
      </c>
      <c r="D2207" s="3">
        <f>'[1]FEB 2024'!D38</f>
        <v>728</v>
      </c>
      <c r="E2207" s="4">
        <f>'[1]FEB 2024'!E38</f>
        <v>0</v>
      </c>
      <c r="F2207" s="6">
        <f>'[1]FEB 2024'!F38</f>
        <v>0</v>
      </c>
      <c r="G2207" s="4"/>
      <c r="H2207" s="4"/>
    </row>
    <row r="2208" spans="1:8" x14ac:dyDescent="0.2">
      <c r="A2208" s="23">
        <f>'[1]FEB 2024'!A39</f>
        <v>45328</v>
      </c>
      <c r="B2208" s="12" t="str">
        <f>'[1]FEB 2024'!B39</f>
        <v>VM</v>
      </c>
      <c r="C2208" s="3">
        <f>'[1]FEB 2024'!C39</f>
        <v>0</v>
      </c>
      <c r="D2208" s="3">
        <f>'[1]FEB 2024'!D39</f>
        <v>61</v>
      </c>
      <c r="E2208" s="4">
        <f>'[1]FEB 2024'!E39</f>
        <v>0</v>
      </c>
      <c r="F2208" s="6">
        <f>'[1]FEB 2024'!F39</f>
        <v>0</v>
      </c>
      <c r="G2208" s="4"/>
      <c r="H2208" s="4"/>
    </row>
    <row r="2209" spans="1:8" x14ac:dyDescent="0.2">
      <c r="A2209" s="20">
        <f>'[1]FEB 2024'!A40</f>
        <v>45328</v>
      </c>
      <c r="B2209" s="12" t="str">
        <f>'[1]FEB 2024'!B40</f>
        <v>Andere</v>
      </c>
      <c r="C2209" s="3">
        <f>'[1]FEB 2024'!C40</f>
        <v>0</v>
      </c>
      <c r="D2209" s="3">
        <f>'[1]FEB 2024'!D40</f>
        <v>2400</v>
      </c>
      <c r="E2209" s="4">
        <f>'[1]FEB 2024'!E40</f>
        <v>0</v>
      </c>
      <c r="F2209" s="6">
        <f>'[1]FEB 2024'!F40</f>
        <v>0</v>
      </c>
      <c r="G2209" s="4"/>
      <c r="H2209" s="4"/>
    </row>
    <row r="2210" spans="1:8" x14ac:dyDescent="0.2">
      <c r="A2210" s="20">
        <f>'[1]FEB 2024'!A44</f>
        <v>45329</v>
      </c>
      <c r="B2210" s="12" t="str">
        <f>'[1]FEB 2024'!B44</f>
        <v>VM</v>
      </c>
      <c r="C2210" s="3">
        <f>'[1]FEB 2024'!C44</f>
        <v>0</v>
      </c>
      <c r="D2210" s="3">
        <f>'[1]FEB 2024'!D44</f>
        <v>61</v>
      </c>
      <c r="E2210" s="4">
        <f>'[1]FEB 2024'!E44</f>
        <v>0</v>
      </c>
      <c r="F2210" s="6">
        <f>'[1]FEB 2024'!F44</f>
        <v>0</v>
      </c>
      <c r="G2210" s="4"/>
      <c r="H2210" s="4"/>
    </row>
    <row r="2211" spans="1:8" x14ac:dyDescent="0.2">
      <c r="A2211" s="23">
        <f>'[1]FEB 2024'!A45</f>
        <v>45329</v>
      </c>
      <c r="B2211" s="12" t="str">
        <f>'[1]FEB 2024'!B45</f>
        <v>Refill</v>
      </c>
      <c r="C2211" s="3">
        <f>'[1]FEB 2024'!C45</f>
        <v>0</v>
      </c>
      <c r="D2211" s="3">
        <f>'[1]FEB 2024'!D45</f>
        <v>0</v>
      </c>
      <c r="E2211" s="4">
        <f>'[1]FEB 2024'!E45</f>
        <v>0</v>
      </c>
      <c r="F2211" s="6">
        <f>'[1]FEB 2024'!F45</f>
        <v>0</v>
      </c>
      <c r="G2211" s="4"/>
      <c r="H2211" s="4"/>
    </row>
    <row r="2212" spans="1:8" x14ac:dyDescent="0.2">
      <c r="A2212" s="20">
        <f>'[1]FEB 2024'!A46</f>
        <v>45329</v>
      </c>
      <c r="B2212" s="12" t="str">
        <f>'[1]FEB 2024'!B46</f>
        <v>Andere</v>
      </c>
      <c r="C2212" s="3">
        <f>'[1]FEB 2024'!C46</f>
        <v>0</v>
      </c>
      <c r="D2212" s="3">
        <f>'[1]FEB 2024'!D46</f>
        <v>2950</v>
      </c>
      <c r="E2212" s="4">
        <f>'[1]FEB 2024'!E46</f>
        <v>0</v>
      </c>
      <c r="F2212" s="6">
        <f>'[1]FEB 2024'!F46</f>
        <v>0</v>
      </c>
      <c r="G2212" s="4"/>
      <c r="H2212" s="4"/>
    </row>
    <row r="2213" spans="1:8" x14ac:dyDescent="0.2">
      <c r="A2213" s="23">
        <f>'[1]FEB 2024'!A47</f>
        <v>45329</v>
      </c>
      <c r="B2213" s="12" t="str">
        <f>'[1]FEB 2024'!B47</f>
        <v>LM</v>
      </c>
      <c r="C2213" s="3">
        <f>'[1]FEB 2024'!C47</f>
        <v>0</v>
      </c>
      <c r="D2213" s="3">
        <f>'[1]FEB 2024'!D47</f>
        <v>525</v>
      </c>
      <c r="E2213" s="4">
        <f>'[1]FEB 2024'!E47</f>
        <v>0</v>
      </c>
      <c r="F2213" s="6">
        <f>'[1]FEB 2024'!F47</f>
        <v>0</v>
      </c>
      <c r="G2213" s="4"/>
      <c r="H2213" s="4"/>
    </row>
    <row r="2214" spans="1:8" x14ac:dyDescent="0.2">
      <c r="A2214" s="20">
        <f>'[1]FEB 2024'!A48</f>
        <v>45329</v>
      </c>
      <c r="B2214" s="12" t="str">
        <f>'[1]FEB 2024'!B48</f>
        <v>VM</v>
      </c>
      <c r="C2214" s="3">
        <f>'[1]FEB 2024'!C48</f>
        <v>0</v>
      </c>
      <c r="D2214" s="3">
        <f>'[1]FEB 2024'!D48</f>
        <v>122</v>
      </c>
      <c r="E2214" s="4">
        <f>'[1]FEB 2024'!E48</f>
        <v>0</v>
      </c>
      <c r="F2214" s="6">
        <f>'[1]FEB 2024'!F48</f>
        <v>0</v>
      </c>
      <c r="G2214" s="4"/>
      <c r="H2214" s="4"/>
    </row>
    <row r="2215" spans="1:8" x14ac:dyDescent="0.2">
      <c r="A2215" s="23">
        <f>'[1]FEB 2024'!A49</f>
        <v>45329</v>
      </c>
      <c r="B2215" s="12" t="str">
        <f>'[1]FEB 2024'!B49</f>
        <v>Rauchen</v>
      </c>
      <c r="C2215" s="3">
        <f>'[1]FEB 2024'!C49</f>
        <v>0</v>
      </c>
      <c r="D2215" s="3">
        <f>'[1]FEB 2024'!D49</f>
        <v>0</v>
      </c>
      <c r="E2215" s="4">
        <f>'[1]FEB 2024'!E49</f>
        <v>0</v>
      </c>
      <c r="F2215" s="6">
        <f>'[1]FEB 2024'!F49</f>
        <v>150</v>
      </c>
      <c r="G2215" s="4"/>
      <c r="H2215" s="4"/>
    </row>
    <row r="2216" spans="1:8" x14ac:dyDescent="0.2">
      <c r="A2216" s="23">
        <f>'[1]FEB 2024'!A51</f>
        <v>45330</v>
      </c>
      <c r="B2216" s="12" t="str">
        <f>'[1]FEB 2024'!B51</f>
        <v>VM</v>
      </c>
      <c r="C2216" s="3">
        <f>'[1]FEB 2024'!C51</f>
        <v>0</v>
      </c>
      <c r="D2216" s="3">
        <f>'[1]FEB 2024'!D51</f>
        <v>305</v>
      </c>
      <c r="E2216" s="4">
        <f>'[1]FEB 2024'!E51</f>
        <v>0</v>
      </c>
      <c r="F2216" s="6">
        <f>'[1]FEB 2024'!F51</f>
        <v>0</v>
      </c>
      <c r="G2216" s="4"/>
      <c r="H2216" s="4"/>
    </row>
    <row r="2217" spans="1:8" x14ac:dyDescent="0.2">
      <c r="A2217" s="20">
        <f>'[1]FEB 2024'!A52</f>
        <v>45330</v>
      </c>
      <c r="B2217" s="12" t="str">
        <f>'[1]FEB 2024'!B52</f>
        <v>LM</v>
      </c>
      <c r="C2217" s="3">
        <f>'[1]FEB 2024'!C52</f>
        <v>0</v>
      </c>
      <c r="D2217" s="3">
        <f>'[1]FEB 2024'!D52</f>
        <v>1473</v>
      </c>
      <c r="E2217" s="4">
        <f>'[1]FEB 2024'!E52</f>
        <v>0</v>
      </c>
      <c r="F2217" s="6">
        <f>'[1]FEB 2024'!F52</f>
        <v>0</v>
      </c>
      <c r="G2217" s="4"/>
      <c r="H2217" s="4"/>
    </row>
    <row r="2218" spans="1:8" x14ac:dyDescent="0.2">
      <c r="A2218" s="20">
        <f>'[1]FEB 2024'!A58</f>
        <v>45331</v>
      </c>
      <c r="B2218" s="12" t="str">
        <f>'[1]FEB 2024'!B58</f>
        <v>Refill</v>
      </c>
      <c r="C2218" s="3">
        <f>'[1]FEB 2024'!C58</f>
        <v>81848.12</v>
      </c>
      <c r="D2218" s="3">
        <f>'[1]FEB 2024'!D58</f>
        <v>0</v>
      </c>
      <c r="E2218" s="4">
        <f>'[1]FEB 2024'!E58</f>
        <v>0</v>
      </c>
      <c r="F2218" s="6">
        <f>'[1]FEB 2024'!F58</f>
        <v>0</v>
      </c>
      <c r="G2218" s="4"/>
      <c r="H2218" s="4"/>
    </row>
    <row r="2219" spans="1:8" x14ac:dyDescent="0.2">
      <c r="A2219" s="23">
        <f>'[1]FEB 2024'!A59</f>
        <v>45331</v>
      </c>
      <c r="B2219" s="12" t="str">
        <f>'[1]FEB 2024'!B59</f>
        <v>LM</v>
      </c>
      <c r="C2219" s="3">
        <f>'[1]FEB 2024'!C59</f>
        <v>0</v>
      </c>
      <c r="D2219" s="3">
        <f>'[1]FEB 2024'!D59</f>
        <v>430</v>
      </c>
      <c r="E2219" s="4">
        <f>'[1]FEB 2024'!E59</f>
        <v>0</v>
      </c>
      <c r="F2219" s="6">
        <f>'[1]FEB 2024'!F59</f>
        <v>0</v>
      </c>
      <c r="G2219" s="4"/>
      <c r="H2219" s="4"/>
    </row>
    <row r="2220" spans="1:8" x14ac:dyDescent="0.2">
      <c r="A2220" s="20">
        <f>'[1]FEB 2024'!A60</f>
        <v>45331</v>
      </c>
      <c r="B2220" s="12" t="str">
        <f>'[1]FEB 2024'!B60</f>
        <v>LM</v>
      </c>
      <c r="C2220" s="3">
        <f>'[1]FEB 2024'!C60</f>
        <v>0</v>
      </c>
      <c r="D2220" s="3">
        <f>'[1]FEB 2024'!D60</f>
        <v>89</v>
      </c>
      <c r="E2220" s="4">
        <f>'[1]FEB 2024'!E60</f>
        <v>0</v>
      </c>
      <c r="F2220" s="6">
        <f>'[1]FEB 2024'!F60</f>
        <v>0</v>
      </c>
      <c r="G2220" s="4"/>
      <c r="H2220" s="4"/>
    </row>
    <row r="2221" spans="1:8" x14ac:dyDescent="0.2">
      <c r="A2221" s="23">
        <f>'[1]FEB 2024'!A61</f>
        <v>45331</v>
      </c>
      <c r="B2221" s="12" t="str">
        <f>'[1]FEB 2024'!B61</f>
        <v>Party</v>
      </c>
      <c r="C2221" s="3">
        <f>'[1]FEB 2024'!C61</f>
        <v>0</v>
      </c>
      <c r="D2221" s="3">
        <f>'[1]FEB 2024'!D61</f>
        <v>1300</v>
      </c>
      <c r="E2221" s="4">
        <f>'[1]FEB 2024'!E61</f>
        <v>0</v>
      </c>
      <c r="F2221" s="6">
        <f>'[1]FEB 2024'!F61</f>
        <v>0</v>
      </c>
      <c r="G2221" s="4"/>
      <c r="H2221" s="4"/>
    </row>
    <row r="2222" spans="1:8" x14ac:dyDescent="0.2">
      <c r="A2222" s="20">
        <f>'[1]FEB 2024'!A62</f>
        <v>45331</v>
      </c>
      <c r="B2222" s="12" t="str">
        <f>'[1]FEB 2024'!B62</f>
        <v>VM</v>
      </c>
      <c r="C2222" s="3">
        <f>'[1]FEB 2024'!C62</f>
        <v>0</v>
      </c>
      <c r="D2222" s="3">
        <f>'[1]FEB 2024'!D62</f>
        <v>1705</v>
      </c>
      <c r="E2222" s="4">
        <f>'[1]FEB 2024'!E62</f>
        <v>0</v>
      </c>
      <c r="F2222" s="6">
        <f>'[1]FEB 2024'!F62</f>
        <v>0</v>
      </c>
      <c r="G2222" s="4"/>
      <c r="H2222" s="4"/>
    </row>
    <row r="2223" spans="1:8" x14ac:dyDescent="0.2">
      <c r="A2223" s="23">
        <f>'[1]FEB 2024'!A63</f>
        <v>45331</v>
      </c>
      <c r="B2223" s="12" t="str">
        <f>'[1]FEB 2024'!B63</f>
        <v>VM</v>
      </c>
      <c r="C2223" s="3">
        <f>'[1]FEB 2024'!C63</f>
        <v>0</v>
      </c>
      <c r="D2223" s="3">
        <f>'[1]FEB 2024'!D63</f>
        <v>122</v>
      </c>
      <c r="E2223" s="4">
        <f>'[1]FEB 2024'!E63</f>
        <v>0</v>
      </c>
      <c r="F2223" s="6">
        <f>'[1]FEB 2024'!F63</f>
        <v>0</v>
      </c>
      <c r="G2223" s="4"/>
      <c r="H2223" s="4"/>
    </row>
    <row r="2224" spans="1:8" x14ac:dyDescent="0.2">
      <c r="A2224" s="20">
        <f>'[1]FEB 2024'!A64</f>
        <v>45331</v>
      </c>
      <c r="B2224" s="12" t="str">
        <f>'[1]FEB 2024'!B64</f>
        <v>Rauchen</v>
      </c>
      <c r="C2224" s="3">
        <f>'[1]FEB 2024'!C64</f>
        <v>0</v>
      </c>
      <c r="D2224" s="3">
        <f>'[1]FEB 2024'!D64</f>
        <v>0</v>
      </c>
      <c r="E2224" s="4">
        <f>'[1]FEB 2024'!E64</f>
        <v>0</v>
      </c>
      <c r="F2224" s="6">
        <f>'[1]FEB 2024'!F64</f>
        <v>150</v>
      </c>
      <c r="G2224" s="4"/>
      <c r="H2224" s="4"/>
    </row>
    <row r="2225" spans="1:8" x14ac:dyDescent="0.2">
      <c r="A2225" s="23">
        <f>'[1]FEB 2024'!A65</f>
        <v>45332</v>
      </c>
      <c r="B2225" s="12" t="str">
        <f>'[1]FEB 2024'!B65</f>
        <v>VM</v>
      </c>
      <c r="C2225" s="3">
        <f>'[1]FEB 2024'!C65</f>
        <v>0</v>
      </c>
      <c r="D2225" s="3">
        <f>'[1]FEB 2024'!D65</f>
        <v>1732</v>
      </c>
      <c r="E2225" s="4">
        <f>'[1]FEB 2024'!E65</f>
        <v>0</v>
      </c>
      <c r="F2225" s="6">
        <f>'[1]FEB 2024'!F65</f>
        <v>0</v>
      </c>
      <c r="G2225" s="4"/>
      <c r="H2225" s="4"/>
    </row>
    <row r="2226" spans="1:8" x14ac:dyDescent="0.2">
      <c r="A2226" s="20">
        <f>'[1]FEB 2024'!A66</f>
        <v>45332</v>
      </c>
      <c r="B2226" s="12" t="str">
        <f>'[1]FEB 2024'!B66</f>
        <v>LM</v>
      </c>
      <c r="C2226" s="3">
        <f>'[1]FEB 2024'!C66</f>
        <v>0</v>
      </c>
      <c r="D2226" s="3">
        <f>'[1]FEB 2024'!D66</f>
        <v>1094</v>
      </c>
      <c r="E2226" s="4">
        <f>'[1]FEB 2024'!E66</f>
        <v>0</v>
      </c>
      <c r="F2226" s="6">
        <f>'[1]FEB 2024'!F66</f>
        <v>0</v>
      </c>
      <c r="G2226" s="4"/>
      <c r="H2226" s="4"/>
    </row>
    <row r="2227" spans="1:8" x14ac:dyDescent="0.2">
      <c r="A2227" s="23">
        <f>'[1]FEB 2024'!A67</f>
        <v>45332</v>
      </c>
      <c r="B2227" s="12" t="str">
        <f>'[1]FEB 2024'!B67</f>
        <v>none</v>
      </c>
      <c r="C2227" s="3">
        <f>'[1]FEB 2024'!C67</f>
        <v>0</v>
      </c>
      <c r="D2227" s="3">
        <f>'[1]FEB 2024'!D67</f>
        <v>3000</v>
      </c>
      <c r="E2227" s="4">
        <f>'[1]FEB 2024'!E67</f>
        <v>3000</v>
      </c>
      <c r="F2227" s="6">
        <f>'[1]FEB 2024'!F67</f>
        <v>0</v>
      </c>
      <c r="G2227" s="4"/>
      <c r="H2227" s="4"/>
    </row>
    <row r="2228" spans="1:8" x14ac:dyDescent="0.2">
      <c r="A2228" s="20">
        <f>'[1]FEB 2024'!A68</f>
        <v>45332</v>
      </c>
      <c r="B2228" s="12" t="str">
        <f>'[1]FEB 2024'!B68</f>
        <v>Rauchen</v>
      </c>
      <c r="C2228" s="3">
        <f>'[1]FEB 2024'!C68</f>
        <v>0</v>
      </c>
      <c r="D2228" s="3">
        <f>'[1]FEB 2024'!D68</f>
        <v>0</v>
      </c>
      <c r="E2228" s="4">
        <f>'[1]FEB 2024'!E68</f>
        <v>0</v>
      </c>
      <c r="F2228" s="6">
        <f>'[1]FEB 2024'!F68</f>
        <v>150</v>
      </c>
      <c r="G2228" s="4"/>
      <c r="H2228" s="4"/>
    </row>
    <row r="2229" spans="1:8" x14ac:dyDescent="0.2">
      <c r="A2229" s="23">
        <f>'[1]FEB 2024'!A79</f>
        <v>45334</v>
      </c>
      <c r="B2229" s="12" t="str">
        <f>'[1]FEB 2024'!B79</f>
        <v>Frauen</v>
      </c>
      <c r="C2229" s="3">
        <f>'[1]FEB 2024'!C79</f>
        <v>0</v>
      </c>
      <c r="D2229" s="3">
        <f>'[1]FEB 2024'!D79</f>
        <v>4010</v>
      </c>
      <c r="E2229" s="4">
        <f>'[1]FEB 2024'!E79</f>
        <v>0</v>
      </c>
      <c r="F2229" s="6">
        <f>'[1]FEB 2024'!F79</f>
        <v>0</v>
      </c>
      <c r="G2229" s="4"/>
      <c r="H2229" s="4"/>
    </row>
    <row r="2230" spans="1:8" x14ac:dyDescent="0.2">
      <c r="A2230" s="20">
        <f>'[1]FEB 2024'!A80</f>
        <v>45334</v>
      </c>
      <c r="B2230" s="12" t="str">
        <f>'[1]FEB 2024'!B80</f>
        <v>Rauchen</v>
      </c>
      <c r="C2230" s="3">
        <f>'[1]FEB 2024'!C80</f>
        <v>0</v>
      </c>
      <c r="D2230" s="3">
        <f>'[1]FEB 2024'!D80</f>
        <v>0</v>
      </c>
      <c r="E2230" s="4">
        <f>'[1]FEB 2024'!E80</f>
        <v>0</v>
      </c>
      <c r="F2230" s="6">
        <f>'[1]FEB 2024'!F80</f>
        <v>150</v>
      </c>
      <c r="G2230" s="4"/>
      <c r="H2230" s="4"/>
    </row>
    <row r="2231" spans="1:8" x14ac:dyDescent="0.2">
      <c r="A2231" s="20">
        <f>'[1]FEB 2024'!A86</f>
        <v>45335</v>
      </c>
      <c r="B2231" s="12" t="str">
        <f>'[1]FEB 2024'!B86</f>
        <v>for me</v>
      </c>
      <c r="C2231" s="3">
        <f>'[1]FEB 2024'!C86</f>
        <v>0</v>
      </c>
      <c r="D2231" s="3">
        <f>'[1]FEB 2024'!D86</f>
        <v>10000</v>
      </c>
      <c r="E2231" s="4">
        <f>'[1]FEB 2024'!E86</f>
        <v>0</v>
      </c>
      <c r="F2231" s="6">
        <f>'[1]FEB 2024'!F86</f>
        <v>0</v>
      </c>
      <c r="G2231" s="4"/>
      <c r="H2231" s="4"/>
    </row>
    <row r="2232" spans="1:8" x14ac:dyDescent="0.2">
      <c r="A2232" s="23">
        <f>'[1]FEB 2024'!A87</f>
        <v>45335</v>
      </c>
      <c r="B2232" s="12" t="str">
        <f>'[1]FEB 2024'!B87</f>
        <v>LM</v>
      </c>
      <c r="C2232" s="3">
        <f>'[1]FEB 2024'!C87</f>
        <v>0</v>
      </c>
      <c r="D2232" s="3">
        <f>'[1]FEB 2024'!D87</f>
        <v>990</v>
      </c>
      <c r="E2232" s="4">
        <f>'[1]FEB 2024'!E87</f>
        <v>0</v>
      </c>
      <c r="F2232" s="6">
        <f>'[1]FEB 2024'!F87</f>
        <v>0</v>
      </c>
      <c r="G2232" s="4"/>
      <c r="H2232" s="4"/>
    </row>
    <row r="2233" spans="1:8" x14ac:dyDescent="0.2">
      <c r="A2233" s="20">
        <f>'[1]FEB 2024'!A88</f>
        <v>45335</v>
      </c>
      <c r="B2233" s="12" t="str">
        <f>'[1]FEB 2024'!B88</f>
        <v>LM</v>
      </c>
      <c r="C2233" s="3">
        <f>'[1]FEB 2024'!C88</f>
        <v>0</v>
      </c>
      <c r="D2233" s="3">
        <f>'[1]FEB 2024'!D88</f>
        <v>426</v>
      </c>
      <c r="E2233" s="4">
        <f>'[1]FEB 2024'!E88</f>
        <v>0</v>
      </c>
      <c r="F2233" s="6">
        <f>'[1]FEB 2024'!F88</f>
        <v>0</v>
      </c>
      <c r="G2233" s="4"/>
      <c r="H2233" s="4"/>
    </row>
    <row r="2234" spans="1:8" x14ac:dyDescent="0.2">
      <c r="A2234" s="23">
        <f>'[1]FEB 2024'!A93</f>
        <v>45336</v>
      </c>
      <c r="B2234" s="12" t="str">
        <f>'[1]FEB 2024'!B93</f>
        <v>LM</v>
      </c>
      <c r="C2234" s="3">
        <f>'[1]FEB 2024'!C93</f>
        <v>0</v>
      </c>
      <c r="D2234" s="3">
        <f>'[1]FEB 2024'!D93</f>
        <v>434</v>
      </c>
      <c r="E2234" s="4">
        <f>'[1]FEB 2024'!E93</f>
        <v>0</v>
      </c>
      <c r="F2234" s="6">
        <f>'[1]FEB 2024'!F93</f>
        <v>0</v>
      </c>
      <c r="G2234" s="4"/>
      <c r="H2234" s="4"/>
    </row>
    <row r="2235" spans="1:8" x14ac:dyDescent="0.2">
      <c r="A2235" s="23">
        <f>'[1]FEB 2024'!A95</f>
        <v>45336</v>
      </c>
      <c r="B2235" s="12" t="str">
        <f>'[1]FEB 2024'!B95</f>
        <v>Rauchen</v>
      </c>
      <c r="C2235" s="3">
        <f>'[1]FEB 2024'!C95</f>
        <v>0</v>
      </c>
      <c r="D2235" s="3">
        <f>'[1]FEB 2024'!D95</f>
        <v>0</v>
      </c>
      <c r="E2235" s="4">
        <f>'[1]FEB 2024'!E95</f>
        <v>0</v>
      </c>
      <c r="F2235" s="6">
        <f>'[1]FEB 2024'!F95</f>
        <v>300</v>
      </c>
      <c r="G2235" s="4"/>
      <c r="H2235" s="4"/>
    </row>
    <row r="2236" spans="1:8" x14ac:dyDescent="0.2">
      <c r="A2236" s="20">
        <f>'[1]FEB 2024'!A100</f>
        <v>45337</v>
      </c>
      <c r="B2236" s="12" t="str">
        <f>'[1]FEB 2024'!B100</f>
        <v>LM</v>
      </c>
      <c r="C2236" s="3">
        <f>'[1]FEB 2024'!C100</f>
        <v>0</v>
      </c>
      <c r="D2236" s="3">
        <f>'[1]FEB 2024'!D100</f>
        <v>1040</v>
      </c>
      <c r="E2236" s="4">
        <f>'[1]FEB 2024'!E100</f>
        <v>0</v>
      </c>
      <c r="F2236" s="6">
        <f>'[1]FEB 2024'!F100</f>
        <v>0</v>
      </c>
      <c r="G2236" s="4"/>
      <c r="H2236" s="4"/>
    </row>
    <row r="2237" spans="1:8" x14ac:dyDescent="0.2">
      <c r="A2237" s="23">
        <f>'[1]FEB 2024'!A107</f>
        <v>45338</v>
      </c>
      <c r="B2237" s="12" t="str">
        <f>'[1]FEB 2024'!B107</f>
        <v>Party</v>
      </c>
      <c r="C2237" s="3">
        <f>'[1]FEB 2024'!C107</f>
        <v>0</v>
      </c>
      <c r="D2237" s="3">
        <f>'[1]FEB 2024'!D107</f>
        <v>1600</v>
      </c>
      <c r="E2237" s="4">
        <f>'[1]FEB 2024'!E107</f>
        <v>0</v>
      </c>
      <c r="F2237" s="6">
        <f>'[1]FEB 2024'!F107</f>
        <v>0</v>
      </c>
      <c r="G2237" s="4"/>
      <c r="H2237" s="4"/>
    </row>
    <row r="2238" spans="1:8" x14ac:dyDescent="0.2">
      <c r="A2238" s="20">
        <f>'[1]FEB 2024'!A108</f>
        <v>45338</v>
      </c>
      <c r="B2238" s="12" t="str">
        <f>'[1]FEB 2024'!B108</f>
        <v>LM</v>
      </c>
      <c r="C2238" s="3">
        <f>'[1]FEB 2024'!C108</f>
        <v>0</v>
      </c>
      <c r="D2238" s="3">
        <f>'[1]FEB 2024'!D108</f>
        <v>1714.33</v>
      </c>
      <c r="E2238" s="4">
        <f>'[1]FEB 2024'!E108</f>
        <v>0</v>
      </c>
      <c r="F2238" s="6">
        <f>'[1]FEB 2024'!F108</f>
        <v>0</v>
      </c>
      <c r="G2238" s="4"/>
      <c r="H2238" s="4"/>
    </row>
    <row r="2239" spans="1:8" x14ac:dyDescent="0.2">
      <c r="A2239" s="23">
        <f>'[1]FEB 2024'!A109</f>
        <v>45338</v>
      </c>
      <c r="B2239" s="12" t="str">
        <f>'[1]FEB 2024'!B109</f>
        <v>VM</v>
      </c>
      <c r="C2239" s="3">
        <f>'[1]FEB 2024'!C109</f>
        <v>0</v>
      </c>
      <c r="D2239" s="3">
        <f>'[1]FEB 2024'!D109</f>
        <v>122</v>
      </c>
      <c r="E2239" s="4">
        <f>'[1]FEB 2024'!E109</f>
        <v>0</v>
      </c>
      <c r="F2239" s="6">
        <f>'[1]FEB 2024'!F109</f>
        <v>0</v>
      </c>
      <c r="G2239" s="4"/>
      <c r="H2239" s="4"/>
    </row>
    <row r="2240" spans="1:8" x14ac:dyDescent="0.2">
      <c r="A2240" s="20">
        <f>'[1]FEB 2024'!A114</f>
        <v>45339</v>
      </c>
      <c r="B2240" s="12" t="str">
        <f>'[1]FEB 2024'!B114</f>
        <v>rent</v>
      </c>
      <c r="C2240" s="3">
        <f>'[1]FEB 2024'!C114</f>
        <v>0</v>
      </c>
      <c r="D2240" s="3">
        <f>'[1]FEB 2024'!D114</f>
        <v>0</v>
      </c>
      <c r="E2240" s="4">
        <f>'[1]FEB 2024'!E114</f>
        <v>0</v>
      </c>
      <c r="F2240" s="6">
        <f>'[1]FEB 2024'!F114</f>
        <v>55059</v>
      </c>
      <c r="G2240" s="4"/>
      <c r="H2240" s="4"/>
    </row>
    <row r="2241" spans="1:8" x14ac:dyDescent="0.2">
      <c r="A2241" s="23">
        <f>'[1]FEB 2024'!A115</f>
        <v>45339</v>
      </c>
      <c r="B2241" s="12" t="str">
        <f>'[1]FEB 2024'!B115</f>
        <v>none</v>
      </c>
      <c r="C2241" s="3">
        <f>'[1]FEB 2024'!C115</f>
        <v>0</v>
      </c>
      <c r="D2241" s="3">
        <f>'[1]FEB 2024'!D115</f>
        <v>55000</v>
      </c>
      <c r="E2241" s="4">
        <f>'[1]FEB 2024'!E115</f>
        <v>55000</v>
      </c>
      <c r="F2241" s="6">
        <f>'[1]FEB 2024'!F115</f>
        <v>0</v>
      </c>
      <c r="G2241" s="4"/>
      <c r="H2241" s="4"/>
    </row>
    <row r="2242" spans="1:8" x14ac:dyDescent="0.2">
      <c r="A2242" s="20">
        <f>'[1]FEB 2024'!A116</f>
        <v>45339</v>
      </c>
      <c r="B2242" s="12" t="str">
        <f>'[1]FEB 2024'!B116</f>
        <v>LM</v>
      </c>
      <c r="C2242" s="3">
        <f>'[1]FEB 2024'!C116</f>
        <v>0</v>
      </c>
      <c r="D2242" s="3">
        <f>'[1]FEB 2024'!D116</f>
        <v>1408.98</v>
      </c>
      <c r="E2242" s="4">
        <f>'[1]FEB 2024'!E116</f>
        <v>0</v>
      </c>
      <c r="F2242" s="6">
        <f>'[1]FEB 2024'!F116</f>
        <v>0</v>
      </c>
      <c r="G2242" s="4"/>
      <c r="H2242" s="4"/>
    </row>
    <row r="2243" spans="1:8" x14ac:dyDescent="0.2">
      <c r="A2243" s="23">
        <f>'[1]FEB 2024'!A117</f>
        <v>45339</v>
      </c>
      <c r="B2243" s="12" t="str">
        <f>'[1]FEB 2024'!B117</f>
        <v>Andere</v>
      </c>
      <c r="C2243" s="3">
        <f>'[1]FEB 2024'!C117</f>
        <v>0</v>
      </c>
      <c r="D2243" s="3">
        <f>'[1]FEB 2024'!D117</f>
        <v>1300</v>
      </c>
      <c r="E2243" s="4">
        <f>'[1]FEB 2024'!E117</f>
        <v>0</v>
      </c>
      <c r="F2243" s="6">
        <f>'[1]FEB 2024'!F117</f>
        <v>0</v>
      </c>
      <c r="G2243" s="4"/>
      <c r="H2243" s="4"/>
    </row>
    <row r="2244" spans="1:8" x14ac:dyDescent="0.2">
      <c r="A2244" s="20">
        <f>'[1]FEB 2024'!A118</f>
        <v>45339</v>
      </c>
      <c r="B2244" s="12" t="str">
        <f>'[1]FEB 2024'!B118</f>
        <v>VM</v>
      </c>
      <c r="C2244" s="3">
        <f>'[1]FEB 2024'!C118</f>
        <v>0</v>
      </c>
      <c r="D2244" s="3">
        <f>'[1]FEB 2024'!D118</f>
        <v>122</v>
      </c>
      <c r="E2244" s="4">
        <f>'[1]FEB 2024'!E118</f>
        <v>0</v>
      </c>
      <c r="F2244" s="6">
        <f>'[1]FEB 2024'!F118</f>
        <v>0</v>
      </c>
      <c r="G2244" s="4"/>
      <c r="H2244" s="4"/>
    </row>
    <row r="2245" spans="1:8" x14ac:dyDescent="0.2">
      <c r="A2245" s="23">
        <f>'[1]FEB 2024'!A121</f>
        <v>45340</v>
      </c>
      <c r="B2245" s="12" t="str">
        <f>'[1]FEB 2024'!B121</f>
        <v>VM</v>
      </c>
      <c r="C2245" s="3">
        <f>'[1]FEB 2024'!C121</f>
        <v>0</v>
      </c>
      <c r="D2245" s="3">
        <f>'[1]FEB 2024'!D121</f>
        <v>909</v>
      </c>
      <c r="E2245" s="4">
        <f>'[1]FEB 2024'!E121</f>
        <v>0</v>
      </c>
      <c r="F2245" s="6">
        <f>'[1]FEB 2024'!F121</f>
        <v>0</v>
      </c>
      <c r="G2245" s="4"/>
      <c r="H2245" s="4"/>
    </row>
    <row r="2246" spans="1:8" x14ac:dyDescent="0.2">
      <c r="A2246" s="20">
        <f>'[1]FEB 2024'!A122</f>
        <v>45340</v>
      </c>
      <c r="B2246" s="12" t="str">
        <f>'[1]FEB 2024'!B122</f>
        <v>Party</v>
      </c>
      <c r="C2246" s="3">
        <f>'[1]FEB 2024'!C122</f>
        <v>0</v>
      </c>
      <c r="D2246" s="3">
        <f>'[1]FEB 2024'!D122</f>
        <v>2700</v>
      </c>
      <c r="E2246" s="4">
        <f>'[1]FEB 2024'!E122</f>
        <v>0</v>
      </c>
      <c r="F2246" s="6">
        <f>'[1]FEB 2024'!F122</f>
        <v>0</v>
      </c>
      <c r="G2246" s="4"/>
      <c r="H2246" s="4"/>
    </row>
    <row r="2247" spans="1:8" x14ac:dyDescent="0.2">
      <c r="A2247" s="23">
        <f>'[1]FEB 2024'!A123</f>
        <v>45340</v>
      </c>
      <c r="B2247" s="12" t="str">
        <f>'[1]FEB 2024'!B123</f>
        <v>LM</v>
      </c>
      <c r="C2247" s="3">
        <f>'[1]FEB 2024'!C123</f>
        <v>0</v>
      </c>
      <c r="D2247" s="3">
        <f>'[1]FEB 2024'!D123</f>
        <v>1950</v>
      </c>
      <c r="E2247" s="4">
        <f>'[1]FEB 2024'!E123</f>
        <v>0</v>
      </c>
      <c r="F2247" s="6">
        <f>'[1]FEB 2024'!F123</f>
        <v>0</v>
      </c>
      <c r="G2247" s="4"/>
      <c r="H2247" s="4"/>
    </row>
    <row r="2248" spans="1:8" x14ac:dyDescent="0.2">
      <c r="A2248" s="20">
        <f>'[1]FEB 2024'!A124</f>
        <v>45340</v>
      </c>
      <c r="B2248" s="12" t="str">
        <f>'[1]FEB 2024'!B124</f>
        <v>none</v>
      </c>
      <c r="C2248" s="3">
        <f>'[1]FEB 2024'!C124</f>
        <v>0</v>
      </c>
      <c r="D2248" s="3">
        <f>'[1]FEB 2024'!D124</f>
        <v>21447</v>
      </c>
      <c r="E2248" s="4">
        <f>'[1]FEB 2024'!E124</f>
        <v>0</v>
      </c>
      <c r="F2248" s="6">
        <f>'[1]FEB 2024'!F124</f>
        <v>0</v>
      </c>
      <c r="G2248" s="4"/>
      <c r="H2248" s="4"/>
    </row>
    <row r="2249" spans="1:8" x14ac:dyDescent="0.2">
      <c r="A2249" s="23">
        <f>'[1]FEB 2024'!A125</f>
        <v>45340</v>
      </c>
      <c r="B2249" s="12" t="str">
        <f>'[1]FEB 2024'!B125</f>
        <v>Rauchen</v>
      </c>
      <c r="C2249" s="3">
        <f>'[1]FEB 2024'!C125</f>
        <v>0</v>
      </c>
      <c r="D2249" s="3">
        <f>'[1]FEB 2024'!D125</f>
        <v>0</v>
      </c>
      <c r="E2249" s="4">
        <f>'[1]FEB 2024'!E125</f>
        <v>0</v>
      </c>
      <c r="F2249" s="6">
        <f>'[1]FEB 2024'!F125</f>
        <v>303</v>
      </c>
      <c r="G2249" s="4"/>
      <c r="H2249" s="4"/>
    </row>
    <row r="2250" spans="1:8" x14ac:dyDescent="0.2">
      <c r="A2250" s="20">
        <f>'[1]FEB 2024'!A128</f>
        <v>45341</v>
      </c>
      <c r="B2250" s="12" t="str">
        <f>'[1]FEB 2024'!B128</f>
        <v>VM</v>
      </c>
      <c r="C2250" s="3">
        <f>'[1]FEB 2024'!C128</f>
        <v>0</v>
      </c>
      <c r="D2250" s="3">
        <f>'[1]FEB 2024'!D128</f>
        <v>366</v>
      </c>
      <c r="E2250" s="4">
        <f>'[1]FEB 2024'!E128</f>
        <v>0</v>
      </c>
      <c r="F2250" s="6">
        <f>'[1]FEB 2024'!F128</f>
        <v>0</v>
      </c>
      <c r="G2250" s="4"/>
      <c r="H2250" s="4"/>
    </row>
    <row r="2251" spans="1:8" x14ac:dyDescent="0.2">
      <c r="A2251" s="23">
        <f>'[1]FEB 2024'!A129</f>
        <v>45341</v>
      </c>
      <c r="B2251" s="12" t="str">
        <f>'[1]FEB 2024'!B129</f>
        <v>LM</v>
      </c>
      <c r="C2251" s="3">
        <f>'[1]FEB 2024'!C129</f>
        <v>0</v>
      </c>
      <c r="D2251" s="3">
        <f>'[1]FEB 2024'!D129</f>
        <v>770</v>
      </c>
      <c r="E2251" s="4">
        <f>'[1]FEB 2024'!E129</f>
        <v>0</v>
      </c>
      <c r="F2251" s="6">
        <f>'[1]FEB 2024'!F129</f>
        <v>0</v>
      </c>
      <c r="G2251" s="4"/>
      <c r="H2251" s="4"/>
    </row>
    <row r="2252" spans="1:8" x14ac:dyDescent="0.2">
      <c r="A2252" s="23">
        <f>'[1]FEB 2024'!A135</f>
        <v>45342</v>
      </c>
      <c r="B2252" s="12" t="str">
        <f>'[1]FEB 2024'!B135</f>
        <v>LM</v>
      </c>
      <c r="C2252" s="3">
        <f>'[1]FEB 2024'!C135</f>
        <v>0</v>
      </c>
      <c r="D2252" s="3">
        <f>'[1]FEB 2024'!D135</f>
        <v>1473</v>
      </c>
      <c r="E2252" s="4">
        <f>'[1]FEB 2024'!E135</f>
        <v>0</v>
      </c>
      <c r="F2252" s="6">
        <f>'[1]FEB 2024'!F135</f>
        <v>0</v>
      </c>
      <c r="G2252" s="4"/>
      <c r="H2252" s="4"/>
    </row>
    <row r="2253" spans="1:8" x14ac:dyDescent="0.2">
      <c r="A2253" s="20">
        <f>'[1]FEB 2024'!A136</f>
        <v>45342</v>
      </c>
      <c r="B2253" s="12" t="str">
        <f>'[1]FEB 2024'!B136</f>
        <v>none</v>
      </c>
      <c r="C2253" s="3">
        <f>'[1]FEB 2024'!C136</f>
        <v>0</v>
      </c>
      <c r="D2253" s="3">
        <f>'[1]FEB 2024'!D136</f>
        <v>70336</v>
      </c>
      <c r="E2253" s="4">
        <f>'[1]FEB 2024'!E136</f>
        <v>0</v>
      </c>
      <c r="F2253" s="6">
        <f>'[1]FEB 2024'!F136</f>
        <v>0</v>
      </c>
      <c r="G2253" s="4"/>
      <c r="H2253" s="4"/>
    </row>
    <row r="2254" spans="1:8" x14ac:dyDescent="0.2">
      <c r="A2254" s="23">
        <f>'[1]FEB 2024'!A137</f>
        <v>45342</v>
      </c>
      <c r="B2254" s="12" t="str">
        <f>'[1]FEB 2024'!B137</f>
        <v>Party</v>
      </c>
      <c r="C2254" s="3">
        <f>'[1]FEB 2024'!C137</f>
        <v>0</v>
      </c>
      <c r="D2254" s="3">
        <f>'[1]FEB 2024'!D137</f>
        <v>5740</v>
      </c>
      <c r="E2254" s="4">
        <f>'[1]FEB 2024'!E137</f>
        <v>0</v>
      </c>
      <c r="F2254" s="6">
        <f>'[1]FEB 2024'!F137</f>
        <v>0</v>
      </c>
      <c r="G2254" s="4"/>
      <c r="H2254" s="4"/>
    </row>
    <row r="2255" spans="1:8" x14ac:dyDescent="0.2">
      <c r="A2255" s="20">
        <f>'[1]FEB 2024'!A138</f>
        <v>45342</v>
      </c>
      <c r="B2255" s="12" t="str">
        <f>'[1]FEB 2024'!B138</f>
        <v>Frauen</v>
      </c>
      <c r="C2255" s="3">
        <f>'[1]FEB 2024'!C138</f>
        <v>0</v>
      </c>
      <c r="D2255" s="3">
        <f>'[1]FEB 2024'!D138</f>
        <v>1500</v>
      </c>
      <c r="E2255" s="4">
        <f>'[1]FEB 2024'!E138</f>
        <v>0</v>
      </c>
      <c r="F2255" s="6">
        <f>'[1]FEB 2024'!F138</f>
        <v>0</v>
      </c>
      <c r="G2255" s="4"/>
      <c r="H2255" s="4"/>
    </row>
    <row r="2256" spans="1:8" x14ac:dyDescent="0.2">
      <c r="A2256" s="23">
        <f>'[1]FEB 2024'!A139</f>
        <v>45342</v>
      </c>
      <c r="B2256" s="12" t="str">
        <f>'[1]FEB 2024'!B139</f>
        <v>VM</v>
      </c>
      <c r="C2256" s="3">
        <f>'[1]FEB 2024'!C139</f>
        <v>0</v>
      </c>
      <c r="D2256" s="3">
        <f>'[1]FEB 2024'!D139</f>
        <v>1238</v>
      </c>
      <c r="E2256" s="4">
        <f>'[1]FEB 2024'!E139</f>
        <v>0</v>
      </c>
      <c r="F2256" s="6">
        <f>'[1]FEB 2024'!F139</f>
        <v>0</v>
      </c>
      <c r="G2256" s="4"/>
      <c r="H2256" s="4"/>
    </row>
    <row r="2257" spans="1:8" x14ac:dyDescent="0.2">
      <c r="A2257" s="20">
        <f>'[1]FEB 2024'!A140</f>
        <v>45342</v>
      </c>
      <c r="B2257" s="12" t="str">
        <f>'[1]FEB 2024'!B140</f>
        <v>LM</v>
      </c>
      <c r="C2257" s="3">
        <f>'[1]FEB 2024'!C140</f>
        <v>0</v>
      </c>
      <c r="D2257" s="3">
        <f>'[1]FEB 2024'!D140</f>
        <v>52.99</v>
      </c>
      <c r="E2257" s="4">
        <f>'[1]FEB 2024'!E140</f>
        <v>0</v>
      </c>
      <c r="F2257" s="6">
        <f>'[1]FEB 2024'!F140</f>
        <v>0</v>
      </c>
      <c r="G2257" s="4"/>
      <c r="H2257" s="4"/>
    </row>
    <row r="2258" spans="1:8" x14ac:dyDescent="0.2">
      <c r="A2258" s="20">
        <f>'[1]FEB 2024'!A142</f>
        <v>45343</v>
      </c>
      <c r="B2258" s="12" t="str">
        <f>'[1]FEB 2024'!B142</f>
        <v>Rauchen</v>
      </c>
      <c r="C2258" s="3">
        <f>'[1]FEB 2024'!C142</f>
        <v>0</v>
      </c>
      <c r="D2258" s="3">
        <f>'[1]FEB 2024'!D142</f>
        <v>0</v>
      </c>
      <c r="E2258" s="4">
        <f>'[1]FEB 2024'!E142</f>
        <v>0</v>
      </c>
      <c r="F2258" s="6">
        <f>'[1]FEB 2024'!F142</f>
        <v>303</v>
      </c>
      <c r="G2258" s="4"/>
      <c r="H2258" s="4"/>
    </row>
    <row r="2259" spans="1:8" x14ac:dyDescent="0.2">
      <c r="A2259" s="23">
        <f>'[1]FEB 2024'!A149</f>
        <v>45344</v>
      </c>
      <c r="B2259" s="12" t="str">
        <f>'[1]FEB 2024'!B149</f>
        <v>VM</v>
      </c>
      <c r="C2259" s="3">
        <f>'[1]FEB 2024'!C149</f>
        <v>0</v>
      </c>
      <c r="D2259" s="3">
        <f>'[1]FEB 2024'!D149</f>
        <v>61</v>
      </c>
      <c r="E2259" s="4">
        <f>'[1]FEB 2024'!E149</f>
        <v>0</v>
      </c>
      <c r="F2259" s="6">
        <f>'[1]FEB 2024'!F149</f>
        <v>0</v>
      </c>
      <c r="G2259" s="4"/>
      <c r="H2259" s="4"/>
    </row>
    <row r="2260" spans="1:8" x14ac:dyDescent="0.2">
      <c r="A2260" s="20">
        <f>'[1]FEB 2024'!A150</f>
        <v>45344</v>
      </c>
      <c r="B2260" s="12" t="str">
        <f>'[1]FEB 2024'!B150</f>
        <v>Andere</v>
      </c>
      <c r="C2260" s="3">
        <f>'[1]FEB 2024'!C150</f>
        <v>0</v>
      </c>
      <c r="D2260" s="3">
        <f>'[1]FEB 2024'!D150</f>
        <v>703.5</v>
      </c>
      <c r="E2260" s="4">
        <f>'[1]FEB 2024'!E150</f>
        <v>0</v>
      </c>
      <c r="F2260" s="6">
        <f>'[1]FEB 2024'!F150</f>
        <v>0</v>
      </c>
      <c r="G2260" s="4"/>
      <c r="H2260" s="4"/>
    </row>
    <row r="2261" spans="1:8" x14ac:dyDescent="0.2">
      <c r="A2261" s="23">
        <f>'[1]FEB 2024'!A151</f>
        <v>45344</v>
      </c>
      <c r="B2261" s="12" t="str">
        <f>'[1]FEB 2024'!B151</f>
        <v>Refill</v>
      </c>
      <c r="C2261" s="3">
        <f>'[1]FEB 2024'!C151</f>
        <v>53734.45</v>
      </c>
      <c r="D2261" s="3">
        <f>'[1]FEB 2024'!D151</f>
        <v>0</v>
      </c>
      <c r="E2261" s="4">
        <f>'[1]FEB 2024'!E151</f>
        <v>0</v>
      </c>
      <c r="F2261" s="6">
        <f>'[1]FEB 2024'!F151</f>
        <v>0</v>
      </c>
      <c r="G2261" s="4"/>
      <c r="H2261" s="4"/>
    </row>
    <row r="2262" spans="1:8" x14ac:dyDescent="0.2">
      <c r="A2262" s="20">
        <f>'[1]FEB 2024'!A152</f>
        <v>45344</v>
      </c>
      <c r="B2262" s="12" t="str">
        <f>'[1]FEB 2024'!B152</f>
        <v>LM</v>
      </c>
      <c r="C2262" s="3">
        <f>'[1]FEB 2024'!C152</f>
        <v>0</v>
      </c>
      <c r="D2262" s="3">
        <f>'[1]FEB 2024'!D152</f>
        <v>700</v>
      </c>
      <c r="E2262" s="4">
        <f>'[1]FEB 2024'!E152</f>
        <v>0</v>
      </c>
      <c r="F2262" s="6">
        <f>'[1]FEB 2024'!F152</f>
        <v>0</v>
      </c>
      <c r="G2262" s="4"/>
      <c r="H2262" s="4"/>
    </row>
    <row r="2263" spans="1:8" x14ac:dyDescent="0.2">
      <c r="A2263" s="23">
        <f>'[1]FEB 2024'!A153</f>
        <v>45344</v>
      </c>
      <c r="B2263" s="12" t="str">
        <f>'[1]FEB 2024'!B153</f>
        <v>Frauen</v>
      </c>
      <c r="C2263" s="3">
        <f>'[1]FEB 2024'!C153</f>
        <v>0</v>
      </c>
      <c r="D2263" s="3">
        <f>'[1]FEB 2024'!D153</f>
        <v>700</v>
      </c>
      <c r="E2263" s="4">
        <f>'[1]FEB 2024'!E153</f>
        <v>0</v>
      </c>
      <c r="F2263" s="6">
        <f>'[1]FEB 2024'!F153</f>
        <v>0</v>
      </c>
      <c r="G2263" s="4"/>
      <c r="H2263" s="4"/>
    </row>
    <row r="2264" spans="1:8" x14ac:dyDescent="0.2">
      <c r="A2264" s="20">
        <f>'[1]FEB 2024'!A154</f>
        <v>45344</v>
      </c>
      <c r="B2264" s="12" t="str">
        <f>'[1]FEB 2024'!B154</f>
        <v>LM</v>
      </c>
      <c r="C2264" s="3">
        <f>'[1]FEB 2024'!C154</f>
        <v>0</v>
      </c>
      <c r="D2264" s="3">
        <f>'[1]FEB 2024'!D154</f>
        <v>3229</v>
      </c>
      <c r="E2264" s="4">
        <f>'[1]FEB 2024'!E154</f>
        <v>0</v>
      </c>
      <c r="F2264" s="6">
        <f>'[1]FEB 2024'!F154</f>
        <v>0</v>
      </c>
      <c r="G2264" s="4"/>
      <c r="H2264" s="4"/>
    </row>
    <row r="2265" spans="1:8" x14ac:dyDescent="0.2">
      <c r="A2265" s="23">
        <f>'[1]FEB 2024'!A155</f>
        <v>45344</v>
      </c>
      <c r="B2265" s="12" t="str">
        <f>'[1]FEB 2024'!B155</f>
        <v>VM</v>
      </c>
      <c r="C2265" s="3">
        <f>'[1]FEB 2024'!C155</f>
        <v>0</v>
      </c>
      <c r="D2265" s="3">
        <f>'[1]FEB 2024'!D155</f>
        <v>495</v>
      </c>
      <c r="E2265" s="4">
        <f>'[1]FEB 2024'!E155</f>
        <v>0</v>
      </c>
      <c r="F2265" s="6">
        <f>'[1]FEB 2024'!F155</f>
        <v>0</v>
      </c>
      <c r="G2265" s="4"/>
      <c r="H2265" s="4"/>
    </row>
    <row r="2266" spans="1:8" x14ac:dyDescent="0.2">
      <c r="A2266" s="20">
        <f>'[1]FEB 2024'!A156</f>
        <v>45345</v>
      </c>
      <c r="B2266" s="12" t="str">
        <f>'[1]FEB 2024'!B156</f>
        <v>VM</v>
      </c>
      <c r="C2266" s="3">
        <f>'[1]FEB 2024'!C156</f>
        <v>0</v>
      </c>
      <c r="D2266" s="3">
        <f>'[1]FEB 2024'!D156</f>
        <v>122</v>
      </c>
      <c r="E2266" s="4">
        <f>'[1]FEB 2024'!E156</f>
        <v>0</v>
      </c>
      <c r="F2266" s="6">
        <f>'[1]FEB 2024'!F156</f>
        <v>0</v>
      </c>
      <c r="G2266" s="4"/>
      <c r="H2266" s="4"/>
    </row>
    <row r="2267" spans="1:8" x14ac:dyDescent="0.2">
      <c r="A2267" s="23">
        <f>'[1]FEB 2024'!A163</f>
        <v>45346</v>
      </c>
      <c r="B2267" s="12" t="str">
        <f>'[1]FEB 2024'!B163</f>
        <v>LM</v>
      </c>
      <c r="C2267" s="3">
        <f>'[1]FEB 2024'!C163</f>
        <v>0</v>
      </c>
      <c r="D2267" s="3">
        <f>'[1]FEB 2024'!D163</f>
        <v>1273.98</v>
      </c>
      <c r="E2267" s="4">
        <f>'[1]FEB 2024'!E163</f>
        <v>0</v>
      </c>
      <c r="F2267" s="6">
        <f>'[1]FEB 2024'!F163</f>
        <v>0</v>
      </c>
      <c r="G2267" s="4"/>
      <c r="H2267" s="4"/>
    </row>
    <row r="2268" spans="1:8" x14ac:dyDescent="0.2">
      <c r="A2268" s="20">
        <f>'[1]FEB 2024'!A164</f>
        <v>45346</v>
      </c>
      <c r="B2268" s="12" t="str">
        <f>'[1]FEB 2024'!B164</f>
        <v>Andere</v>
      </c>
      <c r="C2268" s="3">
        <f>'[1]FEB 2024'!C164</f>
        <v>0</v>
      </c>
      <c r="D2268" s="3">
        <f>'[1]FEB 2024'!D164</f>
        <v>50</v>
      </c>
      <c r="E2268" s="4">
        <f>'[1]FEB 2024'!E164</f>
        <v>0</v>
      </c>
      <c r="F2268" s="6">
        <f>'[1]FEB 2024'!F164</f>
        <v>200</v>
      </c>
      <c r="G2268" s="4"/>
      <c r="H2268" s="4"/>
    </row>
    <row r="2269" spans="1:8" x14ac:dyDescent="0.2">
      <c r="A2269" s="20">
        <f>'[1]FEB 2024'!A170</f>
        <v>45347</v>
      </c>
      <c r="B2269" s="12" t="str">
        <f>'[1]FEB 2024'!B170</f>
        <v>LM</v>
      </c>
      <c r="C2269" s="3">
        <f>'[1]FEB 2024'!C170</f>
        <v>0</v>
      </c>
      <c r="D2269" s="3">
        <f>'[1]FEB 2024'!D170</f>
        <v>1194</v>
      </c>
      <c r="E2269" s="4">
        <f>'[1]FEB 2024'!E170</f>
        <v>0</v>
      </c>
      <c r="F2269" s="6">
        <f>'[1]FEB 2024'!F170</f>
        <v>0</v>
      </c>
      <c r="G2269" s="4"/>
      <c r="H2269" s="4"/>
    </row>
    <row r="2270" spans="1:8" x14ac:dyDescent="0.2">
      <c r="A2270" s="23">
        <f>'[1]FEB 2024'!A171</f>
        <v>45347</v>
      </c>
      <c r="B2270" s="12" t="str">
        <f>'[1]FEB 2024'!B171</f>
        <v>none</v>
      </c>
      <c r="C2270" s="3">
        <f>'[1]FEB 2024'!C171</f>
        <v>80000</v>
      </c>
      <c r="D2270" s="3">
        <f>'[1]FEB 2024'!D171</f>
        <v>0</v>
      </c>
      <c r="E2270" s="4">
        <f>'[1]FEB 2024'!E171</f>
        <v>70500</v>
      </c>
      <c r="F2270" s="6">
        <f>'[1]FEB 2024'!F171</f>
        <v>80000</v>
      </c>
      <c r="G2270" s="4"/>
      <c r="H2270" s="4"/>
    </row>
    <row r="2271" spans="1:8" x14ac:dyDescent="0.2">
      <c r="A2271" s="20">
        <f>'[1]FEB 2024'!A172</f>
        <v>45347</v>
      </c>
      <c r="B2271" s="12" t="str">
        <f>'[1]FEB 2024'!B172</f>
        <v>none</v>
      </c>
      <c r="C2271" s="3">
        <f>'[1]FEB 2024'!C172</f>
        <v>20000</v>
      </c>
      <c r="D2271" s="3">
        <f>'[1]FEB 2024'!D172</f>
        <v>4020</v>
      </c>
      <c r="E2271" s="4">
        <f>'[1]FEB 2024'!E172</f>
        <v>0</v>
      </c>
      <c r="F2271" s="6">
        <f>'[1]FEB 2024'!F172</f>
        <v>0</v>
      </c>
      <c r="G2271" s="4"/>
      <c r="H2271" s="4"/>
    </row>
    <row r="2272" spans="1:8" x14ac:dyDescent="0.2">
      <c r="A2272" s="23">
        <f>'[1]FEB 2024'!A173</f>
        <v>45347</v>
      </c>
      <c r="B2272" s="12" t="str">
        <f>'[1]FEB 2024'!B173</f>
        <v>Kleidung</v>
      </c>
      <c r="C2272" s="3">
        <f>'[1]FEB 2024'!C173</f>
        <v>0</v>
      </c>
      <c r="D2272" s="3">
        <f>'[1]FEB 2024'!D173</f>
        <v>2745</v>
      </c>
      <c r="E2272" s="4">
        <f>'[1]FEB 2024'!E173</f>
        <v>0</v>
      </c>
      <c r="F2272" s="6">
        <f>'[1]FEB 2024'!F173</f>
        <v>0</v>
      </c>
      <c r="G2272" s="4"/>
      <c r="H2272" s="4"/>
    </row>
    <row r="2273" spans="1:8" x14ac:dyDescent="0.2">
      <c r="A2273" s="20">
        <f>'[1]FEB 2024'!A174</f>
        <v>45347</v>
      </c>
      <c r="B2273" s="12" t="str">
        <f>'[1]FEB 2024'!B174</f>
        <v>for me</v>
      </c>
      <c r="C2273" s="3">
        <f>'[1]FEB 2024'!C174</f>
        <v>0</v>
      </c>
      <c r="D2273" s="3">
        <f>'[1]FEB 2024'!D174</f>
        <v>8847</v>
      </c>
      <c r="E2273" s="4">
        <f>'[1]FEB 2024'!E174</f>
        <v>0</v>
      </c>
      <c r="F2273" s="6">
        <f>'[1]FEB 2024'!F174</f>
        <v>0</v>
      </c>
      <c r="G2273" s="4"/>
      <c r="H2273" s="4"/>
    </row>
    <row r="2274" spans="1:8" x14ac:dyDescent="0.2">
      <c r="A2274" s="23">
        <f>'[1]FEB 2024'!A177</f>
        <v>45348</v>
      </c>
      <c r="B2274" s="12" t="str">
        <f>'[1]FEB 2024'!B177</f>
        <v>LM</v>
      </c>
      <c r="C2274" s="3">
        <f>'[1]FEB 2024'!C177</f>
        <v>0</v>
      </c>
      <c r="D2274" s="3">
        <f>'[1]FEB 2024'!D177</f>
        <v>250</v>
      </c>
      <c r="E2274" s="4">
        <f>'[1]FEB 2024'!E177</f>
        <v>0</v>
      </c>
      <c r="F2274" s="6">
        <f>'[1]FEB 2024'!F177</f>
        <v>0</v>
      </c>
      <c r="G2274" s="4"/>
      <c r="H2274" s="4"/>
    </row>
    <row r="2275" spans="1:8" x14ac:dyDescent="0.2">
      <c r="A2275" s="20">
        <f>'[1]FEB 2024'!A178</f>
        <v>45348</v>
      </c>
      <c r="B2275" s="12" t="str">
        <f>'[1]FEB 2024'!B178</f>
        <v>LM</v>
      </c>
      <c r="C2275" s="3">
        <f>'[1]FEB 2024'!C178</f>
        <v>0</v>
      </c>
      <c r="D2275" s="3">
        <f>'[1]FEB 2024'!D178</f>
        <v>94</v>
      </c>
      <c r="E2275" s="4">
        <f>'[1]FEB 2024'!E178</f>
        <v>0</v>
      </c>
      <c r="F2275" s="6">
        <f>'[1]FEB 2024'!F178</f>
        <v>0</v>
      </c>
      <c r="G2275" s="4"/>
      <c r="H2275" s="4"/>
    </row>
    <row r="2276" spans="1:8" x14ac:dyDescent="0.2">
      <c r="A2276" s="23">
        <f>'[1]FEB 2024'!A179</f>
        <v>45348</v>
      </c>
      <c r="B2276" s="12" t="str">
        <f>'[1]FEB 2024'!B179</f>
        <v>Rauchen</v>
      </c>
      <c r="C2276" s="3">
        <f>'[1]FEB 2024'!C179</f>
        <v>0</v>
      </c>
      <c r="D2276" s="3">
        <f>'[1]FEB 2024'!D179</f>
        <v>0</v>
      </c>
      <c r="E2276" s="4">
        <f>'[1]FEB 2024'!E179</f>
        <v>0</v>
      </c>
      <c r="F2276" s="6">
        <f>'[1]FEB 2024'!F179</f>
        <v>303</v>
      </c>
      <c r="G2276" s="4"/>
      <c r="H2276" s="4"/>
    </row>
    <row r="2277" spans="1:8" x14ac:dyDescent="0.2">
      <c r="A2277" s="20">
        <f>'[1]FEB 2024'!A184</f>
        <v>45349</v>
      </c>
      <c r="B2277" s="12" t="str">
        <f>'[1]FEB 2024'!B184</f>
        <v>Andere</v>
      </c>
      <c r="C2277" s="3">
        <f>'[1]FEB 2024'!C184</f>
        <v>0</v>
      </c>
      <c r="D2277" s="3">
        <f>'[1]FEB 2024'!D184</f>
        <v>3336</v>
      </c>
      <c r="E2277" s="4">
        <f>'[1]FEB 2024'!E184</f>
        <v>0</v>
      </c>
      <c r="F2277" s="6">
        <f>'[1]FEB 2024'!F184</f>
        <v>0</v>
      </c>
      <c r="G2277" s="4"/>
      <c r="H2277" s="4"/>
    </row>
    <row r="2278" spans="1:8" x14ac:dyDescent="0.2">
      <c r="A2278" s="23">
        <f>'[1]FEB 2024'!A185</f>
        <v>45349</v>
      </c>
      <c r="B2278" s="12" t="str">
        <f>'[1]FEB 2024'!B185</f>
        <v>LM</v>
      </c>
      <c r="C2278" s="3">
        <f>'[1]FEB 2024'!C185</f>
        <v>0</v>
      </c>
      <c r="D2278" s="3">
        <f>'[1]FEB 2024'!D185</f>
        <v>1037</v>
      </c>
      <c r="E2278" s="4">
        <f>'[1]FEB 2024'!E185</f>
        <v>0</v>
      </c>
      <c r="F2278" s="6">
        <f>'[1]FEB 2024'!F185</f>
        <v>0</v>
      </c>
      <c r="G2278" s="4"/>
      <c r="H2278" s="4"/>
    </row>
    <row r="2279" spans="1:8" x14ac:dyDescent="0.2">
      <c r="A2279" s="20">
        <f>'[1]FEB 2024'!A186</f>
        <v>45349</v>
      </c>
      <c r="B2279" s="12" t="str">
        <f>'[1]FEB 2024'!B186</f>
        <v>Andere</v>
      </c>
      <c r="C2279" s="3">
        <f>'[1]FEB 2024'!C186</f>
        <v>0</v>
      </c>
      <c r="D2279" s="3">
        <f>'[1]FEB 2024'!D186</f>
        <v>299</v>
      </c>
      <c r="E2279" s="4">
        <f>'[1]FEB 2024'!E186</f>
        <v>0</v>
      </c>
      <c r="F2279" s="6">
        <f>'[1]FEB 2024'!F186</f>
        <v>0</v>
      </c>
      <c r="G2279" s="4"/>
      <c r="H2279" s="4"/>
    </row>
    <row r="2280" spans="1:8" x14ac:dyDescent="0.2">
      <c r="A2280" s="23">
        <f>'[1]FEB 2024'!A187</f>
        <v>45349</v>
      </c>
      <c r="B2280" s="12" t="str">
        <f>'[1]FEB 2024'!B187</f>
        <v>VM</v>
      </c>
      <c r="C2280" s="3">
        <f>'[1]FEB 2024'!C187</f>
        <v>0</v>
      </c>
      <c r="D2280" s="3">
        <f>'[1]FEB 2024'!D187</f>
        <v>61</v>
      </c>
      <c r="E2280" s="4">
        <f>'[1]FEB 2024'!E187</f>
        <v>0</v>
      </c>
      <c r="F2280" s="6">
        <f>'[1]FEB 2024'!F187</f>
        <v>0</v>
      </c>
      <c r="G2280" s="4"/>
      <c r="H2280" s="4"/>
    </row>
    <row r="2281" spans="1:8" x14ac:dyDescent="0.2">
      <c r="A2281" s="23">
        <f>'[1]FEB 2024'!A191</f>
        <v>45350</v>
      </c>
      <c r="B2281" s="12" t="str">
        <f>'[1]FEB 2024'!B191</f>
        <v>Frauen</v>
      </c>
      <c r="C2281" s="3">
        <f>'[1]FEB 2024'!C191</f>
        <v>0</v>
      </c>
      <c r="D2281" s="3">
        <f>'[1]FEB 2024'!D191</f>
        <v>3466</v>
      </c>
      <c r="E2281" s="4">
        <f>'[1]FEB 2024'!E191</f>
        <v>0</v>
      </c>
      <c r="F2281" s="6">
        <f>'[1]FEB 2024'!F191</f>
        <v>0</v>
      </c>
      <c r="G2281" s="4"/>
      <c r="H2281" s="4"/>
    </row>
    <row r="2282" spans="1:8" x14ac:dyDescent="0.2">
      <c r="A2282" s="20">
        <f>'[1]FEB 2024'!A192</f>
        <v>45350</v>
      </c>
      <c r="B2282" s="12" t="str">
        <f>'[1]FEB 2024'!B192</f>
        <v>LM</v>
      </c>
      <c r="C2282" s="3">
        <f>'[1]FEB 2024'!C192</f>
        <v>0</v>
      </c>
      <c r="D2282" s="3">
        <f>'[1]FEB 2024'!D192</f>
        <v>611</v>
      </c>
      <c r="E2282" s="4">
        <f>'[1]FEB 2024'!E192</f>
        <v>0</v>
      </c>
      <c r="F2282" s="6">
        <f>'[1]FEB 2024'!F192</f>
        <v>0</v>
      </c>
      <c r="G2282" s="4"/>
      <c r="H2282" s="4"/>
    </row>
    <row r="2283" spans="1:8" x14ac:dyDescent="0.2">
      <c r="A2283" s="23">
        <f>'[1]FEB 2024'!A193</f>
        <v>45350</v>
      </c>
      <c r="B2283" s="12" t="str">
        <f>'[1]FEB 2024'!B193</f>
        <v>VM</v>
      </c>
      <c r="C2283" s="3">
        <f>'[1]FEB 2024'!C193</f>
        <v>0</v>
      </c>
      <c r="D2283" s="3">
        <f>'[1]FEB 2024'!D193</f>
        <v>122</v>
      </c>
      <c r="E2283" s="4">
        <f>'[1]FEB 2024'!E193</f>
        <v>0</v>
      </c>
      <c r="F2283" s="6">
        <f>'[1]FEB 2024'!F193</f>
        <v>0</v>
      </c>
      <c r="G2283" s="4"/>
      <c r="H2283" s="4"/>
    </row>
    <row r="2284" spans="1:8" x14ac:dyDescent="0.2">
      <c r="A2284" s="20">
        <f>'[1]FEB 2024'!A198</f>
        <v>45351</v>
      </c>
      <c r="B2284" s="12" t="str">
        <f>'[1]FEB 2024'!B198</f>
        <v>LM</v>
      </c>
      <c r="C2284" s="3">
        <f>'[1]FEB 2024'!C198</f>
        <v>0</v>
      </c>
      <c r="D2284" s="3">
        <f>'[1]FEB 2024'!D198</f>
        <v>419</v>
      </c>
      <c r="E2284" s="4">
        <f>'[1]FEB 2024'!E198</f>
        <v>0</v>
      </c>
      <c r="F2284" s="6">
        <f>'[1]FEB 2024'!F198</f>
        <v>0</v>
      </c>
      <c r="G2284" s="4"/>
      <c r="H2284" s="4"/>
    </row>
    <row r="2285" spans="1:8" x14ac:dyDescent="0.2">
      <c r="A2285" s="23">
        <f>'[1]FEB 2024'!A199</f>
        <v>45351</v>
      </c>
      <c r="B2285" s="12" t="str">
        <f>'[1]FEB 2024'!B199</f>
        <v>Frauen</v>
      </c>
      <c r="C2285" s="3">
        <f>'[1]FEB 2024'!C199</f>
        <v>0</v>
      </c>
      <c r="D2285" s="3">
        <f>'[1]FEB 2024'!D199</f>
        <v>360</v>
      </c>
      <c r="E2285" s="4">
        <f>'[1]FEB 2024'!E199</f>
        <v>0</v>
      </c>
      <c r="F2285" s="6">
        <f>'[1]FEB 2024'!F199</f>
        <v>0</v>
      </c>
      <c r="G2285" s="4"/>
      <c r="H2285" s="4"/>
    </row>
    <row r="2286" spans="1:8" x14ac:dyDescent="0.2">
      <c r="A2286" s="20">
        <f>'[1]FEB 2024'!A200</f>
        <v>45351</v>
      </c>
      <c r="B2286" s="12" t="str">
        <f>'[1]FEB 2024'!B200</f>
        <v>VM</v>
      </c>
      <c r="C2286" s="3">
        <f>'[1]FEB 2024'!C200</f>
        <v>0</v>
      </c>
      <c r="D2286" s="3">
        <f>'[1]FEB 2024'!D200</f>
        <v>655</v>
      </c>
      <c r="E2286" s="4">
        <f>'[1]FEB 2024'!E200</f>
        <v>0</v>
      </c>
      <c r="F2286" s="6">
        <f>'[1]FEB 2024'!F200</f>
        <v>0</v>
      </c>
      <c r="G2286" s="4"/>
      <c r="H2286" s="4"/>
    </row>
    <row r="2287" spans="1:8" x14ac:dyDescent="0.2">
      <c r="A2287" s="23">
        <f>'[1]FEB 2024'!A201</f>
        <v>45351</v>
      </c>
      <c r="B2287" s="12" t="str">
        <f>'[1]FEB 2024'!B201</f>
        <v>Refill</v>
      </c>
      <c r="C2287" s="3">
        <f>'[1]FEB 2024'!C201</f>
        <v>1394.53</v>
      </c>
      <c r="D2287" s="3">
        <f>'[1]FEB 2024'!D201</f>
        <v>0</v>
      </c>
      <c r="E2287" s="4">
        <f>'[1]FEB 2024'!E201</f>
        <v>0</v>
      </c>
      <c r="F2287" s="6">
        <f>'[1]FEB 2024'!F201</f>
        <v>0</v>
      </c>
      <c r="G2287" s="4"/>
      <c r="H2287" s="4"/>
    </row>
    <row r="2288" spans="1:8" x14ac:dyDescent="0.2">
      <c r="A2288" s="23">
        <f>'[1]MAR 2024'!A2</f>
        <v>45352</v>
      </c>
      <c r="B2288" s="12" t="str">
        <f>'[1]MAR 2024'!B2</f>
        <v>LM</v>
      </c>
      <c r="C2288" s="3">
        <f>'[1]MAR 2024'!C2</f>
        <v>0</v>
      </c>
      <c r="D2288" s="3">
        <f>'[1]MAR 2024'!D2</f>
        <v>945</v>
      </c>
      <c r="E2288" s="4">
        <f>'[1]MAR 2024'!E2</f>
        <v>0</v>
      </c>
      <c r="F2288" s="6">
        <f>'[1]MAR 2024'!F2</f>
        <v>0</v>
      </c>
      <c r="G2288" s="4"/>
      <c r="H2288" s="4"/>
    </row>
    <row r="2289" spans="1:8" x14ac:dyDescent="0.2">
      <c r="A2289" s="20">
        <f>'[1]MAR 2024'!A3</f>
        <v>45352</v>
      </c>
      <c r="B2289" s="12" t="str">
        <f>'[1]MAR 2024'!B3</f>
        <v>VM</v>
      </c>
      <c r="C2289" s="3">
        <f>'[1]MAR 2024'!C3</f>
        <v>0</v>
      </c>
      <c r="D2289" s="3">
        <f>'[1]MAR 2024'!D3</f>
        <v>1450</v>
      </c>
      <c r="E2289" s="4">
        <f>'[1]MAR 2024'!E3</f>
        <v>0</v>
      </c>
      <c r="F2289" s="6">
        <f>'[1]MAR 2024'!F3</f>
        <v>0</v>
      </c>
      <c r="G2289" s="4"/>
      <c r="H2289" s="4"/>
    </row>
    <row r="2290" spans="1:8" x14ac:dyDescent="0.2">
      <c r="A2290" s="23">
        <f>'[1]MAR 2024'!A4</f>
        <v>45352</v>
      </c>
      <c r="B2290" s="12" t="str">
        <f>'[1]MAR 2024'!B4</f>
        <v>Andere</v>
      </c>
      <c r="C2290" s="3">
        <f>'[1]MAR 2024'!C4</f>
        <v>0</v>
      </c>
      <c r="D2290" s="3">
        <f>'[1]MAR 2024'!D4</f>
        <v>2000</v>
      </c>
      <c r="E2290" s="4">
        <f>'[1]MAR 2024'!E4</f>
        <v>0</v>
      </c>
      <c r="F2290" s="6">
        <f>'[1]MAR 2024'!F4</f>
        <v>150</v>
      </c>
      <c r="G2290" s="4"/>
      <c r="H2290" s="4"/>
    </row>
    <row r="2291" spans="1:8" x14ac:dyDescent="0.2">
      <c r="A2291" s="20">
        <f>'[1]MAR 2024'!A5</f>
        <v>45352</v>
      </c>
      <c r="B2291" s="12" t="str">
        <f>'[1]MAR 2024'!B5</f>
        <v>for me</v>
      </c>
      <c r="C2291" s="3">
        <f>'[1]MAR 2024'!C5</f>
        <v>0</v>
      </c>
      <c r="D2291" s="3">
        <f>'[1]MAR 2024'!D5</f>
        <v>0</v>
      </c>
      <c r="E2291" s="4">
        <f>'[1]MAR 2024'!E5</f>
        <v>0</v>
      </c>
      <c r="F2291" s="6">
        <f>'[1]MAR 2024'!F5</f>
        <v>0</v>
      </c>
      <c r="G2291" s="4"/>
      <c r="H2291" s="4"/>
    </row>
    <row r="2292" spans="1:8" x14ac:dyDescent="0.2">
      <c r="A2292" s="23">
        <f>'[1]MAR 2024'!A6</f>
        <v>45352</v>
      </c>
      <c r="B2292" s="12" t="str">
        <f>'[1]MAR 2024'!B6</f>
        <v>Party</v>
      </c>
      <c r="C2292" s="3">
        <f>'[1]MAR 2024'!C6</f>
        <v>0</v>
      </c>
      <c r="D2292" s="3">
        <f>'[1]MAR 2024'!D6</f>
        <v>1450</v>
      </c>
      <c r="E2292" s="4">
        <f>'[1]MAR 2024'!E6</f>
        <v>0</v>
      </c>
      <c r="F2292" s="6">
        <f>'[1]MAR 2024'!F6</f>
        <v>0</v>
      </c>
      <c r="G2292" s="4"/>
      <c r="H2292" s="4"/>
    </row>
    <row r="2293" spans="1:8" x14ac:dyDescent="0.2">
      <c r="A2293" s="20">
        <f>'[1]MAR 2024'!A7</f>
        <v>45352</v>
      </c>
      <c r="B2293" s="12" t="str">
        <f>'[1]MAR 2024'!B7</f>
        <v>Kleidung</v>
      </c>
      <c r="C2293" s="3">
        <f>'[1]MAR 2024'!C7</f>
        <v>0</v>
      </c>
      <c r="D2293" s="3">
        <f>'[1]MAR 2024'!D7</f>
        <v>0</v>
      </c>
      <c r="E2293" s="4">
        <f>'[1]MAR 2024'!E7</f>
        <v>0</v>
      </c>
      <c r="F2293" s="6">
        <f>'[1]MAR 2024'!F7</f>
        <v>0</v>
      </c>
      <c r="G2293" s="4"/>
      <c r="H2293" s="4"/>
    </row>
    <row r="2294" spans="1:8" x14ac:dyDescent="0.2">
      <c r="A2294" s="23">
        <f>'[1]MAR 2024'!A8</f>
        <v>45352</v>
      </c>
      <c r="B2294" s="12" t="str">
        <f>'[1]MAR 2024'!B8</f>
        <v>none</v>
      </c>
      <c r="C2294" s="3">
        <f>'[1]MAR 2024'!C8</f>
        <v>0</v>
      </c>
      <c r="D2294" s="3">
        <f>'[1]MAR 2024'!D8</f>
        <v>9000</v>
      </c>
      <c r="E2294" s="4">
        <f>'[1]MAR 2024'!E8</f>
        <v>9000</v>
      </c>
      <c r="F2294" s="6">
        <f>'[1]MAR 2024'!F8</f>
        <v>0</v>
      </c>
      <c r="G2294" s="4"/>
      <c r="H2294" s="4"/>
    </row>
    <row r="2295" spans="1:8" x14ac:dyDescent="0.2">
      <c r="A2295" s="20">
        <f>'[1]MAR 2024'!A9</f>
        <v>45353</v>
      </c>
      <c r="B2295" s="12" t="str">
        <f>'[1]MAR 2024'!B9</f>
        <v>LM</v>
      </c>
      <c r="C2295" s="3">
        <f>'[1]MAR 2024'!C9</f>
        <v>0</v>
      </c>
      <c r="D2295" s="3">
        <f>'[1]MAR 2024'!D9</f>
        <v>404.97</v>
      </c>
      <c r="E2295" s="4">
        <f>'[1]MAR 2024'!E9</f>
        <v>0</v>
      </c>
      <c r="F2295" s="6">
        <f>'[1]MAR 2024'!F9</f>
        <v>0</v>
      </c>
      <c r="G2295" s="4"/>
      <c r="H2295" s="4"/>
    </row>
    <row r="2296" spans="1:8" x14ac:dyDescent="0.2">
      <c r="A2296" s="23">
        <f>'[1]MAR 2024'!A10</f>
        <v>45353</v>
      </c>
      <c r="B2296" s="12" t="str">
        <f>'[1]MAR 2024'!B10</f>
        <v>Rauchen</v>
      </c>
      <c r="C2296" s="3">
        <f>'[1]MAR 2024'!C10</f>
        <v>0</v>
      </c>
      <c r="D2296" s="3">
        <f>'[1]MAR 2024'!D10</f>
        <v>140</v>
      </c>
      <c r="E2296" s="4">
        <f>'[1]MAR 2024'!E10</f>
        <v>0</v>
      </c>
      <c r="F2296" s="6">
        <f>'[1]MAR 2024'!F10</f>
        <v>0</v>
      </c>
      <c r="G2296" s="4"/>
      <c r="H2296" s="4"/>
    </row>
    <row r="2297" spans="1:8" x14ac:dyDescent="0.2">
      <c r="A2297" s="23">
        <f>'[1]MAR 2024'!A16</f>
        <v>45354</v>
      </c>
      <c r="B2297" s="12" t="str">
        <f>'[1]MAR 2024'!B16</f>
        <v>Andere</v>
      </c>
      <c r="C2297" s="3">
        <f>'[1]MAR 2024'!C16</f>
        <v>0</v>
      </c>
      <c r="D2297" s="3">
        <f>'[1]MAR 2024'!D16</f>
        <v>559</v>
      </c>
      <c r="E2297" s="4">
        <f>'[1]MAR 2024'!E16</f>
        <v>0</v>
      </c>
      <c r="F2297" s="6">
        <f>'[1]MAR 2024'!F16</f>
        <v>0</v>
      </c>
      <c r="G2297" s="4"/>
      <c r="H2297" s="4"/>
    </row>
    <row r="2298" spans="1:8" x14ac:dyDescent="0.2">
      <c r="A2298" s="20">
        <f>'[1]MAR 2024'!A17</f>
        <v>45354</v>
      </c>
      <c r="B2298" s="12" t="str">
        <f>'[1]MAR 2024'!B17</f>
        <v>VM</v>
      </c>
      <c r="C2298" s="3">
        <f>'[1]MAR 2024'!C17</f>
        <v>0</v>
      </c>
      <c r="D2298" s="3">
        <f>'[1]MAR 2024'!D17</f>
        <v>61</v>
      </c>
      <c r="E2298" s="4">
        <f>'[1]MAR 2024'!E17</f>
        <v>0</v>
      </c>
      <c r="F2298" s="6">
        <f>'[1]MAR 2024'!F17</f>
        <v>0</v>
      </c>
      <c r="G2298" s="4"/>
      <c r="H2298" s="4"/>
    </row>
    <row r="2299" spans="1:8" x14ac:dyDescent="0.2">
      <c r="A2299" s="23">
        <f>'[1]MAR 2024'!A18</f>
        <v>45354</v>
      </c>
      <c r="B2299" s="12" t="str">
        <f>'[1]MAR 2024'!B18</f>
        <v>LM</v>
      </c>
      <c r="C2299" s="3">
        <f>'[1]MAR 2024'!C18</f>
        <v>0</v>
      </c>
      <c r="D2299" s="3">
        <f>'[1]MAR 2024'!D18</f>
        <v>778.95</v>
      </c>
      <c r="E2299" s="4">
        <f>'[1]MAR 2024'!E18</f>
        <v>0</v>
      </c>
      <c r="F2299" s="6">
        <f>'[1]MAR 2024'!F18</f>
        <v>0</v>
      </c>
      <c r="G2299" s="4"/>
      <c r="H2299" s="4"/>
    </row>
    <row r="2300" spans="1:8" x14ac:dyDescent="0.2">
      <c r="A2300" s="20">
        <f>'[1]MAR 2024'!A19</f>
        <v>45354</v>
      </c>
      <c r="B2300" s="12" t="str">
        <f>'[1]MAR 2024'!B19</f>
        <v>Rauchen</v>
      </c>
      <c r="C2300" s="3">
        <f>'[1]MAR 2024'!C19</f>
        <v>0</v>
      </c>
      <c r="D2300" s="3">
        <f>'[1]MAR 2024'!D19</f>
        <v>140</v>
      </c>
      <c r="E2300" s="4">
        <f>'[1]MAR 2024'!E19</f>
        <v>0</v>
      </c>
      <c r="F2300" s="6">
        <f>'[1]MAR 2024'!F19</f>
        <v>0</v>
      </c>
      <c r="G2300" s="4"/>
      <c r="H2300" s="4"/>
    </row>
    <row r="2301" spans="1:8" x14ac:dyDescent="0.2">
      <c r="A2301" s="20">
        <f>'[1]MAR 2024'!A23</f>
        <v>45355</v>
      </c>
      <c r="B2301" s="12" t="str">
        <f>'[1]MAR 2024'!B23</f>
        <v>Party</v>
      </c>
      <c r="C2301" s="3">
        <f>'[1]MAR 2024'!C23</f>
        <v>0</v>
      </c>
      <c r="D2301" s="3">
        <f>'[1]MAR 2024'!D23</f>
        <v>4910</v>
      </c>
      <c r="E2301" s="4">
        <f>'[1]MAR 2024'!E23</f>
        <v>0</v>
      </c>
      <c r="F2301" s="6">
        <f>'[1]MAR 2024'!F23</f>
        <v>0</v>
      </c>
      <c r="G2301" s="4"/>
      <c r="H2301" s="4"/>
    </row>
    <row r="2302" spans="1:8" x14ac:dyDescent="0.2">
      <c r="A2302" s="23">
        <f>'[1]MAR 2024'!A24</f>
        <v>45355</v>
      </c>
      <c r="B2302" s="12" t="str">
        <f>'[1]MAR 2024'!B24</f>
        <v>LM</v>
      </c>
      <c r="C2302" s="3">
        <f>'[1]MAR 2024'!C24</f>
        <v>0</v>
      </c>
      <c r="D2302" s="3">
        <f>'[1]MAR 2024'!D24</f>
        <v>1307</v>
      </c>
      <c r="E2302" s="4">
        <f>'[1]MAR 2024'!E24</f>
        <v>0</v>
      </c>
      <c r="F2302" s="6">
        <f>'[1]MAR 2024'!F24</f>
        <v>0</v>
      </c>
      <c r="G2302" s="4"/>
      <c r="H2302" s="4"/>
    </row>
    <row r="2303" spans="1:8" x14ac:dyDescent="0.2">
      <c r="A2303" s="20">
        <f>'[1]MAR 2024'!A25</f>
        <v>45355</v>
      </c>
      <c r="B2303" s="12" t="str">
        <f>'[1]MAR 2024'!B25</f>
        <v>LM</v>
      </c>
      <c r="C2303" s="3">
        <f>'[1]MAR 2024'!C25</f>
        <v>0</v>
      </c>
      <c r="D2303" s="3">
        <f>'[1]MAR 2024'!D25</f>
        <v>98</v>
      </c>
      <c r="E2303" s="4">
        <f>'[1]MAR 2024'!E25</f>
        <v>0</v>
      </c>
      <c r="F2303" s="6">
        <f>'[1]MAR 2024'!F25</f>
        <v>0</v>
      </c>
      <c r="G2303" s="4"/>
      <c r="H2303" s="4"/>
    </row>
    <row r="2304" spans="1:8" x14ac:dyDescent="0.2">
      <c r="A2304" s="23">
        <f>'[1]MAR 2024'!A26</f>
        <v>45355</v>
      </c>
      <c r="B2304" s="12" t="str">
        <f>'[1]MAR 2024'!B26</f>
        <v>Andere</v>
      </c>
      <c r="C2304" s="3">
        <f>'[1]MAR 2024'!C26</f>
        <v>0</v>
      </c>
      <c r="D2304" s="3">
        <f>'[1]MAR 2024'!D26</f>
        <v>800</v>
      </c>
      <c r="E2304" s="4">
        <f>'[1]MAR 2024'!E26</f>
        <v>0</v>
      </c>
      <c r="F2304" s="6">
        <f>'[1]MAR 2024'!F26</f>
        <v>0</v>
      </c>
      <c r="G2304" s="4"/>
      <c r="H2304" s="4"/>
    </row>
    <row r="2305" spans="1:8" x14ac:dyDescent="0.2">
      <c r="A2305" s="20">
        <f>'[1]MAR 2024'!A27</f>
        <v>45355</v>
      </c>
      <c r="B2305" s="12" t="str">
        <f>'[1]MAR 2024'!B27</f>
        <v>Andere</v>
      </c>
      <c r="C2305" s="3">
        <f>'[1]MAR 2024'!C27</f>
        <v>0</v>
      </c>
      <c r="D2305" s="3">
        <f>'[1]MAR 2024'!D27</f>
        <v>1000</v>
      </c>
      <c r="E2305" s="4">
        <f>'[1]MAR 2024'!E27</f>
        <v>0</v>
      </c>
      <c r="F2305" s="6">
        <f>'[1]MAR 2024'!F27</f>
        <v>0</v>
      </c>
      <c r="G2305" s="4"/>
      <c r="H2305" s="4"/>
    </row>
    <row r="2306" spans="1:8" x14ac:dyDescent="0.2">
      <c r="A2306" s="23">
        <f>'[1]MAR 2024'!A28</f>
        <v>45355</v>
      </c>
      <c r="B2306" s="12" t="str">
        <f>'[1]MAR 2024'!B28</f>
        <v>VM</v>
      </c>
      <c r="C2306" s="3">
        <f>'[1]MAR 2024'!C28</f>
        <v>0</v>
      </c>
      <c r="D2306" s="3">
        <f>'[1]MAR 2024'!D28</f>
        <v>1171</v>
      </c>
      <c r="E2306" s="4">
        <f>'[1]MAR 2024'!E28</f>
        <v>0</v>
      </c>
      <c r="F2306" s="6">
        <f>'[1]MAR 2024'!F28</f>
        <v>0</v>
      </c>
      <c r="G2306" s="4"/>
      <c r="H2306" s="4"/>
    </row>
    <row r="2307" spans="1:8" x14ac:dyDescent="0.2">
      <c r="A2307" s="23">
        <f>'[1]MAR 2024'!A30</f>
        <v>45356</v>
      </c>
      <c r="B2307" s="12" t="str">
        <f>'[1]MAR 2024'!B30</f>
        <v>LM</v>
      </c>
      <c r="C2307" s="3">
        <f>'[1]MAR 2024'!C30</f>
        <v>0</v>
      </c>
      <c r="D2307" s="3">
        <f>'[1]MAR 2024'!D30</f>
        <v>896</v>
      </c>
      <c r="E2307" s="4">
        <f>'[1]MAR 2024'!E30</f>
        <v>0</v>
      </c>
      <c r="F2307" s="6">
        <f>'[1]MAR 2024'!F30</f>
        <v>0</v>
      </c>
      <c r="G2307" s="4"/>
      <c r="H2307" s="4"/>
    </row>
    <row r="2308" spans="1:8" x14ac:dyDescent="0.2">
      <c r="A2308" s="20">
        <f>'[1]MAR 2024'!A37</f>
        <v>45357</v>
      </c>
      <c r="B2308" s="12" t="str">
        <f>'[1]MAR 2024'!B37</f>
        <v>VM</v>
      </c>
      <c r="C2308" s="3">
        <f>'[1]MAR 2024'!C37</f>
        <v>0</v>
      </c>
      <c r="D2308" s="3">
        <f>'[1]MAR 2024'!D37</f>
        <v>61</v>
      </c>
      <c r="E2308" s="4">
        <f>'[1]MAR 2024'!E37</f>
        <v>0</v>
      </c>
      <c r="F2308" s="6">
        <f>'[1]MAR 2024'!F37</f>
        <v>0</v>
      </c>
      <c r="G2308" s="4"/>
      <c r="H2308" s="4"/>
    </row>
    <row r="2309" spans="1:8" x14ac:dyDescent="0.2">
      <c r="A2309" s="23">
        <f>'[1]MAR 2024'!A38</f>
        <v>45357</v>
      </c>
      <c r="B2309" s="12" t="str">
        <f>'[1]MAR 2024'!B38</f>
        <v>Rauchen</v>
      </c>
      <c r="C2309" s="3">
        <f>'[1]MAR 2024'!C38</f>
        <v>0</v>
      </c>
      <c r="D2309" s="3">
        <f>'[1]MAR 2024'!D38</f>
        <v>1349</v>
      </c>
      <c r="E2309" s="4">
        <f>'[1]MAR 2024'!E38</f>
        <v>0</v>
      </c>
      <c r="F2309" s="6">
        <f>'[1]MAR 2024'!F38</f>
        <v>0</v>
      </c>
      <c r="G2309" s="4"/>
      <c r="H2309" s="4"/>
    </row>
    <row r="2310" spans="1:8" x14ac:dyDescent="0.2">
      <c r="A2310" s="20">
        <f>'[1]MAR 2024'!A39</f>
        <v>45357</v>
      </c>
      <c r="B2310" s="12" t="str">
        <f>'[1]MAR 2024'!B39</f>
        <v>LM</v>
      </c>
      <c r="C2310" s="3">
        <f>'[1]MAR 2024'!C39</f>
        <v>0</v>
      </c>
      <c r="D2310" s="3">
        <f>'[1]MAR 2024'!D39</f>
        <v>1284</v>
      </c>
      <c r="E2310" s="4">
        <f>'[1]MAR 2024'!E39</f>
        <v>0</v>
      </c>
      <c r="F2310" s="6">
        <f>'[1]MAR 2024'!F39</f>
        <v>0</v>
      </c>
      <c r="G2310" s="4"/>
      <c r="H2310" s="4"/>
    </row>
    <row r="2311" spans="1:8" x14ac:dyDescent="0.2">
      <c r="A2311" s="23">
        <f>'[1]MAR 2024'!A44</f>
        <v>45358</v>
      </c>
      <c r="B2311" s="12" t="str">
        <f>'[1]MAR 2024'!B44</f>
        <v>Frauen</v>
      </c>
      <c r="C2311" s="3">
        <f>'[1]MAR 2024'!C44</f>
        <v>0</v>
      </c>
      <c r="D2311" s="3">
        <f>'[1]MAR 2024'!D44</f>
        <v>1960</v>
      </c>
      <c r="E2311" s="4">
        <f>'[1]MAR 2024'!E44</f>
        <v>0</v>
      </c>
      <c r="F2311" s="6">
        <f>'[1]MAR 2024'!F44</f>
        <v>0</v>
      </c>
      <c r="G2311" s="4"/>
      <c r="H2311" s="4"/>
    </row>
    <row r="2312" spans="1:8" x14ac:dyDescent="0.2">
      <c r="A2312" s="20">
        <f>'[1]MAR 2024'!A45</f>
        <v>45358</v>
      </c>
      <c r="B2312" s="12" t="str">
        <f>'[1]MAR 2024'!B45</f>
        <v>Refill</v>
      </c>
      <c r="C2312" s="3">
        <f>'[1]MAR 2024'!C45</f>
        <v>287873</v>
      </c>
      <c r="D2312" s="3">
        <f>'[1]MAR 2024'!D45</f>
        <v>0</v>
      </c>
      <c r="E2312" s="4">
        <f>'[1]MAR 2024'!E45</f>
        <v>0</v>
      </c>
      <c r="F2312" s="6">
        <f>'[1]MAR 2024'!F45</f>
        <v>0</v>
      </c>
      <c r="G2312" s="4"/>
      <c r="H2312" s="4"/>
    </row>
    <row r="2313" spans="1:8" x14ac:dyDescent="0.2">
      <c r="A2313" s="23">
        <f>'[1]MAR 2024'!A46</f>
        <v>45358</v>
      </c>
      <c r="B2313" s="12" t="str">
        <f>'[1]MAR 2024'!B46</f>
        <v>VM</v>
      </c>
      <c r="C2313" s="3">
        <f>'[1]MAR 2024'!C46</f>
        <v>0</v>
      </c>
      <c r="D2313" s="3">
        <f>'[1]MAR 2024'!D46</f>
        <v>672</v>
      </c>
      <c r="E2313" s="4">
        <f>'[1]MAR 2024'!E46</f>
        <v>0</v>
      </c>
      <c r="F2313" s="6">
        <f>'[1]MAR 2024'!F46</f>
        <v>0</v>
      </c>
      <c r="G2313" s="4"/>
      <c r="H2313" s="4"/>
    </row>
    <row r="2314" spans="1:8" x14ac:dyDescent="0.2">
      <c r="A2314" s="20">
        <f>'[1]MAR 2024'!A47</f>
        <v>45358</v>
      </c>
      <c r="B2314" s="12" t="str">
        <f>'[1]MAR 2024'!B47</f>
        <v>LM</v>
      </c>
      <c r="C2314" s="3">
        <f>'[1]MAR 2024'!C47</f>
        <v>0</v>
      </c>
      <c r="D2314" s="3">
        <f>'[1]MAR 2024'!D47</f>
        <v>874.97</v>
      </c>
      <c r="E2314" s="4">
        <f>'[1]MAR 2024'!E47</f>
        <v>0</v>
      </c>
      <c r="F2314" s="6">
        <f>'[1]MAR 2024'!F47</f>
        <v>0</v>
      </c>
      <c r="G2314" s="4"/>
      <c r="H2314" s="4"/>
    </row>
    <row r="2315" spans="1:8" x14ac:dyDescent="0.2">
      <c r="A2315" s="23">
        <f>'[1]MAR 2024'!A48</f>
        <v>45358</v>
      </c>
      <c r="B2315" s="12" t="str">
        <f>'[1]MAR 2024'!B48</f>
        <v>none</v>
      </c>
      <c r="C2315" s="3">
        <f>'[1]MAR 2024'!C48</f>
        <v>0</v>
      </c>
      <c r="D2315" s="3">
        <f>'[1]MAR 2024'!D48</f>
        <v>2500</v>
      </c>
      <c r="E2315" s="4">
        <f>'[1]MAR 2024'!E48</f>
        <v>2500</v>
      </c>
      <c r="F2315" s="6">
        <f>'[1]MAR 2024'!F48</f>
        <v>0</v>
      </c>
      <c r="G2315" s="4"/>
      <c r="H2315" s="4"/>
    </row>
    <row r="2316" spans="1:8" x14ac:dyDescent="0.2">
      <c r="A2316" s="20">
        <f>'[1]MAR 2024'!A51</f>
        <v>45359</v>
      </c>
      <c r="B2316" s="12" t="str">
        <f>'[1]MAR 2024'!B51</f>
        <v>LM</v>
      </c>
      <c r="C2316" s="3">
        <f>'[1]MAR 2024'!C51</f>
        <v>0</v>
      </c>
      <c r="D2316" s="3">
        <f>'[1]MAR 2024'!D51</f>
        <v>1196.44</v>
      </c>
      <c r="E2316" s="4">
        <f>'[1]MAR 2024'!E51</f>
        <v>0</v>
      </c>
      <c r="F2316" s="6">
        <f>'[1]MAR 2024'!F51</f>
        <v>0</v>
      </c>
      <c r="G2316" s="4"/>
      <c r="H2316" s="4"/>
    </row>
    <row r="2317" spans="1:8" x14ac:dyDescent="0.2">
      <c r="A2317" s="23">
        <f>'[1]MAR 2024'!A52</f>
        <v>45359</v>
      </c>
      <c r="B2317" s="12" t="str">
        <f>'[1]MAR 2024'!B52</f>
        <v>VM</v>
      </c>
      <c r="C2317" s="3">
        <f>'[1]MAR 2024'!C52</f>
        <v>0</v>
      </c>
      <c r="D2317" s="3">
        <f>'[1]MAR 2024'!D52</f>
        <v>639</v>
      </c>
      <c r="E2317" s="4">
        <f>'[1]MAR 2024'!E52</f>
        <v>0</v>
      </c>
      <c r="F2317" s="6">
        <f>'[1]MAR 2024'!F52</f>
        <v>0</v>
      </c>
      <c r="G2317" s="4"/>
      <c r="H2317" s="4"/>
    </row>
    <row r="2318" spans="1:8" x14ac:dyDescent="0.2">
      <c r="A2318" s="20">
        <f>'[1]MAR 2024'!A53</f>
        <v>45359</v>
      </c>
      <c r="B2318" s="12" t="str">
        <f>'[1]MAR 2024'!B53</f>
        <v>Frauen</v>
      </c>
      <c r="C2318" s="3">
        <f>'[1]MAR 2024'!C53</f>
        <v>0</v>
      </c>
      <c r="D2318" s="3">
        <f>'[1]MAR 2024'!D53</f>
        <v>690</v>
      </c>
      <c r="E2318" s="4">
        <f>'[1]MAR 2024'!E53</f>
        <v>0</v>
      </c>
      <c r="F2318" s="6">
        <f>'[1]MAR 2024'!F53</f>
        <v>0</v>
      </c>
      <c r="G2318" s="4"/>
      <c r="H2318" s="4"/>
    </row>
    <row r="2319" spans="1:8" x14ac:dyDescent="0.2">
      <c r="A2319" s="23">
        <f>'[1]MAR 2024'!A54</f>
        <v>45359</v>
      </c>
      <c r="B2319" s="12" t="str">
        <f>'[1]MAR 2024'!B54</f>
        <v>Kleidung</v>
      </c>
      <c r="C2319" s="3">
        <f>'[1]MAR 2024'!C54</f>
        <v>0</v>
      </c>
      <c r="D2319" s="3">
        <f>'[1]MAR 2024'!D54</f>
        <v>3599</v>
      </c>
      <c r="E2319" s="4">
        <f>'[1]MAR 2024'!E54</f>
        <v>0</v>
      </c>
      <c r="F2319" s="6">
        <f>'[1]MAR 2024'!F54</f>
        <v>0</v>
      </c>
      <c r="G2319" s="4"/>
      <c r="H2319" s="4"/>
    </row>
    <row r="2320" spans="1:8" x14ac:dyDescent="0.2">
      <c r="A2320" s="23">
        <f>'[1]MAR 2024'!A58</f>
        <v>45360</v>
      </c>
      <c r="B2320" s="12" t="str">
        <f>'[1]MAR 2024'!B58</f>
        <v>VM</v>
      </c>
      <c r="C2320" s="3">
        <f>'[1]MAR 2024'!C58</f>
        <v>0</v>
      </c>
      <c r="D2320" s="3">
        <f>'[1]MAR 2024'!D58</f>
        <v>61</v>
      </c>
      <c r="E2320" s="4">
        <f>'[1]MAR 2024'!E58</f>
        <v>0</v>
      </c>
      <c r="F2320" s="6">
        <f>'[1]MAR 2024'!F58</f>
        <v>0</v>
      </c>
      <c r="G2320" s="4"/>
      <c r="H2320" s="4"/>
    </row>
    <row r="2321" spans="1:8" x14ac:dyDescent="0.2">
      <c r="A2321" s="20">
        <f>'[1]MAR 2024'!A59</f>
        <v>45360</v>
      </c>
      <c r="B2321" s="12" t="str">
        <f>'[1]MAR 2024'!B59</f>
        <v>Frauen</v>
      </c>
      <c r="C2321" s="3">
        <f>'[1]MAR 2024'!C59</f>
        <v>0</v>
      </c>
      <c r="D2321" s="3">
        <f>'[1]MAR 2024'!D59</f>
        <v>5500</v>
      </c>
      <c r="E2321" s="4">
        <f>'[1]MAR 2024'!E59</f>
        <v>0</v>
      </c>
      <c r="F2321" s="6">
        <f>'[1]MAR 2024'!F59</f>
        <v>0</v>
      </c>
      <c r="G2321" s="4"/>
      <c r="H2321" s="4"/>
    </row>
    <row r="2322" spans="1:8" x14ac:dyDescent="0.2">
      <c r="A2322" s="23">
        <f>'[1]MAR 2024'!A60</f>
        <v>45360</v>
      </c>
      <c r="B2322" s="12" t="str">
        <f>'[1]MAR 2024'!B60</f>
        <v>Frauen</v>
      </c>
      <c r="C2322" s="3">
        <f>'[1]MAR 2024'!C60</f>
        <v>0</v>
      </c>
      <c r="D2322" s="3">
        <f>'[1]MAR 2024'!D60</f>
        <v>640</v>
      </c>
      <c r="E2322" s="4">
        <f>'[1]MAR 2024'!E60</f>
        <v>0</v>
      </c>
      <c r="F2322" s="6">
        <f>'[1]MAR 2024'!F60</f>
        <v>0</v>
      </c>
      <c r="G2322" s="4"/>
      <c r="H2322" s="4"/>
    </row>
    <row r="2323" spans="1:8" x14ac:dyDescent="0.2">
      <c r="A2323" s="20">
        <f>'[1]MAR 2024'!A61</f>
        <v>45360</v>
      </c>
      <c r="B2323" s="12" t="str">
        <f>'[1]MAR 2024'!B61</f>
        <v>for me</v>
      </c>
      <c r="C2323" s="3">
        <f>'[1]MAR 2024'!C61</f>
        <v>0</v>
      </c>
      <c r="D2323" s="3">
        <f>'[1]MAR 2024'!D61</f>
        <v>2240</v>
      </c>
      <c r="E2323" s="4">
        <f>'[1]MAR 2024'!E61</f>
        <v>0</v>
      </c>
      <c r="F2323" s="6">
        <f>'[1]MAR 2024'!F61</f>
        <v>0</v>
      </c>
      <c r="G2323" s="4"/>
      <c r="H2323" s="4"/>
    </row>
    <row r="2324" spans="1:8" x14ac:dyDescent="0.2">
      <c r="A2324" s="23">
        <f>'[1]MAR 2024'!A62</f>
        <v>45360</v>
      </c>
      <c r="B2324" s="12" t="str">
        <f>'[1]MAR 2024'!B62</f>
        <v>LM</v>
      </c>
      <c r="C2324" s="3">
        <f>'[1]MAR 2024'!C62</f>
        <v>0</v>
      </c>
      <c r="D2324" s="3">
        <f>'[1]MAR 2024'!D62</f>
        <v>453.99</v>
      </c>
      <c r="E2324" s="4">
        <f>'[1]MAR 2024'!E62</f>
        <v>0</v>
      </c>
      <c r="F2324" s="6">
        <f>'[1]MAR 2024'!F62</f>
        <v>0</v>
      </c>
      <c r="G2324" s="4"/>
      <c r="H2324" s="4"/>
    </row>
    <row r="2325" spans="1:8" x14ac:dyDescent="0.2">
      <c r="A2325" s="20">
        <f>'[1]MAR 2024'!A63</f>
        <v>45360</v>
      </c>
      <c r="B2325" s="12" t="str">
        <f>'[1]MAR 2024'!B63</f>
        <v>Andere</v>
      </c>
      <c r="C2325" s="3">
        <f>'[1]MAR 2024'!C63</f>
        <v>0</v>
      </c>
      <c r="D2325" s="3">
        <f>'[1]MAR 2024'!D63</f>
        <v>720</v>
      </c>
      <c r="E2325" s="4">
        <f>'[1]MAR 2024'!E63</f>
        <v>0</v>
      </c>
      <c r="F2325" s="6">
        <f>'[1]MAR 2024'!F63</f>
        <v>0</v>
      </c>
      <c r="G2325" s="4"/>
      <c r="H2325" s="4"/>
    </row>
    <row r="2326" spans="1:8" x14ac:dyDescent="0.2">
      <c r="A2326" s="20">
        <f>'[1]MAR 2024'!A65</f>
        <v>45361</v>
      </c>
      <c r="B2326" s="12" t="str">
        <f>'[1]MAR 2024'!B65</f>
        <v>VM</v>
      </c>
      <c r="C2326" s="3">
        <f>'[1]MAR 2024'!C65</f>
        <v>0</v>
      </c>
      <c r="D2326" s="3">
        <f>'[1]MAR 2024'!D65</f>
        <v>636</v>
      </c>
      <c r="E2326" s="4">
        <f>'[1]MAR 2024'!E65</f>
        <v>0</v>
      </c>
      <c r="F2326" s="6">
        <f>'[1]MAR 2024'!F65</f>
        <v>0</v>
      </c>
      <c r="G2326" s="4"/>
      <c r="H2326" s="4"/>
    </row>
    <row r="2327" spans="1:8" x14ac:dyDescent="0.2">
      <c r="A2327" s="23">
        <f>'[1]MAR 2024'!A66</f>
        <v>45361</v>
      </c>
      <c r="B2327" s="12" t="str">
        <f>'[1]MAR 2024'!B66</f>
        <v>LM</v>
      </c>
      <c r="C2327" s="3">
        <f>'[1]MAR 2024'!C66</f>
        <v>0</v>
      </c>
      <c r="D2327" s="3">
        <f>'[1]MAR 2024'!D66</f>
        <v>1954</v>
      </c>
      <c r="E2327" s="4">
        <f>'[1]MAR 2024'!E66</f>
        <v>0</v>
      </c>
      <c r="F2327" s="6">
        <f>'[1]MAR 2024'!F66</f>
        <v>0</v>
      </c>
      <c r="G2327" s="4"/>
      <c r="H2327" s="4"/>
    </row>
    <row r="2328" spans="1:8" x14ac:dyDescent="0.2">
      <c r="A2328" s="20">
        <f>'[1]MAR 2024'!A67</f>
        <v>45361</v>
      </c>
      <c r="B2328" s="12" t="str">
        <f>'[1]MAR 2024'!B67</f>
        <v>VM</v>
      </c>
      <c r="C2328" s="3">
        <f>'[1]MAR 2024'!C67</f>
        <v>0</v>
      </c>
      <c r="D2328" s="3">
        <f>'[1]MAR 2024'!D67</f>
        <v>183</v>
      </c>
      <c r="E2328" s="4">
        <f>'[1]MAR 2024'!E67</f>
        <v>0</v>
      </c>
      <c r="F2328" s="6">
        <f>'[1]MAR 2024'!F67</f>
        <v>0</v>
      </c>
      <c r="G2328" s="4"/>
      <c r="H2328" s="4"/>
    </row>
    <row r="2329" spans="1:8" x14ac:dyDescent="0.2">
      <c r="A2329" s="23">
        <f>'[1]MAR 2024'!A72</f>
        <v>45362</v>
      </c>
      <c r="B2329" s="12" t="str">
        <f>'[1]MAR 2024'!B72</f>
        <v>VM</v>
      </c>
      <c r="C2329" s="3">
        <f>'[1]MAR 2024'!C72</f>
        <v>0</v>
      </c>
      <c r="D2329" s="3">
        <f>'[1]MAR 2024'!D72</f>
        <v>792</v>
      </c>
      <c r="E2329" s="4">
        <f>'[1]MAR 2024'!E72</f>
        <v>0</v>
      </c>
      <c r="F2329" s="6">
        <f>'[1]MAR 2024'!F72</f>
        <v>0</v>
      </c>
      <c r="G2329" s="4"/>
      <c r="H2329" s="4"/>
    </row>
    <row r="2330" spans="1:8" x14ac:dyDescent="0.2">
      <c r="A2330" s="20">
        <f>'[1]MAR 2024'!A73</f>
        <v>45362</v>
      </c>
      <c r="B2330" s="12" t="str">
        <f>'[1]MAR 2024'!B73</f>
        <v>LM</v>
      </c>
      <c r="C2330" s="3">
        <f>'[1]MAR 2024'!C73</f>
        <v>0</v>
      </c>
      <c r="D2330" s="3">
        <f>'[1]MAR 2024'!D73</f>
        <v>840.41</v>
      </c>
      <c r="E2330" s="4">
        <f>'[1]MAR 2024'!E73</f>
        <v>0</v>
      </c>
      <c r="F2330" s="6">
        <f>'[1]MAR 2024'!F73</f>
        <v>130</v>
      </c>
      <c r="G2330" s="4"/>
      <c r="H2330" s="4"/>
    </row>
    <row r="2331" spans="1:8" x14ac:dyDescent="0.2">
      <c r="A2331" s="20">
        <f>'[1]MAR 2024'!A79</f>
        <v>45363</v>
      </c>
      <c r="B2331" s="12" t="str">
        <f>'[1]MAR 2024'!B79</f>
        <v>Kleidung</v>
      </c>
      <c r="C2331" s="3">
        <f>'[1]MAR 2024'!C79</f>
        <v>0</v>
      </c>
      <c r="D2331" s="3">
        <f>'[1]MAR 2024'!D79</f>
        <v>12900</v>
      </c>
      <c r="E2331" s="4">
        <f>'[1]MAR 2024'!E79</f>
        <v>0</v>
      </c>
      <c r="F2331" s="6">
        <f>'[1]MAR 2024'!F79</f>
        <v>0</v>
      </c>
      <c r="G2331" s="4"/>
      <c r="H2331" s="4"/>
    </row>
    <row r="2332" spans="1:8" x14ac:dyDescent="0.2">
      <c r="A2332" s="23">
        <f>'[1]MAR 2024'!A80</f>
        <v>45363</v>
      </c>
      <c r="B2332" s="12" t="str">
        <f>'[1]MAR 2024'!B80</f>
        <v>Andere</v>
      </c>
      <c r="C2332" s="3">
        <f>'[1]MAR 2024'!C80</f>
        <v>0</v>
      </c>
      <c r="D2332" s="3">
        <f>'[1]MAR 2024'!D80</f>
        <v>5000</v>
      </c>
      <c r="E2332" s="4">
        <f>'[1]MAR 2024'!E80</f>
        <v>0</v>
      </c>
      <c r="F2332" s="6">
        <f>'[1]MAR 2024'!F80</f>
        <v>0</v>
      </c>
      <c r="G2332" s="4"/>
      <c r="H2332" s="4"/>
    </row>
    <row r="2333" spans="1:8" x14ac:dyDescent="0.2">
      <c r="A2333" s="20">
        <f>'[1]MAR 2024'!A81</f>
        <v>45363</v>
      </c>
      <c r="B2333" s="12" t="str">
        <f>'[1]MAR 2024'!B81</f>
        <v>VM</v>
      </c>
      <c r="C2333" s="3">
        <f>'[1]MAR 2024'!C81</f>
        <v>0</v>
      </c>
      <c r="D2333" s="3">
        <f>'[1]MAR 2024'!D81</f>
        <v>376</v>
      </c>
      <c r="E2333" s="4">
        <f>'[1]MAR 2024'!E81</f>
        <v>0</v>
      </c>
      <c r="F2333" s="6">
        <f>'[1]MAR 2024'!F81</f>
        <v>0</v>
      </c>
      <c r="G2333" s="4"/>
      <c r="H2333" s="4"/>
    </row>
    <row r="2334" spans="1:8" x14ac:dyDescent="0.2">
      <c r="A2334" s="23">
        <f>'[1]MAR 2024'!A82</f>
        <v>45363</v>
      </c>
      <c r="B2334" s="12" t="str">
        <f>'[1]MAR 2024'!B82</f>
        <v>none</v>
      </c>
      <c r="C2334" s="3">
        <f>'[1]MAR 2024'!C82</f>
        <v>0</v>
      </c>
      <c r="D2334" s="3">
        <f>'[1]MAR 2024'!D82</f>
        <v>5000</v>
      </c>
      <c r="E2334" s="4">
        <f>'[1]MAR 2024'!E82</f>
        <v>5000</v>
      </c>
      <c r="F2334" s="6">
        <f>'[1]MAR 2024'!F82</f>
        <v>0</v>
      </c>
      <c r="G2334" s="4"/>
      <c r="H2334" s="4"/>
    </row>
    <row r="2335" spans="1:8" x14ac:dyDescent="0.2">
      <c r="A2335" s="23">
        <f>'[1]MAR 2024'!A86</f>
        <v>45364</v>
      </c>
      <c r="B2335" s="12" t="str">
        <f>'[1]MAR 2024'!B86</f>
        <v>Andere</v>
      </c>
      <c r="C2335" s="3">
        <f>'[1]MAR 2024'!C86</f>
        <v>0</v>
      </c>
      <c r="D2335" s="3">
        <f>'[1]MAR 2024'!D86</f>
        <v>2277</v>
      </c>
      <c r="E2335" s="4">
        <f>'[1]MAR 2024'!E86</f>
        <v>0</v>
      </c>
      <c r="F2335" s="6">
        <f>'[1]MAR 2024'!F86</f>
        <v>0</v>
      </c>
      <c r="G2335" s="4"/>
      <c r="H2335" s="4"/>
    </row>
    <row r="2336" spans="1:8" x14ac:dyDescent="0.2">
      <c r="A2336" s="20">
        <f>'[1]MAR 2024'!A87</f>
        <v>45364</v>
      </c>
      <c r="B2336" s="12" t="str">
        <f>'[1]MAR 2024'!B87</f>
        <v>LM</v>
      </c>
      <c r="C2336" s="3">
        <f>'[1]MAR 2024'!C87</f>
        <v>0</v>
      </c>
      <c r="D2336" s="3">
        <f>'[1]MAR 2024'!D87</f>
        <v>1204</v>
      </c>
      <c r="E2336" s="4">
        <f>'[1]MAR 2024'!E87</f>
        <v>0</v>
      </c>
      <c r="F2336" s="6">
        <f>'[1]MAR 2024'!F87</f>
        <v>0</v>
      </c>
      <c r="G2336" s="4"/>
      <c r="H2336" s="4"/>
    </row>
    <row r="2337" spans="1:8" x14ac:dyDescent="0.2">
      <c r="A2337" s="20">
        <f>'[1]MAR 2024'!A93</f>
        <v>45365</v>
      </c>
      <c r="B2337" s="12" t="str">
        <f>'[1]MAR 2024'!B93</f>
        <v>VM</v>
      </c>
      <c r="C2337" s="3">
        <f>'[1]MAR 2024'!C93</f>
        <v>0</v>
      </c>
      <c r="D2337" s="3">
        <f>'[1]MAR 2024'!D93</f>
        <v>21684</v>
      </c>
      <c r="E2337" s="4">
        <f>'[1]MAR 2024'!E93</f>
        <v>0</v>
      </c>
      <c r="F2337" s="6">
        <f>'[1]MAR 2024'!F93</f>
        <v>0</v>
      </c>
      <c r="G2337" s="4"/>
      <c r="H2337" s="4"/>
    </row>
    <row r="2338" spans="1:8" x14ac:dyDescent="0.2">
      <c r="A2338" s="23">
        <f>'[1]MAR 2024'!A94</f>
        <v>45365</v>
      </c>
      <c r="B2338" s="12" t="str">
        <f>'[1]MAR 2024'!B94</f>
        <v>Frauen</v>
      </c>
      <c r="C2338" s="3">
        <f>'[1]MAR 2024'!C94</f>
        <v>0</v>
      </c>
      <c r="D2338" s="3">
        <f>'[1]MAR 2024'!D94</f>
        <v>2009</v>
      </c>
      <c r="E2338" s="4">
        <f>'[1]MAR 2024'!E94</f>
        <v>0</v>
      </c>
      <c r="F2338" s="6">
        <f>'[1]MAR 2024'!F94</f>
        <v>0</v>
      </c>
      <c r="G2338" s="4"/>
      <c r="H2338" s="4"/>
    </row>
    <row r="2339" spans="1:8" x14ac:dyDescent="0.2">
      <c r="A2339" s="20">
        <f>'[1]MAR 2024'!A95</f>
        <v>45365</v>
      </c>
      <c r="B2339" s="12" t="str">
        <f>'[1]MAR 2024'!B95</f>
        <v>none</v>
      </c>
      <c r="C2339" s="3">
        <f>'[1]MAR 2024'!C95</f>
        <v>0</v>
      </c>
      <c r="D2339" s="3">
        <f>'[1]MAR 2024'!D95</f>
        <v>18250</v>
      </c>
      <c r="E2339" s="4">
        <f>'[1]MAR 2024'!E95</f>
        <v>18250</v>
      </c>
      <c r="F2339" s="6">
        <f>'[1]MAR 2024'!F95</f>
        <v>0</v>
      </c>
      <c r="G2339" s="4"/>
      <c r="H2339" s="4"/>
    </row>
    <row r="2340" spans="1:8" x14ac:dyDescent="0.2">
      <c r="A2340" s="20">
        <f>'[1]MAR 2024'!A107</f>
        <v>45367</v>
      </c>
      <c r="B2340" s="12" t="str">
        <f>'[1]MAR 2024'!B107</f>
        <v>LM</v>
      </c>
      <c r="C2340" s="3">
        <f>'[1]MAR 2024'!C107</f>
        <v>0</v>
      </c>
      <c r="D2340" s="3">
        <f>'[1]MAR 2024'!D107</f>
        <v>1805.72</v>
      </c>
      <c r="E2340" s="4">
        <f>'[1]MAR 2024'!E107</f>
        <v>0</v>
      </c>
      <c r="F2340" s="6">
        <f>'[1]MAR 2024'!F107</f>
        <v>0</v>
      </c>
      <c r="G2340" s="4"/>
      <c r="H2340" s="4"/>
    </row>
    <row r="2341" spans="1:8" x14ac:dyDescent="0.2">
      <c r="A2341" s="23">
        <f>'[1]MAR 2024'!A114</f>
        <v>45368</v>
      </c>
      <c r="B2341" s="12" t="str">
        <f>'[1]MAR 2024'!B114</f>
        <v>Frauen</v>
      </c>
      <c r="C2341" s="3">
        <f>'[1]MAR 2024'!C114</f>
        <v>0</v>
      </c>
      <c r="D2341" s="3">
        <f>'[1]MAR 2024'!D114</f>
        <v>807</v>
      </c>
      <c r="E2341" s="4">
        <f>'[1]MAR 2024'!E114</f>
        <v>0</v>
      </c>
      <c r="F2341" s="6">
        <f>'[1]MAR 2024'!F114</f>
        <v>0</v>
      </c>
      <c r="G2341" s="4"/>
      <c r="H2341" s="4"/>
    </row>
    <row r="2342" spans="1:8" x14ac:dyDescent="0.2">
      <c r="A2342" s="20">
        <f>'[1]MAR 2024'!A115</f>
        <v>45368</v>
      </c>
      <c r="B2342" s="12" t="str">
        <f>'[1]MAR 2024'!B115</f>
        <v>rent</v>
      </c>
      <c r="C2342" s="3">
        <f>'[1]MAR 2024'!C115</f>
        <v>0</v>
      </c>
      <c r="D2342" s="3">
        <f>'[1]MAR 2024'!D115</f>
        <v>0</v>
      </c>
      <c r="E2342" s="4">
        <f>'[1]MAR 2024'!E115</f>
        <v>0</v>
      </c>
      <c r="F2342" s="6">
        <f>'[1]MAR 2024'!F115</f>
        <v>55052.800000000003</v>
      </c>
      <c r="G2342" s="4"/>
      <c r="H2342" s="4"/>
    </row>
    <row r="2343" spans="1:8" x14ac:dyDescent="0.2">
      <c r="A2343" s="23">
        <f>'[1]MAR 2024'!A116</f>
        <v>45368</v>
      </c>
      <c r="B2343" s="12" t="str">
        <f>'[1]MAR 2024'!B116</f>
        <v>none</v>
      </c>
      <c r="C2343" s="3">
        <f>'[1]MAR 2024'!C116</f>
        <v>0</v>
      </c>
      <c r="D2343" s="3">
        <f>'[1]MAR 2024'!D116</f>
        <v>20000</v>
      </c>
      <c r="E2343" s="4">
        <f>'[1]MAR 2024'!E116</f>
        <v>20000</v>
      </c>
      <c r="F2343" s="6">
        <f>'[1]MAR 2024'!F116</f>
        <v>0</v>
      </c>
      <c r="G2343" s="4"/>
      <c r="H2343" s="4"/>
    </row>
    <row r="2344" spans="1:8" x14ac:dyDescent="0.2">
      <c r="A2344" s="20">
        <f>'[1]MAR 2024'!A117</f>
        <v>45368</v>
      </c>
      <c r="B2344" s="12" t="str">
        <f>'[1]MAR 2024'!B117</f>
        <v>Rauchen</v>
      </c>
      <c r="C2344" s="3">
        <f>'[1]MAR 2024'!C117</f>
        <v>0</v>
      </c>
      <c r="D2344" s="3">
        <f>'[1]MAR 2024'!D117</f>
        <v>1600</v>
      </c>
      <c r="E2344" s="4">
        <f>'[1]MAR 2024'!E117</f>
        <v>0</v>
      </c>
      <c r="F2344" s="6">
        <f>'[1]MAR 2024'!F117</f>
        <v>0</v>
      </c>
      <c r="G2344" s="4"/>
      <c r="H2344" s="4"/>
    </row>
    <row r="2345" spans="1:8" x14ac:dyDescent="0.2">
      <c r="A2345" s="23">
        <f>'[1]MAR 2024'!A118</f>
        <v>45368</v>
      </c>
      <c r="B2345" s="12" t="str">
        <f>'[1]MAR 2024'!B118</f>
        <v>LM</v>
      </c>
      <c r="C2345" s="3">
        <f>'[1]MAR 2024'!C118</f>
        <v>0</v>
      </c>
      <c r="D2345" s="3">
        <f>'[1]MAR 2024'!D118</f>
        <v>1429.98</v>
      </c>
      <c r="E2345" s="4">
        <f>'[1]MAR 2024'!E118</f>
        <v>0</v>
      </c>
      <c r="F2345" s="6">
        <f>'[1]MAR 2024'!F118</f>
        <v>0</v>
      </c>
      <c r="G2345" s="4"/>
      <c r="H2345" s="4"/>
    </row>
    <row r="2346" spans="1:8" x14ac:dyDescent="0.2">
      <c r="A2346" s="20">
        <f>'[1]MAR 2024'!A121</f>
        <v>45369</v>
      </c>
      <c r="B2346" s="12" t="str">
        <f>'[1]MAR 2024'!B121</f>
        <v>Andere</v>
      </c>
      <c r="C2346" s="3">
        <f>'[1]MAR 2024'!C121</f>
        <v>0</v>
      </c>
      <c r="D2346" s="3">
        <f>'[1]MAR 2024'!D121</f>
        <v>250</v>
      </c>
      <c r="E2346" s="4">
        <f>'[1]MAR 2024'!E121</f>
        <v>0</v>
      </c>
      <c r="F2346" s="6">
        <f>'[1]MAR 2024'!F121</f>
        <v>0</v>
      </c>
      <c r="G2346" s="4"/>
      <c r="H2346" s="4"/>
    </row>
    <row r="2347" spans="1:8" x14ac:dyDescent="0.2">
      <c r="A2347" s="23">
        <f>'[1]MAR 2024'!A122</f>
        <v>45369</v>
      </c>
      <c r="B2347" s="12" t="str">
        <f>'[1]MAR 2024'!B122</f>
        <v>Frauen</v>
      </c>
      <c r="C2347" s="3">
        <f>'[1]MAR 2024'!C122</f>
        <v>0</v>
      </c>
      <c r="D2347" s="3">
        <f>'[1]MAR 2024'!D122</f>
        <v>250</v>
      </c>
      <c r="E2347" s="4">
        <f>'[1]MAR 2024'!E122</f>
        <v>0</v>
      </c>
      <c r="F2347" s="6">
        <f>'[1]MAR 2024'!F122</f>
        <v>0</v>
      </c>
      <c r="G2347" s="4"/>
      <c r="H2347" s="4"/>
    </row>
    <row r="2348" spans="1:8" x14ac:dyDescent="0.2">
      <c r="A2348" s="20">
        <f>'[1]MAR 2024'!A123</f>
        <v>45369</v>
      </c>
      <c r="B2348" s="12" t="str">
        <f>'[1]MAR 2024'!B123</f>
        <v>VM</v>
      </c>
      <c r="C2348" s="3">
        <f>'[1]MAR 2024'!C123</f>
        <v>0</v>
      </c>
      <c r="D2348" s="3">
        <f>'[1]MAR 2024'!D123</f>
        <v>122</v>
      </c>
      <c r="E2348" s="4">
        <f>'[1]MAR 2024'!E123</f>
        <v>0</v>
      </c>
      <c r="F2348" s="6">
        <f>'[1]MAR 2024'!F123</f>
        <v>0</v>
      </c>
      <c r="G2348" s="4"/>
      <c r="H2348" s="4"/>
    </row>
    <row r="2349" spans="1:8" x14ac:dyDescent="0.2">
      <c r="A2349" s="23">
        <f>'[1]MAR 2024'!A124</f>
        <v>45369</v>
      </c>
      <c r="B2349" s="12" t="str">
        <f>'[1]MAR 2024'!B124</f>
        <v>LM</v>
      </c>
      <c r="C2349" s="3">
        <f>'[1]MAR 2024'!C124</f>
        <v>0</v>
      </c>
      <c r="D2349" s="3">
        <f>'[1]MAR 2024'!D124</f>
        <v>480</v>
      </c>
      <c r="E2349" s="4">
        <f>'[1]MAR 2024'!E124</f>
        <v>0</v>
      </c>
      <c r="F2349" s="6">
        <f>'[1]MAR 2024'!F124</f>
        <v>0</v>
      </c>
      <c r="G2349" s="4"/>
      <c r="H2349" s="4"/>
    </row>
    <row r="2350" spans="1:8" x14ac:dyDescent="0.2">
      <c r="A2350" s="20">
        <f>'[1]MAR 2024'!A125</f>
        <v>45369</v>
      </c>
      <c r="B2350" s="12" t="str">
        <f>'[1]MAR 2024'!B125</f>
        <v>none</v>
      </c>
      <c r="C2350" s="3">
        <f>'[1]MAR 2024'!C125</f>
        <v>0</v>
      </c>
      <c r="D2350" s="3">
        <f>'[1]MAR 2024'!D125</f>
        <v>250</v>
      </c>
      <c r="E2350" s="4">
        <f>'[1]MAR 2024'!E125</f>
        <v>250</v>
      </c>
      <c r="F2350" s="6">
        <f>'[1]MAR 2024'!F125</f>
        <v>0</v>
      </c>
      <c r="G2350" s="4"/>
      <c r="H2350" s="4"/>
    </row>
    <row r="2351" spans="1:8" x14ac:dyDescent="0.2">
      <c r="A2351" s="23">
        <f>'[1]MAR 2024'!A128</f>
        <v>45370</v>
      </c>
      <c r="B2351" s="12" t="str">
        <f>'[1]MAR 2024'!B128</f>
        <v>LM</v>
      </c>
      <c r="C2351" s="3">
        <f>'[1]MAR 2024'!C128</f>
        <v>0</v>
      </c>
      <c r="D2351" s="3">
        <f>'[1]MAR 2024'!D128</f>
        <v>659</v>
      </c>
      <c r="E2351" s="4">
        <f>'[1]MAR 2024'!E128</f>
        <v>0</v>
      </c>
      <c r="F2351" s="6">
        <f>'[1]MAR 2024'!F128</f>
        <v>0</v>
      </c>
      <c r="G2351" s="4"/>
      <c r="H2351" s="4"/>
    </row>
    <row r="2352" spans="1:8" x14ac:dyDescent="0.2">
      <c r="A2352" s="20">
        <f>'[1]MAR 2024'!A129</f>
        <v>45370</v>
      </c>
      <c r="B2352" s="12" t="str">
        <f>'[1]MAR 2024'!B129</f>
        <v>Andere</v>
      </c>
      <c r="C2352" s="3">
        <f>'[1]MAR 2024'!C129</f>
        <v>0</v>
      </c>
      <c r="D2352" s="3">
        <f>'[1]MAR 2024'!D129</f>
        <v>421</v>
      </c>
      <c r="E2352" s="4">
        <f>'[1]MAR 2024'!E129</f>
        <v>0</v>
      </c>
      <c r="F2352" s="6">
        <f>'[1]MAR 2024'!F129</f>
        <v>0</v>
      </c>
      <c r="G2352" s="4"/>
      <c r="H2352" s="4"/>
    </row>
    <row r="2353" spans="1:8" x14ac:dyDescent="0.2">
      <c r="A2353" s="20">
        <f>'[1]MAR 2024'!A135</f>
        <v>45371</v>
      </c>
      <c r="B2353" s="12" t="str">
        <f>'[1]MAR 2024'!B135</f>
        <v>LM</v>
      </c>
      <c r="C2353" s="3">
        <f>'[1]MAR 2024'!C135</f>
        <v>0</v>
      </c>
      <c r="D2353" s="3">
        <f>'[1]MAR 2024'!D135</f>
        <v>1140</v>
      </c>
      <c r="E2353" s="4">
        <f>'[1]MAR 2024'!E135</f>
        <v>0</v>
      </c>
      <c r="F2353" s="6">
        <f>'[1]MAR 2024'!F135</f>
        <v>0</v>
      </c>
      <c r="G2353" s="4"/>
      <c r="H2353" s="4"/>
    </row>
    <row r="2354" spans="1:8" x14ac:dyDescent="0.2">
      <c r="A2354" s="23">
        <f>'[1]MAR 2024'!A136</f>
        <v>45371</v>
      </c>
      <c r="B2354" s="12" t="str">
        <f>'[1]MAR 2024'!B136</f>
        <v>for me</v>
      </c>
      <c r="C2354" s="3">
        <f>'[1]MAR 2024'!C136</f>
        <v>0</v>
      </c>
      <c r="D2354" s="3">
        <f>'[1]MAR 2024'!D136</f>
        <v>800</v>
      </c>
      <c r="E2354" s="4">
        <f>'[1]MAR 2024'!E136</f>
        <v>0</v>
      </c>
      <c r="F2354" s="6">
        <f>'[1]MAR 2024'!F136</f>
        <v>0</v>
      </c>
      <c r="G2354" s="4"/>
      <c r="H2354" s="4"/>
    </row>
    <row r="2355" spans="1:8" x14ac:dyDescent="0.2">
      <c r="A2355" s="23">
        <f>'[1]MAR 2024'!A142</f>
        <v>45372</v>
      </c>
      <c r="B2355" s="12" t="str">
        <f>'[1]MAR 2024'!B142</f>
        <v>LM</v>
      </c>
      <c r="C2355" s="3">
        <f>'[1]MAR 2024'!C142</f>
        <v>0</v>
      </c>
      <c r="D2355" s="3">
        <f>'[1]MAR 2024'!D142</f>
        <v>900</v>
      </c>
      <c r="E2355" s="4">
        <f>'[1]MAR 2024'!E142</f>
        <v>0</v>
      </c>
      <c r="F2355" s="6">
        <f>'[1]MAR 2024'!F142</f>
        <v>0</v>
      </c>
      <c r="G2355" s="4"/>
      <c r="H2355" s="4"/>
    </row>
    <row r="2356" spans="1:8" x14ac:dyDescent="0.2">
      <c r="A2356" s="20">
        <f>'[1]MAR 2024'!A143</f>
        <v>45372</v>
      </c>
      <c r="B2356" s="12" t="str">
        <f>'[1]MAR 2024'!B143</f>
        <v>VM</v>
      </c>
      <c r="C2356" s="3">
        <f>'[1]MAR 2024'!C143</f>
        <v>0</v>
      </c>
      <c r="D2356" s="3">
        <f>'[1]MAR 2024'!D143</f>
        <v>122</v>
      </c>
      <c r="E2356" s="4">
        <f>'[1]MAR 2024'!E143</f>
        <v>0</v>
      </c>
      <c r="F2356" s="6">
        <f>'[1]MAR 2024'!F143</f>
        <v>0</v>
      </c>
      <c r="G2356" s="4"/>
      <c r="H2356" s="4"/>
    </row>
    <row r="2357" spans="1:8" x14ac:dyDescent="0.2">
      <c r="A2357" s="23">
        <f>'[1]MAR 2024'!A144</f>
        <v>45372</v>
      </c>
      <c r="B2357" s="12" t="str">
        <f>'[1]MAR 2024'!B144</f>
        <v>LM</v>
      </c>
      <c r="C2357" s="3">
        <f>'[1]MAR 2024'!C144</f>
        <v>0</v>
      </c>
      <c r="D2357" s="3">
        <f>'[1]MAR 2024'!D144</f>
        <v>89</v>
      </c>
      <c r="E2357" s="4">
        <f>'[1]MAR 2024'!E144</f>
        <v>0</v>
      </c>
      <c r="F2357" s="6">
        <f>'[1]MAR 2024'!F144</f>
        <v>0</v>
      </c>
      <c r="G2357" s="4"/>
      <c r="H2357" s="4"/>
    </row>
    <row r="2358" spans="1:8" x14ac:dyDescent="0.2">
      <c r="A2358" s="20">
        <f>'[1]MAR 2024'!A145</f>
        <v>45372</v>
      </c>
      <c r="B2358" s="12" t="str">
        <f>'[1]MAR 2024'!B145</f>
        <v>Andere</v>
      </c>
      <c r="C2358" s="3">
        <f>'[1]MAR 2024'!C145</f>
        <v>0</v>
      </c>
      <c r="D2358" s="3">
        <f>'[1]MAR 2024'!D145</f>
        <v>3100</v>
      </c>
      <c r="E2358" s="4">
        <f>'[1]MAR 2024'!E145</f>
        <v>0</v>
      </c>
      <c r="F2358" s="6">
        <f>'[1]MAR 2024'!F145</f>
        <v>0</v>
      </c>
      <c r="G2358" s="4"/>
      <c r="H2358" s="4"/>
    </row>
    <row r="2359" spans="1:8" x14ac:dyDescent="0.2">
      <c r="A2359" s="20">
        <f>'[1]MAR 2024'!A149</f>
        <v>45373</v>
      </c>
      <c r="B2359" s="12" t="str">
        <f>'[1]MAR 2024'!B149</f>
        <v>Refill</v>
      </c>
      <c r="C2359" s="3">
        <f>'[1]MAR 2024'!C149</f>
        <v>53287</v>
      </c>
      <c r="D2359" s="3">
        <f>'[1]MAR 2024'!D149</f>
        <v>0</v>
      </c>
      <c r="E2359" s="4">
        <f>'[1]MAR 2024'!E149</f>
        <v>0</v>
      </c>
      <c r="F2359" s="6">
        <f>'[1]MAR 2024'!F149</f>
        <v>0</v>
      </c>
      <c r="G2359" s="4"/>
      <c r="H2359" s="4"/>
    </row>
    <row r="2360" spans="1:8" x14ac:dyDescent="0.2">
      <c r="A2360" s="23">
        <f>'[1]MAR 2024'!A150</f>
        <v>45373</v>
      </c>
      <c r="B2360" s="12" t="str">
        <f>'[1]MAR 2024'!B150</f>
        <v>VM</v>
      </c>
      <c r="C2360" s="3">
        <f>'[1]MAR 2024'!C150</f>
        <v>0</v>
      </c>
      <c r="D2360" s="3">
        <f>'[1]MAR 2024'!D150</f>
        <v>61</v>
      </c>
      <c r="E2360" s="4">
        <f>'[1]MAR 2024'!E150</f>
        <v>0</v>
      </c>
      <c r="F2360" s="6">
        <f>'[1]MAR 2024'!F150</f>
        <v>0</v>
      </c>
      <c r="G2360" s="4"/>
      <c r="H2360" s="4"/>
    </row>
    <row r="2361" spans="1:8" x14ac:dyDescent="0.2">
      <c r="A2361" s="20">
        <f>'[1]MAR 2024'!A151</f>
        <v>45373</v>
      </c>
      <c r="B2361" s="12" t="str">
        <f>'[1]MAR 2024'!B151</f>
        <v>LM</v>
      </c>
      <c r="C2361" s="3">
        <f>'[1]MAR 2024'!C151</f>
        <v>0</v>
      </c>
      <c r="D2361" s="3">
        <f>'[1]MAR 2024'!D151</f>
        <v>270</v>
      </c>
      <c r="E2361" s="4">
        <f>'[1]MAR 2024'!E151</f>
        <v>0</v>
      </c>
      <c r="F2361" s="6">
        <f>'[1]MAR 2024'!F151</f>
        <v>0</v>
      </c>
      <c r="G2361" s="4"/>
      <c r="H2361" s="4"/>
    </row>
    <row r="2362" spans="1:8" x14ac:dyDescent="0.2">
      <c r="A2362" s="23">
        <f>'[1]MAR 2024'!A156</f>
        <v>45374</v>
      </c>
      <c r="B2362" s="12" t="str">
        <f>'[1]MAR 2024'!B156</f>
        <v>VM</v>
      </c>
      <c r="C2362" s="3">
        <f>'[1]MAR 2024'!C156</f>
        <v>0</v>
      </c>
      <c r="D2362" s="3">
        <f>'[1]MAR 2024'!D156</f>
        <v>1756</v>
      </c>
      <c r="E2362" s="4">
        <f>'[1]MAR 2024'!E156</f>
        <v>0</v>
      </c>
      <c r="F2362" s="6">
        <f>'[1]MAR 2024'!F156</f>
        <v>0</v>
      </c>
      <c r="G2362" s="4"/>
      <c r="H2362" s="4"/>
    </row>
    <row r="2363" spans="1:8" x14ac:dyDescent="0.2">
      <c r="A2363" s="20">
        <f>'[1]MAR 2024'!A157</f>
        <v>45374</v>
      </c>
      <c r="B2363" s="12" t="str">
        <f>'[1]MAR 2024'!B157</f>
        <v>LM</v>
      </c>
      <c r="C2363" s="3">
        <f>'[1]MAR 2024'!C157</f>
        <v>0</v>
      </c>
      <c r="D2363" s="3">
        <f>'[1]MAR 2024'!D157</f>
        <v>634.13</v>
      </c>
      <c r="E2363" s="4">
        <f>'[1]MAR 2024'!E157</f>
        <v>0</v>
      </c>
      <c r="F2363" s="6">
        <f>'[1]MAR 2024'!F157</f>
        <v>0</v>
      </c>
      <c r="G2363" s="4"/>
      <c r="H2363" s="4"/>
    </row>
    <row r="2364" spans="1:8" x14ac:dyDescent="0.2">
      <c r="A2364" s="23">
        <f>'[1]MAR 2024'!A158</f>
        <v>45374</v>
      </c>
      <c r="B2364" s="12" t="str">
        <f>'[1]MAR 2024'!B158</f>
        <v>VM</v>
      </c>
      <c r="C2364" s="3">
        <f>'[1]MAR 2024'!C158</f>
        <v>0</v>
      </c>
      <c r="D2364" s="3">
        <f>'[1]MAR 2024'!D158</f>
        <v>122</v>
      </c>
      <c r="E2364" s="4">
        <f>'[1]MAR 2024'!E158</f>
        <v>0</v>
      </c>
      <c r="F2364" s="6">
        <f>'[1]MAR 2024'!F158</f>
        <v>0</v>
      </c>
      <c r="G2364" s="4"/>
      <c r="H2364" s="4"/>
    </row>
    <row r="2365" spans="1:8" x14ac:dyDescent="0.2">
      <c r="A2365" s="20">
        <f>'[1]MAR 2024'!A163</f>
        <v>45375</v>
      </c>
      <c r="B2365" s="12" t="str">
        <f>'[1]MAR 2024'!B163</f>
        <v>LM</v>
      </c>
      <c r="C2365" s="3">
        <f>'[1]MAR 2024'!C163</f>
        <v>0</v>
      </c>
      <c r="D2365" s="3">
        <f>'[1]MAR 2024'!D163</f>
        <v>756</v>
      </c>
      <c r="E2365" s="4">
        <f>'[1]MAR 2024'!E163</f>
        <v>0</v>
      </c>
      <c r="F2365" s="6">
        <f>'[1]MAR 2024'!F163</f>
        <v>0</v>
      </c>
      <c r="G2365" s="4"/>
      <c r="H2365" s="4"/>
    </row>
    <row r="2366" spans="1:8" x14ac:dyDescent="0.2">
      <c r="A2366" s="23">
        <f>'[1]MAR 2024'!A170</f>
        <v>45376</v>
      </c>
      <c r="B2366" s="12" t="str">
        <f>'[1]MAR 2024'!B170</f>
        <v>for me</v>
      </c>
      <c r="C2366" s="3">
        <f>'[1]MAR 2024'!C170</f>
        <v>0</v>
      </c>
      <c r="D2366" s="3">
        <f>'[1]MAR 2024'!D170</f>
        <v>1370</v>
      </c>
      <c r="E2366" s="4">
        <f>'[1]MAR 2024'!E170</f>
        <v>0</v>
      </c>
      <c r="F2366" s="6">
        <f>'[1]MAR 2024'!F170</f>
        <v>0</v>
      </c>
      <c r="G2366" s="4"/>
      <c r="H2366" s="4"/>
    </row>
    <row r="2367" spans="1:8" x14ac:dyDescent="0.2">
      <c r="A2367" s="20">
        <f>'[1]MAR 2024'!A171</f>
        <v>45376</v>
      </c>
      <c r="B2367" s="12" t="str">
        <f>'[1]MAR 2024'!B171</f>
        <v>Frauen</v>
      </c>
      <c r="C2367" s="3">
        <f>'[1]MAR 2024'!C171</f>
        <v>0</v>
      </c>
      <c r="D2367" s="3">
        <f>'[1]MAR 2024'!D171</f>
        <v>3145</v>
      </c>
      <c r="E2367" s="4">
        <f>'[1]MAR 2024'!E171</f>
        <v>0</v>
      </c>
      <c r="F2367" s="6">
        <f>'[1]MAR 2024'!F171</f>
        <v>0</v>
      </c>
      <c r="G2367" s="4"/>
      <c r="H2367" s="4"/>
    </row>
    <row r="2368" spans="1:8" x14ac:dyDescent="0.2">
      <c r="A2368" s="20">
        <f>'[1]MAR 2024'!A177</f>
        <v>45377</v>
      </c>
      <c r="B2368" s="12" t="str">
        <f>'[1]MAR 2024'!B177</f>
        <v>LM</v>
      </c>
      <c r="C2368" s="3">
        <f>'[1]MAR 2024'!C177</f>
        <v>0</v>
      </c>
      <c r="D2368" s="3">
        <f>'[1]MAR 2024'!D177</f>
        <v>406.3</v>
      </c>
      <c r="E2368" s="4">
        <f>'[1]MAR 2024'!E177</f>
        <v>0</v>
      </c>
      <c r="F2368" s="6">
        <f>'[1]MAR 2024'!F177</f>
        <v>0</v>
      </c>
      <c r="G2368" s="4"/>
      <c r="H2368" s="4"/>
    </row>
    <row r="2369" spans="1:8" x14ac:dyDescent="0.2">
      <c r="A2369" s="23">
        <f>'[1]MAR 2024'!A178</f>
        <v>45377</v>
      </c>
      <c r="B2369" s="12" t="str">
        <f>'[1]MAR 2024'!B178</f>
        <v>VM</v>
      </c>
      <c r="C2369" s="3">
        <f>'[1]MAR 2024'!C178</f>
        <v>0</v>
      </c>
      <c r="D2369" s="3">
        <f>'[1]MAR 2024'!D178</f>
        <v>351</v>
      </c>
      <c r="E2369" s="4">
        <f>'[1]MAR 2024'!E178</f>
        <v>0</v>
      </c>
      <c r="F2369" s="6">
        <f>'[1]MAR 2024'!F178</f>
        <v>0</v>
      </c>
      <c r="G2369" s="4"/>
      <c r="H2369" s="4"/>
    </row>
    <row r="2370" spans="1:8" x14ac:dyDescent="0.2">
      <c r="A2370" s="20">
        <f>'[1]MAR 2024'!A179</f>
        <v>45377</v>
      </c>
      <c r="B2370" s="12" t="str">
        <f>'[1]MAR 2024'!B179</f>
        <v>LM</v>
      </c>
      <c r="C2370" s="3">
        <f>'[1]MAR 2024'!C179</f>
        <v>0</v>
      </c>
      <c r="D2370" s="3">
        <f>'[1]MAR 2024'!D179</f>
        <v>465</v>
      </c>
      <c r="E2370" s="4">
        <f>'[1]MAR 2024'!E179</f>
        <v>0</v>
      </c>
      <c r="F2370" s="6">
        <f>'[1]MAR 2024'!F179</f>
        <v>0</v>
      </c>
      <c r="G2370" s="4"/>
      <c r="H2370" s="4"/>
    </row>
    <row r="2371" spans="1:8" x14ac:dyDescent="0.2">
      <c r="A2371" s="23">
        <f>'[1]MAR 2024'!A180</f>
        <v>45377</v>
      </c>
      <c r="B2371" s="12" t="str">
        <f>'[1]MAR 2024'!B180</f>
        <v>Andere</v>
      </c>
      <c r="C2371" s="3">
        <f>'[1]MAR 2024'!C180</f>
        <v>0</v>
      </c>
      <c r="D2371" s="3">
        <f>'[1]MAR 2024'!D180</f>
        <v>374</v>
      </c>
      <c r="E2371" s="4">
        <f>'[1]MAR 2024'!E180</f>
        <v>0</v>
      </c>
      <c r="F2371" s="6">
        <f>'[1]MAR 2024'!F180</f>
        <v>0</v>
      </c>
      <c r="G2371" s="4"/>
      <c r="H2371" s="4"/>
    </row>
    <row r="2372" spans="1:8" x14ac:dyDescent="0.2">
      <c r="A2372" s="20">
        <f>'[1]MAR 2024'!A181</f>
        <v>45377</v>
      </c>
      <c r="B2372" s="12" t="str">
        <f>'[1]MAR 2024'!B181</f>
        <v>VM</v>
      </c>
      <c r="C2372" s="3">
        <f>'[1]MAR 2024'!C181</f>
        <v>0</v>
      </c>
      <c r="D2372" s="3">
        <f>'[1]MAR 2024'!D181</f>
        <v>351</v>
      </c>
      <c r="E2372" s="4">
        <f>'[1]MAR 2024'!E181</f>
        <v>0</v>
      </c>
      <c r="F2372" s="6">
        <f>'[1]MAR 2024'!F181</f>
        <v>0</v>
      </c>
      <c r="G2372" s="4"/>
      <c r="H2372" s="4"/>
    </row>
    <row r="2373" spans="1:8" x14ac:dyDescent="0.2">
      <c r="A2373" s="23">
        <f>'[1]MAR 2024'!A184</f>
        <v>45378</v>
      </c>
      <c r="B2373" s="12" t="str">
        <f>'[1]MAR 2024'!B184</f>
        <v>none</v>
      </c>
      <c r="C2373" s="3">
        <f>'[1]MAR 2024'!C184</f>
        <v>4</v>
      </c>
      <c r="D2373" s="3">
        <f>'[1]MAR 2024'!D184</f>
        <v>0</v>
      </c>
      <c r="E2373" s="4">
        <f>'[1]MAR 2024'!E184</f>
        <v>0</v>
      </c>
      <c r="F2373" s="6">
        <f>'[1]MAR 2024'!F184</f>
        <v>0</v>
      </c>
      <c r="G2373" s="4"/>
      <c r="H2373" s="4"/>
    </row>
    <row r="2374" spans="1:8" x14ac:dyDescent="0.2">
      <c r="A2374" s="20">
        <f>'[1]MAR 2024'!A185</f>
        <v>45378</v>
      </c>
      <c r="B2374" s="12" t="str">
        <f>'[1]MAR 2024'!B185</f>
        <v>LM</v>
      </c>
      <c r="C2374" s="3">
        <f>'[1]MAR 2024'!C185</f>
        <v>0</v>
      </c>
      <c r="D2374" s="3">
        <f>'[1]MAR 2024'!D185</f>
        <v>1470</v>
      </c>
      <c r="E2374" s="4">
        <f>'[1]MAR 2024'!E185</f>
        <v>0</v>
      </c>
      <c r="F2374" s="6">
        <f>'[1]MAR 2024'!F185</f>
        <v>0</v>
      </c>
      <c r="G2374" s="4"/>
      <c r="H2374" s="4"/>
    </row>
    <row r="2375" spans="1:8" x14ac:dyDescent="0.2">
      <c r="A2375" s="20">
        <f>'[1]MAR 2024'!A191</f>
        <v>45379</v>
      </c>
      <c r="B2375" s="12" t="str">
        <f>'[1]MAR 2024'!B191</f>
        <v>VM</v>
      </c>
      <c r="C2375" s="3">
        <f>'[1]MAR 2024'!C191</f>
        <v>0</v>
      </c>
      <c r="D2375" s="3">
        <f>'[1]MAR 2024'!D191</f>
        <v>5055</v>
      </c>
      <c r="E2375" s="4">
        <f>'[1]MAR 2024'!E191</f>
        <v>0</v>
      </c>
      <c r="F2375" s="6">
        <f>'[1]MAR 2024'!F191</f>
        <v>0</v>
      </c>
      <c r="G2375" s="4"/>
      <c r="H2375" s="4"/>
    </row>
    <row r="2376" spans="1:8" x14ac:dyDescent="0.2">
      <c r="A2376" s="23">
        <f>'[1]MAR 2024'!A192</f>
        <v>45379</v>
      </c>
      <c r="B2376" s="12" t="str">
        <f>'[1]MAR 2024'!B192</f>
        <v>Andere</v>
      </c>
      <c r="C2376" s="3">
        <f>'[1]MAR 2024'!C192</f>
        <v>0</v>
      </c>
      <c r="D2376" s="3">
        <f>'[1]MAR 2024'!D192</f>
        <v>1502</v>
      </c>
      <c r="E2376" s="4">
        <f>'[1]MAR 2024'!E192</f>
        <v>0</v>
      </c>
      <c r="F2376" s="6">
        <f>'[1]MAR 2024'!F192</f>
        <v>0</v>
      </c>
      <c r="G2376" s="4"/>
      <c r="H2376" s="4"/>
    </row>
    <row r="2377" spans="1:8" x14ac:dyDescent="0.2">
      <c r="A2377" s="20">
        <f>'[1]MAR 2024'!A193</f>
        <v>45379</v>
      </c>
      <c r="B2377" s="12" t="str">
        <f>'[1]MAR 2024'!B193</f>
        <v>LM</v>
      </c>
      <c r="C2377" s="3">
        <f>'[1]MAR 2024'!C193</f>
        <v>0</v>
      </c>
      <c r="D2377" s="3">
        <f>'[1]MAR 2024'!D193</f>
        <v>35.99</v>
      </c>
      <c r="E2377" s="4">
        <f>'[1]MAR 2024'!E193</f>
        <v>0</v>
      </c>
      <c r="F2377" s="6">
        <f>'[1]MAR 2024'!F193</f>
        <v>0</v>
      </c>
      <c r="G2377" s="4"/>
      <c r="H2377" s="4"/>
    </row>
    <row r="2378" spans="1:8" x14ac:dyDescent="0.2">
      <c r="A2378" s="23">
        <f>'[1]MAR 2024'!A198</f>
        <v>45380</v>
      </c>
      <c r="B2378" s="12" t="str">
        <f>'[1]MAR 2024'!B198</f>
        <v>Rauchen</v>
      </c>
      <c r="C2378" s="3">
        <f>'[1]MAR 2024'!C198</f>
        <v>0</v>
      </c>
      <c r="D2378" s="3">
        <f>'[1]MAR 2024'!D198</f>
        <v>1349</v>
      </c>
      <c r="E2378" s="4">
        <f>'[1]MAR 2024'!E198</f>
        <v>0</v>
      </c>
      <c r="F2378" s="6">
        <f>'[1]MAR 2024'!F198</f>
        <v>0</v>
      </c>
      <c r="G2378" s="4"/>
      <c r="H2378" s="4"/>
    </row>
    <row r="2379" spans="1:8" x14ac:dyDescent="0.2">
      <c r="A2379" s="20">
        <f>'[1]MAR 2024'!A199</f>
        <v>45380</v>
      </c>
      <c r="B2379" s="12" t="str">
        <f>'[1]MAR 2024'!B199</f>
        <v>VM</v>
      </c>
      <c r="C2379" s="3">
        <f>'[1]MAR 2024'!C199</f>
        <v>0</v>
      </c>
      <c r="D2379" s="3">
        <f>'[1]MAR 2024'!D199</f>
        <v>550</v>
      </c>
      <c r="E2379" s="4">
        <f>'[1]MAR 2024'!E199</f>
        <v>0</v>
      </c>
      <c r="F2379" s="6">
        <f>'[1]MAR 2024'!F199</f>
        <v>0</v>
      </c>
      <c r="G2379" s="4"/>
      <c r="H2379" s="4"/>
    </row>
    <row r="2380" spans="1:8" x14ac:dyDescent="0.2">
      <c r="A2380" s="23">
        <f>'[1]MAR 2024'!A200</f>
        <v>45380</v>
      </c>
      <c r="B2380" s="12" t="str">
        <f>'[1]MAR 2024'!B200</f>
        <v>LM</v>
      </c>
      <c r="C2380" s="3">
        <f>'[1]MAR 2024'!C200</f>
        <v>0</v>
      </c>
      <c r="D2380" s="3">
        <f>'[1]MAR 2024'!D200</f>
        <v>350</v>
      </c>
      <c r="E2380" s="4">
        <f>'[1]MAR 2024'!E200</f>
        <v>0</v>
      </c>
      <c r="F2380" s="6">
        <f>'[1]MAR 2024'!F200</f>
        <v>0</v>
      </c>
      <c r="G2380" s="4"/>
      <c r="H2380" s="4"/>
    </row>
    <row r="2381" spans="1:8" x14ac:dyDescent="0.2">
      <c r="A2381" s="20">
        <f>'[1]MAR 2024'!A205</f>
        <v>45381</v>
      </c>
      <c r="B2381" s="12" t="str">
        <f>'[1]MAR 2024'!B205</f>
        <v>LM</v>
      </c>
      <c r="C2381" s="3">
        <f>'[1]MAR 2024'!C205</f>
        <v>0</v>
      </c>
      <c r="D2381" s="3">
        <f>'[1]MAR 2024'!D205</f>
        <v>3378</v>
      </c>
      <c r="E2381" s="4">
        <f>'[1]MAR 2024'!E205</f>
        <v>0</v>
      </c>
      <c r="F2381" s="6">
        <f>'[1]MAR 2024'!F205</f>
        <v>0</v>
      </c>
      <c r="G2381" s="4"/>
      <c r="H2381" s="4"/>
    </row>
    <row r="2382" spans="1:8" x14ac:dyDescent="0.2">
      <c r="A2382" s="23">
        <f>'[1]MAR 2024'!A206</f>
        <v>45381</v>
      </c>
      <c r="B2382" s="12" t="str">
        <f>'[1]MAR 2024'!B206</f>
        <v>VM</v>
      </c>
      <c r="C2382" s="3">
        <f>'[1]MAR 2024'!C206</f>
        <v>0</v>
      </c>
      <c r="D2382" s="3">
        <f>'[1]MAR 2024'!D206</f>
        <v>61</v>
      </c>
      <c r="E2382" s="4">
        <f>'[1]MAR 2024'!E206</f>
        <v>0</v>
      </c>
      <c r="F2382" s="6">
        <f>'[1]MAR 2024'!F206</f>
        <v>0</v>
      </c>
      <c r="G2382" s="4"/>
      <c r="H2382" s="4"/>
    </row>
    <row r="2383" spans="1:8" x14ac:dyDescent="0.2">
      <c r="A2383" s="20">
        <f>'[1]MAR 2024'!A207</f>
        <v>45381</v>
      </c>
      <c r="B2383" s="12" t="str">
        <f>'[1]MAR 2024'!B207</f>
        <v>VM</v>
      </c>
      <c r="C2383" s="3">
        <f>'[1]MAR 2024'!C207</f>
        <v>0</v>
      </c>
      <c r="D2383" s="3">
        <f>'[1]MAR 2024'!D207</f>
        <v>790</v>
      </c>
      <c r="E2383" s="4">
        <f>'[1]MAR 2024'!E207</f>
        <v>0</v>
      </c>
      <c r="F2383" s="6">
        <f>'[1]MAR 2024'!F207</f>
        <v>0</v>
      </c>
      <c r="G2383" s="4"/>
      <c r="H2383" s="4"/>
    </row>
    <row r="2384" spans="1:8" x14ac:dyDescent="0.2">
      <c r="A2384" s="23">
        <f>'[1]MAR 2024'!A212</f>
        <v>45382</v>
      </c>
      <c r="B2384" s="12" t="str">
        <f>'[1]MAR 2024'!B212</f>
        <v>Party</v>
      </c>
      <c r="C2384" s="3">
        <f>'[1]MAR 2024'!C212</f>
        <v>0</v>
      </c>
      <c r="D2384" s="3">
        <f>'[1]MAR 2024'!D212</f>
        <v>4950</v>
      </c>
      <c r="E2384" s="4">
        <f>'[1]MAR 2024'!E212</f>
        <v>0</v>
      </c>
      <c r="F2384" s="6">
        <f>'[1]MAR 2024'!F212</f>
        <v>0</v>
      </c>
      <c r="G2384" s="4"/>
      <c r="H2384" s="4"/>
    </row>
    <row r="2385" spans="1:8" x14ac:dyDescent="0.2">
      <c r="A2385" s="20">
        <f>'[1]MAR 2024'!A213</f>
        <v>45382</v>
      </c>
      <c r="B2385" s="12" t="str">
        <f>'[1]MAR 2024'!B213</f>
        <v>VM</v>
      </c>
      <c r="C2385" s="3">
        <f>'[1]MAR 2024'!C213</f>
        <v>0</v>
      </c>
      <c r="D2385" s="3">
        <f>'[1]MAR 2024'!D213</f>
        <v>1493</v>
      </c>
      <c r="E2385" s="4">
        <f>'[1]MAR 2024'!E213</f>
        <v>0</v>
      </c>
      <c r="F2385" s="6">
        <f>'[1]MAR 2024'!F213</f>
        <v>0</v>
      </c>
      <c r="G2385" s="4"/>
      <c r="H2385" s="4"/>
    </row>
    <row r="2386" spans="1:8" x14ac:dyDescent="0.2">
      <c r="A2386" s="23">
        <f>'[1]MAR 2024'!A214</f>
        <v>45382</v>
      </c>
      <c r="B2386" s="12" t="str">
        <f>'[1]MAR 2024'!B214</f>
        <v>LM</v>
      </c>
      <c r="C2386" s="3">
        <f>'[1]MAR 2024'!C214</f>
        <v>0</v>
      </c>
      <c r="D2386" s="3">
        <f>'[1]MAR 2024'!D214</f>
        <v>300</v>
      </c>
      <c r="E2386" s="4">
        <f>'[1]MAR 2024'!E214</f>
        <v>0</v>
      </c>
      <c r="F2386" s="6">
        <f>'[1]MAR 2024'!F214</f>
        <v>0</v>
      </c>
      <c r="G2386" s="4"/>
      <c r="H2386" s="4"/>
    </row>
    <row r="2387" spans="1:8" x14ac:dyDescent="0.2">
      <c r="A2387" s="20">
        <f>'[1]MAR 2024'!A215</f>
        <v>45382</v>
      </c>
      <c r="B2387" s="12" t="str">
        <f>'[1]MAR 2024'!B215</f>
        <v>LM</v>
      </c>
      <c r="C2387" s="3">
        <f>'[1]MAR 2024'!C215</f>
        <v>0</v>
      </c>
      <c r="D2387" s="3">
        <f>'[1]MAR 2024'!D215</f>
        <v>119.99</v>
      </c>
      <c r="E2387" s="4">
        <f>'[1]MAR 2024'!E215</f>
        <v>0</v>
      </c>
      <c r="F2387" s="6">
        <f>'[1]MAR 2024'!F215</f>
        <v>0</v>
      </c>
      <c r="G2387" s="4"/>
      <c r="H2387" s="4"/>
    </row>
    <row r="2388" spans="1:8" x14ac:dyDescent="0.2">
      <c r="A2388" s="23">
        <f>'[1]MAR 2024'!A216</f>
        <v>45382</v>
      </c>
      <c r="B2388" s="12" t="str">
        <f>'[1]MAR 2024'!B216</f>
        <v>Refill</v>
      </c>
      <c r="C2388" s="3">
        <f>'[1]MAR 2024'!C216</f>
        <v>2375.8200000000002</v>
      </c>
      <c r="D2388" s="3">
        <f>'[1]MAR 2024'!D216</f>
        <v>0</v>
      </c>
      <c r="E2388" s="4">
        <f>'[1]MAR 2024'!E216</f>
        <v>0</v>
      </c>
      <c r="F2388" s="6">
        <f>'[1]MAR 2024'!F216</f>
        <v>0</v>
      </c>
      <c r="G2388" s="4"/>
      <c r="H2388" s="4"/>
    </row>
    <row r="2389" spans="1:8" x14ac:dyDescent="0.2">
      <c r="A2389" s="20">
        <f>'[1]MAR 2024'!A217</f>
        <v>45382</v>
      </c>
      <c r="B2389" s="12" t="str">
        <f>'[1]MAR 2024'!B217</f>
        <v>none</v>
      </c>
      <c r="C2389" s="3">
        <f>'[1]MAR 2024'!C217</f>
        <v>0</v>
      </c>
      <c r="D2389" s="3">
        <f>'[1]MAR 2024'!D217</f>
        <v>1000</v>
      </c>
      <c r="E2389" s="4">
        <f>'[1]MAR 2024'!E217</f>
        <v>1000</v>
      </c>
      <c r="F2389" s="6">
        <f>'[1]MAR 2024'!F217</f>
        <v>0</v>
      </c>
      <c r="G2389" s="4"/>
      <c r="H2389" s="4"/>
    </row>
    <row r="2390" spans="1:8" x14ac:dyDescent="0.2">
      <c r="A2390" s="20">
        <f>'[1]APR 2024'!A2</f>
        <v>45383</v>
      </c>
      <c r="B2390" s="12" t="str">
        <f>'[1]APR 2024'!B2</f>
        <v>LM</v>
      </c>
      <c r="C2390" s="3">
        <f>'[1]APR 2024'!C2</f>
        <v>0</v>
      </c>
      <c r="D2390" s="3">
        <f>'[1]APR 2024'!D2</f>
        <v>806</v>
      </c>
      <c r="E2390" s="4">
        <f>'[1]APR 2024'!E2</f>
        <v>0</v>
      </c>
      <c r="F2390" s="6">
        <f>'[1]APR 2024'!F2</f>
        <v>0</v>
      </c>
      <c r="G2390" s="4"/>
      <c r="H2390" s="4"/>
    </row>
    <row r="2391" spans="1:8" x14ac:dyDescent="0.2">
      <c r="A2391" s="23">
        <f>'[1]APR 2024'!A3</f>
        <v>45383</v>
      </c>
      <c r="B2391" s="12" t="str">
        <f>'[1]APR 2024'!B3</f>
        <v>VM</v>
      </c>
      <c r="C2391" s="3">
        <f>'[1]APR 2024'!C3</f>
        <v>0</v>
      </c>
      <c r="D2391" s="3">
        <f>'[1]APR 2024'!D3</f>
        <v>0</v>
      </c>
      <c r="E2391" s="4">
        <f>'[1]APR 2024'!E3</f>
        <v>0</v>
      </c>
      <c r="F2391" s="6">
        <f>'[1]APR 2024'!F3</f>
        <v>0</v>
      </c>
      <c r="G2391" s="4"/>
      <c r="H2391" s="4"/>
    </row>
    <row r="2392" spans="1:8" x14ac:dyDescent="0.2">
      <c r="A2392" s="20">
        <f>'[1]APR 2024'!A4</f>
        <v>45383</v>
      </c>
      <c r="B2392" s="12" t="str">
        <f>'[1]APR 2024'!B4</f>
        <v>Andere</v>
      </c>
      <c r="C2392" s="3">
        <f>'[1]APR 2024'!C4</f>
        <v>0</v>
      </c>
      <c r="D2392" s="3">
        <f>'[1]APR 2024'!D4</f>
        <v>2000</v>
      </c>
      <c r="E2392" s="4">
        <f>'[1]APR 2024'!E4</f>
        <v>0</v>
      </c>
      <c r="F2392" s="6">
        <f>'[1]APR 2024'!F4</f>
        <v>0</v>
      </c>
      <c r="G2392" s="4"/>
      <c r="H2392" s="4"/>
    </row>
    <row r="2393" spans="1:8" x14ac:dyDescent="0.2">
      <c r="A2393" s="23">
        <f>'[1]APR 2024'!A5</f>
        <v>45383</v>
      </c>
      <c r="B2393" s="12" t="str">
        <f>'[1]APR 2024'!B5</f>
        <v>for me</v>
      </c>
      <c r="C2393" s="3">
        <f>'[1]APR 2024'!C5</f>
        <v>0</v>
      </c>
      <c r="D2393" s="3">
        <f>'[1]APR 2024'!D5</f>
        <v>0</v>
      </c>
      <c r="E2393" s="4">
        <f>'[1]APR 2024'!E5</f>
        <v>0</v>
      </c>
      <c r="F2393" s="6">
        <f>'[1]APR 2024'!F5</f>
        <v>0</v>
      </c>
      <c r="G2393" s="4"/>
      <c r="H2393" s="4"/>
    </row>
    <row r="2394" spans="1:8" x14ac:dyDescent="0.2">
      <c r="A2394" s="20">
        <f>'[1]APR 2024'!A6</f>
        <v>45383</v>
      </c>
      <c r="B2394" s="12" t="str">
        <f>'[1]APR 2024'!B6</f>
        <v>Party</v>
      </c>
      <c r="C2394" s="3">
        <f>'[1]APR 2024'!C6</f>
        <v>0</v>
      </c>
      <c r="D2394" s="3">
        <f>'[1]APR 2024'!D6</f>
        <v>0</v>
      </c>
      <c r="E2394" s="4">
        <f>'[1]APR 2024'!E6</f>
        <v>0</v>
      </c>
      <c r="F2394" s="6">
        <f>'[1]APR 2024'!F6</f>
        <v>0</v>
      </c>
      <c r="G2394" s="4"/>
      <c r="H2394" s="4"/>
    </row>
    <row r="2395" spans="1:8" x14ac:dyDescent="0.2">
      <c r="A2395" s="23">
        <f>'[1]APR 2024'!A7</f>
        <v>45383</v>
      </c>
      <c r="B2395" s="12" t="str">
        <f>'[1]APR 2024'!B7</f>
        <v>Kleidung</v>
      </c>
      <c r="C2395" s="3">
        <f>'[1]APR 2024'!C7</f>
        <v>0</v>
      </c>
      <c r="D2395" s="3">
        <f>'[1]APR 2024'!D7</f>
        <v>0</v>
      </c>
      <c r="E2395" s="4">
        <f>'[1]APR 2024'!E7</f>
        <v>0</v>
      </c>
      <c r="F2395" s="6">
        <f>'[1]APR 2024'!F7</f>
        <v>0</v>
      </c>
      <c r="G2395" s="4"/>
      <c r="H2395" s="4"/>
    </row>
    <row r="2396" spans="1:8" x14ac:dyDescent="0.2">
      <c r="A2396" s="23">
        <f>'[1]APR 2024'!A9</f>
        <v>45384</v>
      </c>
      <c r="B2396" s="12" t="str">
        <f>'[1]APR 2024'!B9</f>
        <v>LM</v>
      </c>
      <c r="C2396" s="3">
        <f>'[1]APR 2024'!C9</f>
        <v>0</v>
      </c>
      <c r="D2396" s="3">
        <f>'[1]APR 2024'!D9</f>
        <v>700</v>
      </c>
      <c r="E2396" s="4">
        <f>'[1]APR 2024'!E9</f>
        <v>0</v>
      </c>
      <c r="F2396" s="6">
        <f>'[1]APR 2024'!F9</f>
        <v>0</v>
      </c>
      <c r="G2396" s="4"/>
      <c r="H2396" s="4"/>
    </row>
    <row r="2397" spans="1:8" x14ac:dyDescent="0.2">
      <c r="A2397" s="20">
        <f>'[1]APR 2024'!A10</f>
        <v>45384</v>
      </c>
      <c r="B2397" s="12" t="str">
        <f>'[1]APR 2024'!B10</f>
        <v>LM</v>
      </c>
      <c r="C2397" s="3">
        <f>'[1]APR 2024'!C10</f>
        <v>0</v>
      </c>
      <c r="D2397" s="3">
        <f>'[1]APR 2024'!D10</f>
        <v>1466</v>
      </c>
      <c r="E2397" s="4">
        <f>'[1]APR 2024'!E10</f>
        <v>0</v>
      </c>
      <c r="F2397" s="6">
        <f>'[1]APR 2024'!F10</f>
        <v>0</v>
      </c>
      <c r="G2397" s="4"/>
      <c r="H2397" s="4"/>
    </row>
    <row r="2398" spans="1:8" x14ac:dyDescent="0.2">
      <c r="A2398" s="20">
        <f>'[1]APR 2024'!A16</f>
        <v>45385</v>
      </c>
      <c r="B2398" s="12" t="str">
        <f>'[1]APR 2024'!B16</f>
        <v>LM</v>
      </c>
      <c r="C2398" s="3">
        <f>'[1]APR 2024'!C16</f>
        <v>0</v>
      </c>
      <c r="D2398" s="3">
        <f>'[1]APR 2024'!D16</f>
        <v>980</v>
      </c>
      <c r="E2398" s="4">
        <f>'[1]APR 2024'!E16</f>
        <v>0</v>
      </c>
      <c r="F2398" s="6">
        <f>'[1]APR 2024'!F16</f>
        <v>0</v>
      </c>
      <c r="G2398" s="4"/>
      <c r="H2398" s="4"/>
    </row>
    <row r="2399" spans="1:8" x14ac:dyDescent="0.2">
      <c r="A2399" s="23">
        <f>'[1]APR 2024'!A17</f>
        <v>45385</v>
      </c>
      <c r="B2399" s="12" t="str">
        <f>'[1]APR 2024'!B17</f>
        <v>VM</v>
      </c>
      <c r="C2399" s="3">
        <f>'[1]APR 2024'!C17</f>
        <v>0</v>
      </c>
      <c r="D2399" s="3">
        <f>'[1]APR 2024'!D17</f>
        <v>122</v>
      </c>
      <c r="E2399" s="4">
        <f>'[1]APR 2024'!E17</f>
        <v>0</v>
      </c>
      <c r="F2399" s="6">
        <f>'[1]APR 2024'!F17</f>
        <v>0</v>
      </c>
      <c r="G2399" s="4"/>
      <c r="H2399" s="4"/>
    </row>
    <row r="2400" spans="1:8" x14ac:dyDescent="0.2">
      <c r="A2400" s="23">
        <f>'[1]APR 2024'!A23</f>
        <v>45386</v>
      </c>
      <c r="B2400" s="12" t="str">
        <f>'[1]APR 2024'!B23</f>
        <v>LM</v>
      </c>
      <c r="C2400" s="3">
        <f>'[1]APR 2024'!C23</f>
        <v>0</v>
      </c>
      <c r="D2400" s="3">
        <f>'[1]APR 2024'!D23</f>
        <v>1057.18</v>
      </c>
      <c r="E2400" s="4">
        <f>'[1]APR 2024'!E23</f>
        <v>0</v>
      </c>
      <c r="F2400" s="6">
        <f>'[1]APR 2024'!F23</f>
        <v>0</v>
      </c>
      <c r="G2400" s="4"/>
      <c r="H2400" s="4"/>
    </row>
    <row r="2401" spans="1:8" x14ac:dyDescent="0.2">
      <c r="A2401" s="20">
        <f>'[1]APR 2024'!A30</f>
        <v>45387</v>
      </c>
      <c r="B2401" s="12" t="str">
        <f>'[1]APR 2024'!B30</f>
        <v>LM</v>
      </c>
      <c r="C2401" s="3">
        <f>'[1]APR 2024'!C30</f>
        <v>0</v>
      </c>
      <c r="D2401" s="3">
        <f>'[1]APR 2024'!D30</f>
        <v>1028</v>
      </c>
      <c r="E2401" s="4">
        <f>'[1]APR 2024'!E30</f>
        <v>0</v>
      </c>
      <c r="F2401" s="6">
        <f>'[1]APR 2024'!F30</f>
        <v>0</v>
      </c>
      <c r="G2401" s="4"/>
      <c r="H2401" s="4"/>
    </row>
    <row r="2402" spans="1:8" x14ac:dyDescent="0.2">
      <c r="A2402" s="23">
        <f>'[1]APR 2024'!A37</f>
        <v>45388</v>
      </c>
      <c r="B2402" s="12" t="str">
        <f>'[1]APR 2024'!B37</f>
        <v>VM</v>
      </c>
      <c r="C2402" s="3">
        <f>'[1]APR 2024'!C37</f>
        <v>0</v>
      </c>
      <c r="D2402" s="3">
        <f>'[1]APR 2024'!D37</f>
        <v>1228</v>
      </c>
      <c r="E2402" s="4">
        <f>'[1]APR 2024'!E37</f>
        <v>0</v>
      </c>
      <c r="F2402" s="6">
        <f>'[1]APR 2024'!F37</f>
        <v>0</v>
      </c>
      <c r="G2402" s="4"/>
      <c r="H2402" s="4"/>
    </row>
    <row r="2403" spans="1:8" x14ac:dyDescent="0.2">
      <c r="A2403" s="20">
        <f>'[1]APR 2024'!A38</f>
        <v>45388</v>
      </c>
      <c r="B2403" s="12" t="str">
        <f>'[1]APR 2024'!B38</f>
        <v>Party</v>
      </c>
      <c r="C2403" s="3">
        <f>'[1]APR 2024'!C38</f>
        <v>0</v>
      </c>
      <c r="D2403" s="3">
        <f>'[1]APR 2024'!D38</f>
        <v>420</v>
      </c>
      <c r="E2403" s="4">
        <f>'[1]APR 2024'!E38</f>
        <v>0</v>
      </c>
      <c r="F2403" s="6">
        <f>'[1]APR 2024'!F38</f>
        <v>0</v>
      </c>
      <c r="G2403" s="4"/>
      <c r="H2403" s="4"/>
    </row>
    <row r="2404" spans="1:8" x14ac:dyDescent="0.2">
      <c r="A2404" s="23">
        <f>'[1]APR 2024'!A39</f>
        <v>45388</v>
      </c>
      <c r="B2404" s="12" t="str">
        <f>'[1]APR 2024'!B39</f>
        <v>Rauchen</v>
      </c>
      <c r="C2404" s="3">
        <f>'[1]APR 2024'!C39</f>
        <v>0</v>
      </c>
      <c r="D2404" s="3">
        <f>'[1]APR 2024'!D39</f>
        <v>249</v>
      </c>
      <c r="E2404" s="4">
        <f>'[1]APR 2024'!E39</f>
        <v>0</v>
      </c>
      <c r="F2404" s="6">
        <f>'[1]APR 2024'!F39</f>
        <v>0</v>
      </c>
      <c r="G2404" s="4"/>
      <c r="H2404" s="4"/>
    </row>
    <row r="2405" spans="1:8" x14ac:dyDescent="0.2">
      <c r="A2405" s="23">
        <f>'[1]APR 2024'!A41</f>
        <v>45388</v>
      </c>
      <c r="B2405" s="12" t="str">
        <f>'[1]APR 2024'!B41</f>
        <v>Party</v>
      </c>
      <c r="C2405" s="3">
        <f>'[1]APR 2024'!C41</f>
        <v>0</v>
      </c>
      <c r="D2405" s="3">
        <f>'[1]APR 2024'!D41</f>
        <v>5550</v>
      </c>
      <c r="E2405" s="4">
        <f>'[1]APR 2024'!E41</f>
        <v>0</v>
      </c>
      <c r="F2405" s="6">
        <f>'[1]APR 2024'!F41</f>
        <v>0</v>
      </c>
      <c r="G2405" s="4"/>
      <c r="H2405" s="4"/>
    </row>
    <row r="2406" spans="1:8" x14ac:dyDescent="0.2">
      <c r="A2406" s="20">
        <f>'[1]APR 2024'!A44</f>
        <v>45389</v>
      </c>
      <c r="B2406" s="12" t="str">
        <f>'[1]APR 2024'!B44</f>
        <v>VM</v>
      </c>
      <c r="C2406" s="3">
        <f>'[1]APR 2024'!C44</f>
        <v>0</v>
      </c>
      <c r="D2406" s="3">
        <f>'[1]APR 2024'!D44</f>
        <v>1616</v>
      </c>
      <c r="E2406" s="4">
        <f>'[1]APR 2024'!E44</f>
        <v>0</v>
      </c>
      <c r="F2406" s="6">
        <f>'[1]APR 2024'!F44</f>
        <v>0</v>
      </c>
      <c r="G2406" s="4"/>
      <c r="H2406" s="4"/>
    </row>
    <row r="2407" spans="1:8" x14ac:dyDescent="0.2">
      <c r="A2407" s="23">
        <f>'[1]APR 2024'!A45</f>
        <v>45389</v>
      </c>
      <c r="B2407" s="12" t="str">
        <f>'[1]APR 2024'!B45</f>
        <v>Refill</v>
      </c>
      <c r="C2407" s="3">
        <f>'[1]APR 2024'!C45</f>
        <v>0</v>
      </c>
      <c r="D2407" s="3">
        <f>'[1]APR 2024'!D45</f>
        <v>0</v>
      </c>
      <c r="E2407" s="4">
        <f>'[1]APR 2024'!E45</f>
        <v>0</v>
      </c>
      <c r="F2407" s="6">
        <f>'[1]APR 2024'!F45</f>
        <v>0</v>
      </c>
      <c r="G2407" s="4"/>
      <c r="H2407" s="4"/>
    </row>
    <row r="2408" spans="1:8" x14ac:dyDescent="0.2">
      <c r="A2408" s="20">
        <f>'[1]APR 2024'!A46</f>
        <v>45389</v>
      </c>
      <c r="B2408" s="12" t="str">
        <f>'[1]APR 2024'!B46</f>
        <v>Andere</v>
      </c>
      <c r="C2408" s="3">
        <f>'[1]APR 2024'!C46</f>
        <v>0</v>
      </c>
      <c r="D2408" s="3">
        <f>'[1]APR 2024'!D46</f>
        <v>169</v>
      </c>
      <c r="E2408" s="4">
        <f>'[1]APR 2024'!E46</f>
        <v>0</v>
      </c>
      <c r="F2408" s="6">
        <f>'[1]APR 2024'!F46</f>
        <v>0</v>
      </c>
      <c r="G2408" s="4"/>
      <c r="H2408" s="4"/>
    </row>
    <row r="2409" spans="1:8" x14ac:dyDescent="0.2">
      <c r="A2409" s="23">
        <f>'[1]APR 2024'!A47</f>
        <v>45389</v>
      </c>
      <c r="B2409" s="12" t="str">
        <f>'[1]APR 2024'!B47</f>
        <v>Kleidung</v>
      </c>
      <c r="C2409" s="3">
        <f>'[1]APR 2024'!C47</f>
        <v>0</v>
      </c>
      <c r="D2409" s="3">
        <f>'[1]APR 2024'!D47</f>
        <v>3935</v>
      </c>
      <c r="E2409" s="4">
        <f>'[1]APR 2024'!E47</f>
        <v>0</v>
      </c>
      <c r="F2409" s="6">
        <f>'[1]APR 2024'!F47</f>
        <v>0</v>
      </c>
      <c r="G2409" s="4"/>
      <c r="H2409" s="4"/>
    </row>
    <row r="2410" spans="1:8" x14ac:dyDescent="0.2">
      <c r="A2410" s="20">
        <f>'[1]APR 2024'!A48</f>
        <v>45389</v>
      </c>
      <c r="B2410" s="12" t="str">
        <f>'[1]APR 2024'!B48</f>
        <v>LM</v>
      </c>
      <c r="C2410" s="3">
        <f>'[1]APR 2024'!C48</f>
        <v>0</v>
      </c>
      <c r="D2410" s="3">
        <f>'[1]APR 2024'!D48</f>
        <v>795</v>
      </c>
      <c r="E2410" s="4">
        <f>'[1]APR 2024'!E48</f>
        <v>0</v>
      </c>
      <c r="F2410" s="6">
        <f>'[1]APR 2024'!F48</f>
        <v>0</v>
      </c>
      <c r="G2410" s="4"/>
      <c r="H2410" s="4"/>
    </row>
    <row r="2411" spans="1:8" x14ac:dyDescent="0.2">
      <c r="A2411" s="23">
        <f>'[1]APR 2024'!A49</f>
        <v>45389</v>
      </c>
      <c r="B2411" s="12" t="str">
        <f>'[1]APR 2024'!B49</f>
        <v>VM</v>
      </c>
      <c r="C2411" s="3">
        <f>'[1]APR 2024'!C49</f>
        <v>0</v>
      </c>
      <c r="D2411" s="3">
        <f>'[1]APR 2024'!D49</f>
        <v>61</v>
      </c>
      <c r="E2411" s="4">
        <f>'[1]APR 2024'!E49</f>
        <v>0</v>
      </c>
      <c r="F2411" s="6">
        <f>'[1]APR 2024'!F49</f>
        <v>0</v>
      </c>
      <c r="G2411" s="4"/>
      <c r="H2411" s="4"/>
    </row>
    <row r="2412" spans="1:8" x14ac:dyDescent="0.2">
      <c r="A2412" s="23">
        <f>'[1]APR 2024'!A51</f>
        <v>45390</v>
      </c>
      <c r="B2412" s="12" t="str">
        <f>'[1]APR 2024'!B51</f>
        <v>VM</v>
      </c>
      <c r="C2412" s="3">
        <f>'[1]APR 2024'!C51</f>
        <v>0</v>
      </c>
      <c r="D2412" s="3">
        <f>'[1]APR 2024'!D51</f>
        <v>61</v>
      </c>
      <c r="E2412" s="4">
        <f>'[1]APR 2024'!E51</f>
        <v>0</v>
      </c>
      <c r="F2412" s="6">
        <f>'[1]APR 2024'!F51</f>
        <v>0</v>
      </c>
      <c r="G2412" s="4"/>
      <c r="H2412" s="4"/>
    </row>
    <row r="2413" spans="1:8" x14ac:dyDescent="0.2">
      <c r="A2413" s="20">
        <f>'[1]APR 2024'!A52</f>
        <v>45390</v>
      </c>
      <c r="B2413" s="12" t="str">
        <f>'[1]APR 2024'!B52</f>
        <v>LM</v>
      </c>
      <c r="C2413" s="3">
        <f>'[1]APR 2024'!C52</f>
        <v>0</v>
      </c>
      <c r="D2413" s="3">
        <f>'[1]APR 2024'!D52</f>
        <v>768</v>
      </c>
      <c r="E2413" s="4">
        <f>'[1]APR 2024'!E52</f>
        <v>0</v>
      </c>
      <c r="F2413" s="6">
        <f>'[1]APR 2024'!F52</f>
        <v>0</v>
      </c>
      <c r="G2413" s="4"/>
      <c r="H2413" s="4"/>
    </row>
    <row r="2414" spans="1:8" x14ac:dyDescent="0.2">
      <c r="A2414" s="20">
        <f>'[1]APR 2024'!A58</f>
        <v>45391</v>
      </c>
      <c r="B2414" s="12" t="str">
        <f>'[1]APR 2024'!B58</f>
        <v>Refill</v>
      </c>
      <c r="C2414" s="3">
        <f>'[1]APR 2024'!C58</f>
        <v>63728</v>
      </c>
      <c r="D2414" s="3">
        <f>'[1]APR 2024'!D58</f>
        <v>0</v>
      </c>
      <c r="E2414" s="4">
        <f>'[1]APR 2024'!E58</f>
        <v>0</v>
      </c>
      <c r="F2414" s="6">
        <f>'[1]APR 2024'!F58</f>
        <v>0</v>
      </c>
      <c r="G2414" s="4"/>
      <c r="H2414" s="4"/>
    </row>
    <row r="2415" spans="1:8" x14ac:dyDescent="0.2">
      <c r="A2415" s="23">
        <f>'[1]APR 2024'!A59</f>
        <v>45391</v>
      </c>
      <c r="B2415" s="12" t="str">
        <f>'[1]APR 2024'!B59</f>
        <v>VM</v>
      </c>
      <c r="C2415" s="3">
        <f>'[1]APR 2024'!C59</f>
        <v>0</v>
      </c>
      <c r="D2415" s="3">
        <f>'[1]APR 2024'!D59</f>
        <v>1160</v>
      </c>
      <c r="E2415" s="4">
        <f>'[1]APR 2024'!E59</f>
        <v>0</v>
      </c>
      <c r="F2415" s="6">
        <f>'[1]APR 2024'!F59</f>
        <v>0</v>
      </c>
      <c r="G2415" s="4"/>
      <c r="H2415" s="4"/>
    </row>
    <row r="2416" spans="1:8" x14ac:dyDescent="0.2">
      <c r="A2416" s="20">
        <f>'[1]APR 2024'!A60</f>
        <v>45391</v>
      </c>
      <c r="B2416" s="12" t="str">
        <f>'[1]APR 2024'!B60</f>
        <v>VM</v>
      </c>
      <c r="C2416" s="3">
        <f>'[1]APR 2024'!C60</f>
        <v>0</v>
      </c>
      <c r="D2416" s="3">
        <f>'[1]APR 2024'!D60</f>
        <v>122</v>
      </c>
      <c r="E2416" s="4">
        <f>'[1]APR 2024'!E60</f>
        <v>0</v>
      </c>
      <c r="F2416" s="6">
        <f>'[1]APR 2024'!F60</f>
        <v>0</v>
      </c>
      <c r="G2416" s="4"/>
      <c r="H2416" s="4"/>
    </row>
    <row r="2417" spans="1:8" x14ac:dyDescent="0.2">
      <c r="A2417" s="23">
        <f>'[1]APR 2024'!A65</f>
        <v>45392</v>
      </c>
      <c r="B2417" s="12" t="str">
        <f>'[1]APR 2024'!B65</f>
        <v>Andere</v>
      </c>
      <c r="C2417" s="3">
        <f>'[1]APR 2024'!C65</f>
        <v>0</v>
      </c>
      <c r="D2417" s="3">
        <f>'[1]APR 2024'!D65</f>
        <v>3086</v>
      </c>
      <c r="E2417" s="4">
        <f>'[1]APR 2024'!E65</f>
        <v>0</v>
      </c>
      <c r="F2417" s="6">
        <f>'[1]APR 2024'!F65</f>
        <v>0</v>
      </c>
      <c r="G2417" s="4"/>
      <c r="H2417" s="4"/>
    </row>
    <row r="2418" spans="1:8" x14ac:dyDescent="0.2">
      <c r="A2418" s="20">
        <f>'[1]APR 2024'!A66</f>
        <v>45392</v>
      </c>
      <c r="B2418" s="12" t="str">
        <f>'[1]APR 2024'!B66</f>
        <v>LM</v>
      </c>
      <c r="C2418" s="3">
        <f>'[1]APR 2024'!C66</f>
        <v>0</v>
      </c>
      <c r="D2418" s="3">
        <f>'[1]APR 2024'!D66</f>
        <v>1526</v>
      </c>
      <c r="E2418" s="4">
        <f>'[1]APR 2024'!E66</f>
        <v>0</v>
      </c>
      <c r="F2418" s="6">
        <f>'[1]APR 2024'!F66</f>
        <v>0</v>
      </c>
      <c r="G2418" s="4"/>
      <c r="H2418" s="4"/>
    </row>
    <row r="2419" spans="1:8" x14ac:dyDescent="0.2">
      <c r="A2419" s="23">
        <f>'[1]APR 2024'!A67</f>
        <v>45392</v>
      </c>
      <c r="B2419" s="12" t="str">
        <f>'[1]APR 2024'!B67</f>
        <v>VM</v>
      </c>
      <c r="C2419" s="3">
        <f>'[1]APR 2024'!C67</f>
        <v>0</v>
      </c>
      <c r="D2419" s="3">
        <f>'[1]APR 2024'!D67</f>
        <v>0</v>
      </c>
      <c r="E2419" s="4">
        <f>'[1]APR 2024'!E67</f>
        <v>0</v>
      </c>
      <c r="F2419" s="6">
        <f>'[1]APR 2024'!F67</f>
        <v>0</v>
      </c>
      <c r="G2419" s="4"/>
      <c r="H2419" s="4"/>
    </row>
    <row r="2420" spans="1:8" x14ac:dyDescent="0.2">
      <c r="A2420" s="20">
        <f>'[1]APR 2024'!A72</f>
        <v>45393</v>
      </c>
      <c r="B2420" s="12" t="str">
        <f>'[1]APR 2024'!B72</f>
        <v>VM</v>
      </c>
      <c r="C2420" s="3">
        <f>'[1]APR 2024'!C72</f>
        <v>0</v>
      </c>
      <c r="D2420" s="3">
        <f>'[1]APR 2024'!D72</f>
        <v>122</v>
      </c>
      <c r="E2420" s="4">
        <f>'[1]APR 2024'!E72</f>
        <v>0</v>
      </c>
      <c r="F2420" s="6">
        <f>'[1]APR 2024'!F72</f>
        <v>0</v>
      </c>
      <c r="G2420" s="4"/>
      <c r="H2420" s="4"/>
    </row>
    <row r="2421" spans="1:8" x14ac:dyDescent="0.2">
      <c r="A2421" s="23">
        <f>'[1]APR 2024'!A73</f>
        <v>45393</v>
      </c>
      <c r="B2421" s="12" t="str">
        <f>'[1]APR 2024'!B73</f>
        <v>LM</v>
      </c>
      <c r="C2421" s="3">
        <f>'[1]APR 2024'!C73</f>
        <v>0</v>
      </c>
      <c r="D2421" s="3">
        <f>'[1]APR 2024'!D73</f>
        <v>746</v>
      </c>
      <c r="E2421" s="4">
        <f>'[1]APR 2024'!E73</f>
        <v>0</v>
      </c>
      <c r="F2421" s="6">
        <f>'[1]APR 2024'!F73</f>
        <v>0</v>
      </c>
      <c r="G2421" s="4"/>
      <c r="H2421" s="4"/>
    </row>
    <row r="2422" spans="1:8" x14ac:dyDescent="0.2">
      <c r="A2422" s="23">
        <f>'[1]APR 2024'!A79</f>
        <v>45394</v>
      </c>
      <c r="B2422" s="12" t="str">
        <f>'[1]APR 2024'!B79</f>
        <v>VM</v>
      </c>
      <c r="C2422" s="3">
        <f>'[1]APR 2024'!C79</f>
        <v>0</v>
      </c>
      <c r="D2422" s="3">
        <f>'[1]APR 2024'!D79</f>
        <v>1012</v>
      </c>
      <c r="E2422" s="4">
        <f>'[1]APR 2024'!E79</f>
        <v>0</v>
      </c>
      <c r="F2422" s="6">
        <f>'[1]APR 2024'!F79</f>
        <v>0</v>
      </c>
      <c r="G2422" s="4"/>
      <c r="H2422" s="4"/>
    </row>
    <row r="2423" spans="1:8" x14ac:dyDescent="0.2">
      <c r="A2423" s="20">
        <f>'[1]APR 2024'!A80</f>
        <v>45394</v>
      </c>
      <c r="B2423" s="12" t="str">
        <f>'[1]APR 2024'!B80</f>
        <v>Andere</v>
      </c>
      <c r="C2423" s="3">
        <f>'[1]APR 2024'!C80</f>
        <v>0</v>
      </c>
      <c r="D2423" s="3">
        <f>'[1]APR 2024'!D80</f>
        <v>2000</v>
      </c>
      <c r="E2423" s="4">
        <f>'[1]APR 2024'!E80</f>
        <v>0</v>
      </c>
      <c r="F2423" s="6">
        <f>'[1]APR 2024'!F80</f>
        <v>0</v>
      </c>
      <c r="G2423" s="4"/>
      <c r="H2423" s="4"/>
    </row>
    <row r="2424" spans="1:8" x14ac:dyDescent="0.2">
      <c r="A2424" s="23">
        <f>'[1]APR 2024'!A81</f>
        <v>45394</v>
      </c>
      <c r="B2424" s="12" t="str">
        <f>'[1]APR 2024'!B81</f>
        <v>LM</v>
      </c>
      <c r="C2424" s="3">
        <f>'[1]APR 2024'!C81</f>
        <v>0</v>
      </c>
      <c r="D2424" s="3">
        <f>'[1]APR 2024'!D81</f>
        <v>348</v>
      </c>
      <c r="E2424" s="4">
        <f>'[1]APR 2024'!E81</f>
        <v>0</v>
      </c>
      <c r="F2424" s="6">
        <f>'[1]APR 2024'!F81</f>
        <v>0</v>
      </c>
      <c r="G2424" s="4"/>
      <c r="H2424" s="4"/>
    </row>
    <row r="2425" spans="1:8" x14ac:dyDescent="0.2">
      <c r="A2425" s="20">
        <f>'[1]APR 2024'!A86</f>
        <v>45395</v>
      </c>
      <c r="B2425" s="12" t="str">
        <f>'[1]APR 2024'!B86</f>
        <v>Party</v>
      </c>
      <c r="C2425" s="3">
        <f>'[1]APR 2024'!C86</f>
        <v>0</v>
      </c>
      <c r="D2425" s="3">
        <f>'[1]APR 2024'!D86</f>
        <v>5470</v>
      </c>
      <c r="E2425" s="4">
        <f>'[1]APR 2024'!E86</f>
        <v>0</v>
      </c>
      <c r="F2425" s="6">
        <f>'[1]APR 2024'!F86</f>
        <v>0</v>
      </c>
      <c r="G2425" s="4"/>
      <c r="H2425" s="4"/>
    </row>
    <row r="2426" spans="1:8" x14ac:dyDescent="0.2">
      <c r="A2426" s="23">
        <f>'[1]APR 2024'!A87</f>
        <v>45395</v>
      </c>
      <c r="B2426" s="12" t="str">
        <f>'[1]APR 2024'!B87</f>
        <v>LM</v>
      </c>
      <c r="C2426" s="3">
        <f>'[1]APR 2024'!C87</f>
        <v>0</v>
      </c>
      <c r="D2426" s="3">
        <f>'[1]APR 2024'!D87</f>
        <v>728</v>
      </c>
      <c r="E2426" s="4">
        <f>'[1]APR 2024'!E87</f>
        <v>0</v>
      </c>
      <c r="F2426" s="6">
        <f>'[1]APR 2024'!F87</f>
        <v>0</v>
      </c>
      <c r="G2426" s="4"/>
      <c r="H2426" s="4"/>
    </row>
    <row r="2427" spans="1:8" x14ac:dyDescent="0.2">
      <c r="A2427" s="23">
        <f>'[1]APR 2024'!A93</f>
        <v>45396</v>
      </c>
      <c r="B2427" s="12" t="str">
        <f>'[1]APR 2024'!B93</f>
        <v>VM</v>
      </c>
      <c r="C2427" s="3">
        <f>'[1]APR 2024'!C93</f>
        <v>0</v>
      </c>
      <c r="D2427" s="3">
        <f>'[1]APR 2024'!D93</f>
        <v>61</v>
      </c>
      <c r="E2427" s="4">
        <f>'[1]APR 2024'!E93</f>
        <v>0</v>
      </c>
      <c r="F2427" s="6">
        <f>'[1]APR 2024'!F93</f>
        <v>127</v>
      </c>
      <c r="G2427" s="4"/>
      <c r="H2427" s="4"/>
    </row>
    <row r="2428" spans="1:8" x14ac:dyDescent="0.2">
      <c r="A2428" s="20">
        <f>'[1]APR 2024'!A94</f>
        <v>45396</v>
      </c>
      <c r="B2428" s="12" t="str">
        <f>'[1]APR 2024'!B94</f>
        <v>Frauen</v>
      </c>
      <c r="C2428" s="3">
        <f>'[1]APR 2024'!C94</f>
        <v>0</v>
      </c>
      <c r="D2428" s="3">
        <f>'[1]APR 2024'!D94</f>
        <v>2295</v>
      </c>
      <c r="E2428" s="4">
        <f>'[1]APR 2024'!E94</f>
        <v>0</v>
      </c>
      <c r="F2428" s="6">
        <f>'[1]APR 2024'!F94</f>
        <v>0</v>
      </c>
      <c r="G2428" s="4"/>
      <c r="H2428" s="4"/>
    </row>
    <row r="2429" spans="1:8" x14ac:dyDescent="0.2">
      <c r="A2429" s="23">
        <f>'[1]APR 2024'!A95</f>
        <v>45396</v>
      </c>
      <c r="B2429" s="12" t="str">
        <f>'[1]APR 2024'!B95</f>
        <v>LM</v>
      </c>
      <c r="C2429" s="3">
        <f>'[1]APR 2024'!C95</f>
        <v>0</v>
      </c>
      <c r="D2429" s="3">
        <f>'[1]APR 2024'!D95</f>
        <v>864.85</v>
      </c>
      <c r="E2429" s="4">
        <f>'[1]APR 2024'!E95</f>
        <v>0</v>
      </c>
      <c r="F2429" s="6">
        <f>'[1]APR 2024'!F95</f>
        <v>0</v>
      </c>
      <c r="G2429" s="4"/>
      <c r="H2429" s="4"/>
    </row>
    <row r="2430" spans="1:8" x14ac:dyDescent="0.2">
      <c r="A2430" s="20">
        <f>'[1]APR 2024'!A100</f>
        <v>45397</v>
      </c>
      <c r="B2430" s="12" t="str">
        <f>'[1]APR 2024'!B100</f>
        <v>LM</v>
      </c>
      <c r="C2430" s="3">
        <f>'[1]APR 2024'!C100</f>
        <v>0</v>
      </c>
      <c r="D2430" s="3">
        <f>'[1]APR 2024'!D100</f>
        <v>1218</v>
      </c>
      <c r="E2430" s="4">
        <f>'[1]APR 2024'!E100</f>
        <v>0</v>
      </c>
      <c r="F2430" s="6">
        <f>'[1]APR 2024'!F100</f>
        <v>0</v>
      </c>
      <c r="G2430" s="4"/>
      <c r="H2430" s="4"/>
    </row>
    <row r="2431" spans="1:8" x14ac:dyDescent="0.2">
      <c r="A2431" s="23">
        <f>'[1]APR 2024'!A101</f>
        <v>45397</v>
      </c>
      <c r="B2431" s="12" t="str">
        <f>'[1]APR 2024'!B101</f>
        <v>VM</v>
      </c>
      <c r="C2431" s="3">
        <f>'[1]APR 2024'!C101</f>
        <v>0</v>
      </c>
      <c r="D2431" s="3">
        <f>'[1]APR 2024'!D101</f>
        <v>183</v>
      </c>
      <c r="E2431" s="4">
        <f>'[1]APR 2024'!E101</f>
        <v>0</v>
      </c>
      <c r="F2431" s="6">
        <f>'[1]APR 2024'!F101</f>
        <v>0</v>
      </c>
      <c r="G2431" s="4"/>
      <c r="H2431" s="4"/>
    </row>
    <row r="2432" spans="1:8" x14ac:dyDescent="0.2">
      <c r="A2432" s="23">
        <f>'[1]APR 2024'!A107</f>
        <v>45398</v>
      </c>
      <c r="B2432" s="12" t="str">
        <f>'[1]APR 2024'!B107</f>
        <v>LM</v>
      </c>
      <c r="C2432" s="3">
        <f>'[1]APR 2024'!C107</f>
        <v>0</v>
      </c>
      <c r="D2432" s="3">
        <f>'[1]APR 2024'!D107</f>
        <v>1500.95</v>
      </c>
      <c r="E2432" s="4">
        <f>'[1]APR 2024'!E107</f>
        <v>0</v>
      </c>
      <c r="F2432" s="6">
        <f>'[1]APR 2024'!F107</f>
        <v>0</v>
      </c>
      <c r="G2432" s="4"/>
      <c r="H2432" s="4"/>
    </row>
    <row r="2433" spans="1:8" x14ac:dyDescent="0.2">
      <c r="A2433" s="20">
        <f>'[1]APR 2024'!A108</f>
        <v>45398</v>
      </c>
      <c r="B2433" s="12" t="str">
        <f>'[1]APR 2024'!B108</f>
        <v>VM</v>
      </c>
      <c r="C2433" s="3">
        <f>'[1]APR 2024'!C108</f>
        <v>0</v>
      </c>
      <c r="D2433" s="3">
        <f>'[1]APR 2024'!D108</f>
        <v>122</v>
      </c>
      <c r="E2433" s="4">
        <f>'[1]APR 2024'!E108</f>
        <v>0</v>
      </c>
      <c r="F2433" s="6">
        <f>'[1]APR 2024'!F108</f>
        <v>0</v>
      </c>
      <c r="G2433" s="4"/>
      <c r="H2433" s="4"/>
    </row>
    <row r="2434" spans="1:8" x14ac:dyDescent="0.2">
      <c r="A2434" s="20">
        <f>'[1]APR 2024'!A114</f>
        <v>45399</v>
      </c>
      <c r="B2434" s="12" t="str">
        <f>'[1]APR 2024'!B114</f>
        <v>LM</v>
      </c>
      <c r="C2434" s="3">
        <f>'[1]APR 2024'!C114</f>
        <v>0</v>
      </c>
      <c r="D2434" s="3">
        <f>'[1]APR 2024'!D114</f>
        <v>982.97</v>
      </c>
      <c r="E2434" s="4">
        <f>'[1]APR 2024'!E114</f>
        <v>0</v>
      </c>
      <c r="F2434" s="6">
        <f>'[1]APR 2024'!F114</f>
        <v>0</v>
      </c>
      <c r="G2434" s="4"/>
      <c r="H2434" s="4"/>
    </row>
    <row r="2435" spans="1:8" x14ac:dyDescent="0.2">
      <c r="A2435" s="23">
        <f>'[1]APR 2024'!A115</f>
        <v>45399</v>
      </c>
      <c r="B2435" s="12" t="str">
        <f>'[1]APR 2024'!B115</f>
        <v>VM</v>
      </c>
      <c r="C2435" s="3">
        <f>'[1]APR 2024'!C115</f>
        <v>0</v>
      </c>
      <c r="D2435" s="3">
        <f>'[1]APR 2024'!D115</f>
        <v>244</v>
      </c>
      <c r="E2435" s="4">
        <f>'[1]APR 2024'!E115</f>
        <v>0</v>
      </c>
      <c r="F2435" s="6">
        <f>'[1]APR 2024'!F115</f>
        <v>0</v>
      </c>
      <c r="G2435" s="4"/>
      <c r="H2435" s="4"/>
    </row>
    <row r="2436" spans="1:8" x14ac:dyDescent="0.2">
      <c r="A2436" s="20">
        <f>'[1]APR 2024'!A116</f>
        <v>45399</v>
      </c>
      <c r="B2436" s="12" t="str">
        <f>'[1]APR 2024'!B116</f>
        <v>none</v>
      </c>
      <c r="C2436" s="3">
        <f>'[1]APR 2024'!C116</f>
        <v>0</v>
      </c>
      <c r="D2436" s="3">
        <f>'[1]APR 2024'!D116</f>
        <v>55000</v>
      </c>
      <c r="E2436" s="4">
        <f>'[1]APR 2024'!E116</f>
        <v>55000</v>
      </c>
      <c r="F2436" s="6">
        <f>'[1]APR 2024'!F116</f>
        <v>0</v>
      </c>
      <c r="G2436" s="4"/>
      <c r="H2436" s="4"/>
    </row>
    <row r="2437" spans="1:8" x14ac:dyDescent="0.2">
      <c r="A2437" s="23">
        <f>'[1]APR 2024'!A117</f>
        <v>45399</v>
      </c>
      <c r="B2437" s="12" t="str">
        <f>'[1]APR 2024'!B117</f>
        <v>rent</v>
      </c>
      <c r="C2437" s="3">
        <f>'[1]APR 2024'!C117</f>
        <v>0</v>
      </c>
      <c r="D2437" s="3">
        <f>'[1]APR 2024'!D117</f>
        <v>0</v>
      </c>
      <c r="E2437" s="4">
        <f>'[1]APR 2024'!E117</f>
        <v>0</v>
      </c>
      <c r="F2437" s="6">
        <f>'[1]APR 2024'!F117</f>
        <v>55050</v>
      </c>
      <c r="G2437" s="4"/>
      <c r="H2437" s="4"/>
    </row>
    <row r="2438" spans="1:8" x14ac:dyDescent="0.2">
      <c r="A2438" s="23">
        <f>'[1]APR 2024'!A121</f>
        <v>45400</v>
      </c>
      <c r="B2438" s="12" t="str">
        <f>'[1]APR 2024'!B121</f>
        <v>LM</v>
      </c>
      <c r="C2438" s="3">
        <f>'[1]APR 2024'!C121</f>
        <v>0</v>
      </c>
      <c r="D2438" s="3">
        <f>'[1]APR 2024'!D121</f>
        <v>1459</v>
      </c>
      <c r="E2438" s="4">
        <f>'[1]APR 2024'!E121</f>
        <v>0</v>
      </c>
      <c r="F2438" s="6">
        <f>'[1]APR 2024'!F121</f>
        <v>0</v>
      </c>
      <c r="G2438" s="4"/>
      <c r="H2438" s="4"/>
    </row>
    <row r="2439" spans="1:8" x14ac:dyDescent="0.2">
      <c r="A2439" s="20">
        <f>'[1]APR 2024'!A122</f>
        <v>45400</v>
      </c>
      <c r="B2439" s="12" t="str">
        <f>'[1]APR 2024'!B122</f>
        <v>VM</v>
      </c>
      <c r="C2439" s="3">
        <f>'[1]APR 2024'!C122</f>
        <v>0</v>
      </c>
      <c r="D2439" s="3">
        <f>'[1]APR 2024'!D122</f>
        <v>122</v>
      </c>
      <c r="E2439" s="4">
        <f>'[1]APR 2024'!E122</f>
        <v>0</v>
      </c>
      <c r="F2439" s="6">
        <f>'[1]APR 2024'!F122</f>
        <v>50.97</v>
      </c>
      <c r="G2439" s="4"/>
      <c r="H2439" s="4"/>
    </row>
    <row r="2440" spans="1:8" x14ac:dyDescent="0.2">
      <c r="A2440" s="20">
        <f>'[1]APR 2024'!A128</f>
        <v>45401</v>
      </c>
      <c r="B2440" s="12" t="str">
        <f>'[1]APR 2024'!B128</f>
        <v>Rauchen</v>
      </c>
      <c r="C2440" s="3">
        <f>'[1]APR 2024'!C128</f>
        <v>0</v>
      </c>
      <c r="D2440" s="3">
        <f>'[1]APR 2024'!D128</f>
        <v>1600</v>
      </c>
      <c r="E2440" s="4">
        <f>'[1]APR 2024'!E128</f>
        <v>0</v>
      </c>
      <c r="F2440" s="6">
        <f>'[1]APR 2024'!F128</f>
        <v>0</v>
      </c>
      <c r="G2440" s="4"/>
      <c r="H2440" s="4"/>
    </row>
    <row r="2441" spans="1:8" x14ac:dyDescent="0.2">
      <c r="A2441" s="23">
        <f>'[1]APR 2024'!A129</f>
        <v>45401</v>
      </c>
      <c r="B2441" s="12" t="str">
        <f>'[1]APR 2024'!B129</f>
        <v>Party</v>
      </c>
      <c r="C2441" s="3">
        <f>'[1]APR 2024'!C129</f>
        <v>0</v>
      </c>
      <c r="D2441" s="3">
        <f>'[1]APR 2024'!D129</f>
        <v>600</v>
      </c>
      <c r="E2441" s="4">
        <f>'[1]APR 2024'!E129</f>
        <v>0</v>
      </c>
      <c r="F2441" s="6">
        <f>'[1]APR 2024'!F129</f>
        <v>0</v>
      </c>
      <c r="G2441" s="4"/>
      <c r="H2441" s="4"/>
    </row>
    <row r="2442" spans="1:8" x14ac:dyDescent="0.2">
      <c r="A2442" s="20">
        <f>'[1]APR 2024'!A130</f>
        <v>45401</v>
      </c>
      <c r="B2442" s="12" t="str">
        <f>'[1]APR 2024'!B130</f>
        <v>none</v>
      </c>
      <c r="C2442" s="3">
        <f>'[1]APR 2024'!C130</f>
        <v>0</v>
      </c>
      <c r="D2442" s="3">
        <f>'[1]APR 2024'!D130</f>
        <v>1000</v>
      </c>
      <c r="E2442" s="4">
        <f>'[1]APR 2024'!E130</f>
        <v>1000</v>
      </c>
      <c r="F2442" s="6">
        <f>'[1]APR 2024'!F130</f>
        <v>0</v>
      </c>
      <c r="G2442" s="4"/>
      <c r="H2442" s="4"/>
    </row>
    <row r="2443" spans="1:8" x14ac:dyDescent="0.2">
      <c r="A2443" s="23">
        <f>'[1]APR 2024'!A135</f>
        <v>45402</v>
      </c>
      <c r="B2443" s="12" t="str">
        <f>'[1]APR 2024'!B135</f>
        <v>VM</v>
      </c>
      <c r="C2443" s="3">
        <f>'[1]APR 2024'!C135</f>
        <v>0</v>
      </c>
      <c r="D2443" s="3">
        <f>'[1]APR 2024'!D135</f>
        <v>1439</v>
      </c>
      <c r="E2443" s="4">
        <f>'[1]APR 2024'!E135</f>
        <v>0</v>
      </c>
      <c r="F2443" s="6">
        <f>'[1]APR 2024'!F135</f>
        <v>0</v>
      </c>
      <c r="G2443" s="4"/>
      <c r="H2443" s="4"/>
    </row>
    <row r="2444" spans="1:8" x14ac:dyDescent="0.2">
      <c r="A2444" s="20">
        <f>'[1]APR 2024'!A136</f>
        <v>45402</v>
      </c>
      <c r="B2444" s="12" t="str">
        <f>'[1]APR 2024'!B136</f>
        <v>LM</v>
      </c>
      <c r="C2444" s="3">
        <f>'[1]APR 2024'!C136</f>
        <v>0</v>
      </c>
      <c r="D2444" s="3">
        <f>'[1]APR 2024'!D136</f>
        <v>1405.67</v>
      </c>
      <c r="E2444" s="4">
        <f>'[1]APR 2024'!E136</f>
        <v>0</v>
      </c>
      <c r="F2444" s="6">
        <f>'[1]APR 2024'!F136</f>
        <v>0</v>
      </c>
      <c r="G2444" s="4"/>
      <c r="H2444" s="4"/>
    </row>
    <row r="2445" spans="1:8" x14ac:dyDescent="0.2">
      <c r="A2445" s="20">
        <f>'[1]APR 2024'!A142</f>
        <v>45403</v>
      </c>
      <c r="B2445" s="12" t="str">
        <f>'[1]APR 2024'!B142</f>
        <v>for me</v>
      </c>
      <c r="C2445" s="3">
        <f>'[1]APR 2024'!C142</f>
        <v>0</v>
      </c>
      <c r="D2445" s="3">
        <f>'[1]APR 2024'!D142</f>
        <v>1000</v>
      </c>
      <c r="E2445" s="4">
        <f>'[1]APR 2024'!E142</f>
        <v>0</v>
      </c>
      <c r="F2445" s="6">
        <f>'[1]APR 2024'!F142</f>
        <v>0</v>
      </c>
      <c r="G2445" s="4"/>
      <c r="H2445" s="4"/>
    </row>
    <row r="2446" spans="1:8" x14ac:dyDescent="0.2">
      <c r="A2446" s="23">
        <f>'[1]APR 2024'!A143</f>
        <v>45403</v>
      </c>
      <c r="B2446" s="12" t="str">
        <f>'[1]APR 2024'!B143</f>
        <v>VM</v>
      </c>
      <c r="C2446" s="3">
        <f>'[1]APR 2024'!C143</f>
        <v>0</v>
      </c>
      <c r="D2446" s="3">
        <f>'[1]APR 2024'!D143</f>
        <v>122</v>
      </c>
      <c r="E2446" s="4">
        <f>'[1]APR 2024'!E143</f>
        <v>0</v>
      </c>
      <c r="F2446" s="6">
        <f>'[1]APR 2024'!F143</f>
        <v>0</v>
      </c>
      <c r="G2446" s="4"/>
      <c r="H2446" s="4"/>
    </row>
    <row r="2447" spans="1:8" x14ac:dyDescent="0.2">
      <c r="A2447" s="23">
        <f>'[1]APR 2024'!A149</f>
        <v>45404</v>
      </c>
      <c r="B2447" s="12" t="str">
        <f>'[1]APR 2024'!B149</f>
        <v>LM</v>
      </c>
      <c r="C2447" s="3">
        <f>'[1]APR 2024'!C149</f>
        <v>0</v>
      </c>
      <c r="D2447" s="3">
        <f>'[1]APR 2024'!D149</f>
        <v>3070</v>
      </c>
      <c r="E2447" s="4">
        <f>'[1]APR 2024'!E149</f>
        <v>0</v>
      </c>
      <c r="F2447" s="6">
        <f>'[1]APR 2024'!F149</f>
        <v>0</v>
      </c>
      <c r="G2447" s="4"/>
      <c r="H2447" s="4"/>
    </row>
    <row r="2448" spans="1:8" x14ac:dyDescent="0.2">
      <c r="A2448" s="20">
        <f>'[1]APR 2024'!A156</f>
        <v>45405</v>
      </c>
      <c r="B2448" s="12" t="str">
        <f>'[1]APR 2024'!B156</f>
        <v>Andere</v>
      </c>
      <c r="C2448" s="3">
        <f>'[1]APR 2024'!C156</f>
        <v>0</v>
      </c>
      <c r="D2448" s="3">
        <f>'[1]APR 2024'!D156</f>
        <v>1461</v>
      </c>
      <c r="E2448" s="4">
        <f>'[1]APR 2024'!E156</f>
        <v>0</v>
      </c>
      <c r="F2448" s="6">
        <f>'[1]APR 2024'!F156</f>
        <v>0</v>
      </c>
      <c r="G2448" s="4"/>
      <c r="H2448" s="4"/>
    </row>
    <row r="2449" spans="1:8" x14ac:dyDescent="0.2">
      <c r="A2449" s="23">
        <f>'[1]APR 2024'!A157</f>
        <v>45405</v>
      </c>
      <c r="B2449" s="12" t="str">
        <f>'[1]APR 2024'!B157</f>
        <v>VM</v>
      </c>
      <c r="C2449" s="3">
        <f>'[1]APR 2024'!C157</f>
        <v>0</v>
      </c>
      <c r="D2449" s="3">
        <f>'[1]APR 2024'!D157</f>
        <v>3275</v>
      </c>
      <c r="E2449" s="4">
        <f>'[1]APR 2024'!E157</f>
        <v>0</v>
      </c>
      <c r="F2449" s="6">
        <f>'[1]APR 2024'!F157</f>
        <v>0</v>
      </c>
      <c r="G2449" s="4"/>
      <c r="H2449" s="4"/>
    </row>
    <row r="2450" spans="1:8" x14ac:dyDescent="0.2">
      <c r="A2450" s="20">
        <f>'[1]APR 2024'!A158</f>
        <v>45405</v>
      </c>
      <c r="B2450" s="12" t="str">
        <f>'[1]APR 2024'!B158</f>
        <v>LM</v>
      </c>
      <c r="C2450" s="3">
        <f>'[1]APR 2024'!C158</f>
        <v>0</v>
      </c>
      <c r="D2450" s="3">
        <f>'[1]APR 2024'!D158</f>
        <v>673</v>
      </c>
      <c r="E2450" s="4">
        <f>'[1]APR 2024'!E158</f>
        <v>0</v>
      </c>
      <c r="F2450" s="6">
        <f>'[1]APR 2024'!F158</f>
        <v>0</v>
      </c>
      <c r="G2450" s="4"/>
      <c r="H2450" s="4"/>
    </row>
    <row r="2451" spans="1:8" x14ac:dyDescent="0.2">
      <c r="A2451" s="23">
        <f>'[1]APR 2024'!A159</f>
        <v>45405</v>
      </c>
      <c r="B2451" s="12" t="str">
        <f>'[1]APR 2024'!B159</f>
        <v>VM</v>
      </c>
      <c r="C2451" s="3">
        <f>'[1]APR 2024'!C159</f>
        <v>0</v>
      </c>
      <c r="D2451" s="3">
        <f>'[1]APR 2024'!D159</f>
        <v>122</v>
      </c>
      <c r="E2451" s="4">
        <f>'[1]APR 2024'!E159</f>
        <v>0</v>
      </c>
      <c r="F2451" s="6">
        <f>'[1]APR 2024'!F159</f>
        <v>0</v>
      </c>
      <c r="G2451" s="4"/>
      <c r="H2451" s="4"/>
    </row>
    <row r="2452" spans="1:8" x14ac:dyDescent="0.2">
      <c r="A2452" s="23">
        <f>'[1]APR 2024'!A163</f>
        <v>45406</v>
      </c>
      <c r="B2452" s="12" t="str">
        <f>'[1]APR 2024'!B163</f>
        <v>VM</v>
      </c>
      <c r="C2452" s="3">
        <f>'[1]APR 2024'!C163</f>
        <v>0</v>
      </c>
      <c r="D2452" s="3">
        <f>'[1]APR 2024'!D163</f>
        <v>891</v>
      </c>
      <c r="E2452" s="4">
        <f>'[1]APR 2024'!E163</f>
        <v>0</v>
      </c>
      <c r="F2452" s="6">
        <f>'[1]APR 2024'!F163</f>
        <v>0</v>
      </c>
      <c r="G2452" s="4"/>
      <c r="H2452" s="4"/>
    </row>
    <row r="2453" spans="1:8" x14ac:dyDescent="0.2">
      <c r="A2453" s="20">
        <f>'[1]APR 2024'!A164</f>
        <v>45406</v>
      </c>
      <c r="B2453" s="12" t="str">
        <f>'[1]APR 2024'!B164</f>
        <v>LM</v>
      </c>
      <c r="C2453" s="3">
        <f>'[1]APR 2024'!C164</f>
        <v>0</v>
      </c>
      <c r="D2453" s="3">
        <f>'[1]APR 2024'!D164</f>
        <v>2774</v>
      </c>
      <c r="E2453" s="4">
        <f>'[1]APR 2024'!E164</f>
        <v>0</v>
      </c>
      <c r="F2453" s="6">
        <f>'[1]APR 2024'!F164</f>
        <v>0</v>
      </c>
      <c r="G2453" s="4"/>
      <c r="H2453" s="4"/>
    </row>
    <row r="2454" spans="1:8" x14ac:dyDescent="0.2">
      <c r="A2454" s="23">
        <f>'[1]APR 2024'!A165</f>
        <v>45406</v>
      </c>
      <c r="B2454" s="12" t="str">
        <f>'[1]APR 2024'!B165</f>
        <v>VM</v>
      </c>
      <c r="C2454" s="3">
        <f>'[1]APR 2024'!C165</f>
        <v>0</v>
      </c>
      <c r="D2454" s="3">
        <f>'[1]APR 2024'!D165</f>
        <v>61</v>
      </c>
      <c r="E2454" s="4">
        <f>'[1]APR 2024'!E165</f>
        <v>0</v>
      </c>
      <c r="F2454" s="6">
        <f>'[1]APR 2024'!F165</f>
        <v>0</v>
      </c>
      <c r="G2454" s="4"/>
      <c r="H2454" s="4"/>
    </row>
    <row r="2455" spans="1:8" x14ac:dyDescent="0.2">
      <c r="A2455" s="20">
        <f>'[1]APR 2024'!A166</f>
        <v>45406</v>
      </c>
      <c r="B2455" s="12" t="str">
        <f>'[1]APR 2024'!B166</f>
        <v>Refill</v>
      </c>
      <c r="C2455" s="3">
        <f>'[1]APR 2024'!C166</f>
        <v>63298.14</v>
      </c>
      <c r="D2455" s="3">
        <f>'[1]APR 2024'!D166</f>
        <v>0</v>
      </c>
      <c r="E2455" s="4">
        <f>'[1]APR 2024'!E166</f>
        <v>0</v>
      </c>
      <c r="F2455" s="6">
        <f>'[1]APR 2024'!F166</f>
        <v>0</v>
      </c>
      <c r="G2455" s="4"/>
      <c r="H2455" s="4"/>
    </row>
    <row r="2456" spans="1:8" x14ac:dyDescent="0.2">
      <c r="A2456" s="20">
        <f>'[1]APR 2024'!A170</f>
        <v>45407</v>
      </c>
      <c r="B2456" s="12" t="str">
        <f>'[1]APR 2024'!B170</f>
        <v>VM</v>
      </c>
      <c r="C2456" s="3">
        <f>'[1]APR 2024'!C170</f>
        <v>0</v>
      </c>
      <c r="D2456" s="3">
        <f>'[1]APR 2024'!D170</f>
        <v>727</v>
      </c>
      <c r="E2456" s="4">
        <f>'[1]APR 2024'!E170</f>
        <v>0</v>
      </c>
      <c r="F2456" s="6">
        <f>'[1]APR 2024'!F170</f>
        <v>81.5</v>
      </c>
      <c r="G2456" s="4"/>
      <c r="H2456" s="4"/>
    </row>
    <row r="2457" spans="1:8" x14ac:dyDescent="0.2">
      <c r="A2457" s="23">
        <f>'[1]APR 2024'!A171</f>
        <v>45407</v>
      </c>
      <c r="B2457" s="12" t="str">
        <f>'[1]APR 2024'!B171</f>
        <v>LM</v>
      </c>
      <c r="C2457" s="3">
        <f>'[1]APR 2024'!C171</f>
        <v>0</v>
      </c>
      <c r="D2457" s="3">
        <f>'[1]APR 2024'!D171</f>
        <v>823</v>
      </c>
      <c r="E2457" s="4">
        <f>'[1]APR 2024'!E171</f>
        <v>0</v>
      </c>
      <c r="F2457" s="6">
        <f>'[1]APR 2024'!F171</f>
        <v>0</v>
      </c>
      <c r="G2457" s="4"/>
      <c r="H2457" s="4"/>
    </row>
    <row r="2458" spans="1:8" x14ac:dyDescent="0.2">
      <c r="A2458" s="20">
        <f>'[1]APR 2024'!A172</f>
        <v>45407</v>
      </c>
      <c r="B2458" s="12" t="str">
        <f>'[1]APR 2024'!B172</f>
        <v>Refill</v>
      </c>
      <c r="C2458" s="3">
        <f>'[1]APR 2024'!C172</f>
        <v>7844.2</v>
      </c>
      <c r="D2458" s="3">
        <f>'[1]APR 2024'!D172</f>
        <v>0</v>
      </c>
      <c r="E2458" s="4">
        <f>'[1]APR 2024'!E172</f>
        <v>0</v>
      </c>
      <c r="F2458" s="6">
        <f>'[1]APR 2024'!F172</f>
        <v>0</v>
      </c>
      <c r="G2458" s="4"/>
      <c r="H2458" s="4"/>
    </row>
    <row r="2459" spans="1:8" x14ac:dyDescent="0.2">
      <c r="A2459" s="23">
        <f>'[1]APR 2024'!A173</f>
        <v>45407</v>
      </c>
      <c r="B2459" s="12" t="str">
        <f>'[1]APR 2024'!B173</f>
        <v>Rauchen</v>
      </c>
      <c r="C2459" s="3">
        <f>'[1]APR 2024'!C173</f>
        <v>0</v>
      </c>
      <c r="D2459" s="3">
        <f>'[1]APR 2024'!D173</f>
        <v>1499</v>
      </c>
      <c r="E2459" s="4">
        <f>'[1]APR 2024'!E173</f>
        <v>0</v>
      </c>
      <c r="F2459" s="6">
        <f>'[1]APR 2024'!F173</f>
        <v>0</v>
      </c>
      <c r="G2459" s="4"/>
      <c r="H2459" s="4"/>
    </row>
    <row r="2460" spans="1:8" x14ac:dyDescent="0.2">
      <c r="A2460" s="20">
        <f>'[1]APR 2024'!A174</f>
        <v>45407</v>
      </c>
      <c r="B2460" s="12" t="str">
        <f>'[1]APR 2024'!B174</f>
        <v>Andere</v>
      </c>
      <c r="C2460" s="3">
        <f>'[1]APR 2024'!C174</f>
        <v>0</v>
      </c>
      <c r="D2460" s="3">
        <f>'[1]APR 2024'!D174</f>
        <v>800</v>
      </c>
      <c r="E2460" s="4">
        <f>'[1]APR 2024'!E174</f>
        <v>0</v>
      </c>
      <c r="F2460" s="6">
        <f>'[1]APR 2024'!F174</f>
        <v>0</v>
      </c>
      <c r="G2460" s="4"/>
      <c r="H2460" s="4"/>
    </row>
    <row r="2461" spans="1:8" x14ac:dyDescent="0.2">
      <c r="A2461" s="23">
        <f>'[1]APR 2024'!A177</f>
        <v>45408</v>
      </c>
      <c r="B2461" s="12" t="str">
        <f>'[1]APR 2024'!B177</f>
        <v>LM</v>
      </c>
      <c r="C2461" s="3">
        <f>'[1]APR 2024'!C177</f>
        <v>0</v>
      </c>
      <c r="D2461" s="3">
        <f>'[1]APR 2024'!D177</f>
        <v>2476</v>
      </c>
      <c r="E2461" s="4">
        <f>'[1]APR 2024'!E177</f>
        <v>0</v>
      </c>
      <c r="F2461" s="6">
        <f>'[1]APR 2024'!F177</f>
        <v>0</v>
      </c>
      <c r="G2461" s="4"/>
      <c r="H2461" s="4"/>
    </row>
    <row r="2462" spans="1:8" x14ac:dyDescent="0.2">
      <c r="A2462" s="20">
        <f>'[1]APR 2024'!A178</f>
        <v>45408</v>
      </c>
      <c r="B2462" s="12" t="str">
        <f>'[1]APR 2024'!B178</f>
        <v>VM</v>
      </c>
      <c r="C2462" s="3">
        <f>'[1]APR 2024'!C178</f>
        <v>0</v>
      </c>
      <c r="D2462" s="3">
        <f>'[1]APR 2024'!D178</f>
        <v>61</v>
      </c>
      <c r="E2462" s="4">
        <f>'[1]APR 2024'!E178</f>
        <v>0</v>
      </c>
      <c r="F2462" s="6">
        <f>'[1]APR 2024'!F178</f>
        <v>72</v>
      </c>
      <c r="G2462" s="4"/>
      <c r="H2462" s="4"/>
    </row>
    <row r="2463" spans="1:8" x14ac:dyDescent="0.2">
      <c r="A2463" s="23">
        <f>'[1]APR 2024'!A179</f>
        <v>45408</v>
      </c>
      <c r="B2463" s="12" t="str">
        <f>'[1]APR 2024'!B179</f>
        <v>Frauen</v>
      </c>
      <c r="C2463" s="3">
        <f>'[1]APR 2024'!C179</f>
        <v>0</v>
      </c>
      <c r="D2463" s="3">
        <f>'[1]APR 2024'!D179</f>
        <v>3780</v>
      </c>
      <c r="E2463" s="4">
        <f>'[1]APR 2024'!E179</f>
        <v>0</v>
      </c>
      <c r="F2463" s="6">
        <f>'[1]APR 2024'!F179</f>
        <v>0</v>
      </c>
      <c r="G2463" s="4"/>
      <c r="H2463" s="4"/>
    </row>
    <row r="2464" spans="1:8" x14ac:dyDescent="0.2">
      <c r="A2464" s="20">
        <f>'[1]APR 2024'!A184</f>
        <v>45409</v>
      </c>
      <c r="B2464" s="12" t="str">
        <f>'[1]APR 2024'!B184</f>
        <v>Andere</v>
      </c>
      <c r="C2464" s="3">
        <f>'[1]APR 2024'!C184</f>
        <v>0</v>
      </c>
      <c r="D2464" s="3">
        <f>'[1]APR 2024'!D184</f>
        <v>299</v>
      </c>
      <c r="E2464" s="4">
        <f>'[1]APR 2024'!E184</f>
        <v>0</v>
      </c>
      <c r="F2464" s="6">
        <f>'[1]APR 2024'!F184</f>
        <v>0</v>
      </c>
      <c r="G2464" s="4"/>
      <c r="H2464" s="4"/>
    </row>
    <row r="2465" spans="1:8" x14ac:dyDescent="0.2">
      <c r="A2465" s="23">
        <f>'[1]APR 2024'!A185</f>
        <v>45409</v>
      </c>
      <c r="B2465" s="12" t="str">
        <f>'[1]APR 2024'!B185</f>
        <v>VM</v>
      </c>
      <c r="C2465" s="3">
        <f>'[1]APR 2024'!C185</f>
        <v>0</v>
      </c>
      <c r="D2465" s="3">
        <f>'[1]APR 2024'!D185</f>
        <v>61</v>
      </c>
      <c r="E2465" s="4">
        <f>'[1]APR 2024'!E185</f>
        <v>0</v>
      </c>
      <c r="F2465" s="6">
        <f>'[1]APR 2024'!F185</f>
        <v>0</v>
      </c>
      <c r="G2465" s="4"/>
      <c r="H2465" s="4"/>
    </row>
    <row r="2466" spans="1:8" x14ac:dyDescent="0.2">
      <c r="A2466" s="20">
        <f>'[1]APR 2024'!A186</f>
        <v>45409</v>
      </c>
      <c r="B2466" s="12" t="str">
        <f>'[1]APR 2024'!B186</f>
        <v>LM</v>
      </c>
      <c r="C2466" s="3">
        <f>'[1]APR 2024'!C186</f>
        <v>0</v>
      </c>
      <c r="D2466" s="3">
        <f>'[1]APR 2024'!D186</f>
        <v>701</v>
      </c>
      <c r="E2466" s="4">
        <f>'[1]APR 2024'!E186</f>
        <v>0</v>
      </c>
      <c r="F2466" s="6">
        <f>'[1]APR 2024'!F186</f>
        <v>0</v>
      </c>
      <c r="G2466" s="4"/>
      <c r="H2466" s="4"/>
    </row>
    <row r="2467" spans="1:8" x14ac:dyDescent="0.2">
      <c r="A2467" s="23">
        <f>'[1]APR 2024'!A191</f>
        <v>45410</v>
      </c>
      <c r="B2467" s="12" t="str">
        <f>'[1]APR 2024'!B191</f>
        <v>LM</v>
      </c>
      <c r="C2467" s="3">
        <f>'[1]APR 2024'!C191</f>
        <v>0</v>
      </c>
      <c r="D2467" s="3">
        <f>'[1]APR 2024'!D191</f>
        <v>360</v>
      </c>
      <c r="E2467" s="4">
        <f>'[1]APR 2024'!E191</f>
        <v>0</v>
      </c>
      <c r="F2467" s="6">
        <f>'[1]APR 2024'!F191</f>
        <v>0</v>
      </c>
      <c r="G2467" s="4"/>
      <c r="H2467" s="4"/>
    </row>
    <row r="2468" spans="1:8" x14ac:dyDescent="0.2">
      <c r="A2468" s="20">
        <f>'[1]APR 2024'!A192</f>
        <v>45410</v>
      </c>
      <c r="B2468" s="12" t="str">
        <f>'[1]APR 2024'!B192</f>
        <v>LM</v>
      </c>
      <c r="C2468" s="3">
        <f>'[1]APR 2024'!C192</f>
        <v>0</v>
      </c>
      <c r="D2468" s="3">
        <f>'[1]APR 2024'!D192</f>
        <v>373.95</v>
      </c>
      <c r="E2468" s="4">
        <f>'[1]APR 2024'!E192</f>
        <v>0</v>
      </c>
      <c r="F2468" s="6">
        <f>'[1]APR 2024'!F192</f>
        <v>0</v>
      </c>
      <c r="G2468" s="4"/>
      <c r="H2468" s="4"/>
    </row>
    <row r="2469" spans="1:8" x14ac:dyDescent="0.2">
      <c r="A2469" s="23">
        <f>'[1]APR 2024'!A193</f>
        <v>45410</v>
      </c>
      <c r="B2469" s="12" t="str">
        <f>'[1]APR 2024'!B193</f>
        <v>Frauen</v>
      </c>
      <c r="C2469" s="3">
        <f>'[1]APR 2024'!C193</f>
        <v>0</v>
      </c>
      <c r="D2469" s="3">
        <f>'[1]APR 2024'!D193</f>
        <v>0</v>
      </c>
      <c r="E2469" s="4">
        <f>'[1]APR 2024'!E193</f>
        <v>0</v>
      </c>
      <c r="F2469" s="6">
        <f>'[1]APR 2024'!F193</f>
        <v>2000</v>
      </c>
      <c r="G2469" s="4"/>
      <c r="H2469" s="4"/>
    </row>
    <row r="2470" spans="1:8" x14ac:dyDescent="0.2">
      <c r="A2470" s="20">
        <f>'[1]APR 2024'!A198</f>
        <v>45411</v>
      </c>
      <c r="B2470" s="12" t="str">
        <f>'[1]APR 2024'!B198</f>
        <v>LM</v>
      </c>
      <c r="C2470" s="3">
        <f>'[1]APR 2024'!C198</f>
        <v>0</v>
      </c>
      <c r="D2470" s="3">
        <f>'[1]APR 2024'!D198</f>
        <v>5184.95</v>
      </c>
      <c r="E2470" s="4">
        <f>'[1]APR 2024'!E198</f>
        <v>0</v>
      </c>
      <c r="F2470" s="6">
        <f>'[1]APR 2024'!F198</f>
        <v>0</v>
      </c>
      <c r="G2470" s="4"/>
      <c r="H2470" s="4"/>
    </row>
    <row r="2471" spans="1:8" x14ac:dyDescent="0.2">
      <c r="A2471" s="23">
        <f>'[1]APR 2024'!A199</f>
        <v>45411</v>
      </c>
      <c r="B2471" s="12" t="str">
        <f>'[1]APR 2024'!B199</f>
        <v>Kleidung</v>
      </c>
      <c r="C2471" s="3">
        <f>'[1]APR 2024'!C199</f>
        <v>0</v>
      </c>
      <c r="D2471" s="3">
        <f>'[1]APR 2024'!D199</f>
        <v>1294</v>
      </c>
      <c r="E2471" s="4">
        <f>'[1]APR 2024'!E199</f>
        <v>0</v>
      </c>
      <c r="F2471" s="6">
        <f>'[1]APR 2024'!F199</f>
        <v>0</v>
      </c>
      <c r="G2471" s="4"/>
      <c r="H2471" s="4"/>
    </row>
    <row r="2472" spans="1:8" x14ac:dyDescent="0.2">
      <c r="A2472" s="20">
        <f>'[1]APR 2024'!A200</f>
        <v>45411</v>
      </c>
      <c r="B2472" s="12" t="str">
        <f>'[1]APR 2024'!B200</f>
        <v>Frauen</v>
      </c>
      <c r="C2472" s="3">
        <f>'[1]APR 2024'!C200</f>
        <v>0</v>
      </c>
      <c r="D2472" s="3">
        <f>'[1]APR 2024'!D200</f>
        <v>740</v>
      </c>
      <c r="E2472" s="4">
        <f>'[1]APR 2024'!E200</f>
        <v>0</v>
      </c>
      <c r="F2472" s="6">
        <f>'[1]APR 2024'!F200</f>
        <v>0</v>
      </c>
      <c r="G2472" s="4"/>
      <c r="H2472" s="4"/>
    </row>
    <row r="2473" spans="1:8" x14ac:dyDescent="0.2">
      <c r="A2473" s="23">
        <f>'[1]APR 2024'!A201</f>
        <v>45411</v>
      </c>
      <c r="B2473" s="12" t="str">
        <f>'[1]APR 2024'!B201</f>
        <v>LM</v>
      </c>
      <c r="C2473" s="3">
        <f>'[1]APR 2024'!C201</f>
        <v>0</v>
      </c>
      <c r="D2473" s="3">
        <f>'[1]APR 2024'!D201</f>
        <v>380</v>
      </c>
      <c r="E2473" s="4">
        <f>'[1]APR 2024'!E201</f>
        <v>0</v>
      </c>
      <c r="F2473" s="6">
        <f>'[1]APR 2024'!F201</f>
        <v>0</v>
      </c>
      <c r="G2473" s="4"/>
      <c r="H2473" s="4"/>
    </row>
    <row r="2474" spans="1:8" x14ac:dyDescent="0.2">
      <c r="A2474" s="20">
        <f>'[1]APR 2024'!A202</f>
        <v>45411</v>
      </c>
      <c r="B2474" s="12" t="str">
        <f>'[1]APR 2024'!B202</f>
        <v>Andere</v>
      </c>
      <c r="C2474" s="3">
        <f>'[1]APR 2024'!C202</f>
        <v>0</v>
      </c>
      <c r="D2474" s="3">
        <f>'[1]APR 2024'!D202</f>
        <v>8000</v>
      </c>
      <c r="E2474" s="4">
        <f>'[1]APR 2024'!E202</f>
        <v>0</v>
      </c>
      <c r="F2474" s="6">
        <f>'[1]APR 2024'!F202</f>
        <v>0</v>
      </c>
      <c r="G2474" s="4"/>
      <c r="H2474" s="4"/>
    </row>
    <row r="2475" spans="1:8" x14ac:dyDescent="0.2">
      <c r="A2475" s="23">
        <f>'[1]APR 2024'!A203</f>
        <v>45411</v>
      </c>
      <c r="B2475" s="12" t="str">
        <f>'[1]APR 2024'!B203</f>
        <v>VM</v>
      </c>
      <c r="C2475" s="3">
        <f>'[1]APR 2024'!C203</f>
        <v>0</v>
      </c>
      <c r="D2475" s="3">
        <f>'[1]APR 2024'!D203</f>
        <v>0</v>
      </c>
      <c r="E2475" s="4">
        <f>'[1]APR 2024'!E203</f>
        <v>0</v>
      </c>
      <c r="F2475" s="6">
        <f>'[1]APR 2024'!F203</f>
        <v>94.94</v>
      </c>
      <c r="G2475" s="4"/>
      <c r="H2475" s="4"/>
    </row>
    <row r="2476" spans="1:8" x14ac:dyDescent="0.2">
      <c r="A2476" s="20">
        <f>'[1]APR 2024'!A204</f>
        <v>45411</v>
      </c>
      <c r="B2476" s="12" t="str">
        <f>'[1]APR 2024'!B204</f>
        <v>none</v>
      </c>
      <c r="C2476" s="3">
        <f>'[1]APR 2024'!C204</f>
        <v>0</v>
      </c>
      <c r="D2476" s="3">
        <f>'[1]APR 2024'!D204</f>
        <v>1700</v>
      </c>
      <c r="E2476" s="4">
        <f>'[1]APR 2024'!E204</f>
        <v>1700</v>
      </c>
      <c r="F2476" s="6">
        <f>'[1]APR 2024'!F204</f>
        <v>0</v>
      </c>
      <c r="G2476" s="4"/>
      <c r="H2476" s="4"/>
    </row>
    <row r="2477" spans="1:8" x14ac:dyDescent="0.2">
      <c r="A2477" s="23">
        <f>'[1]APR 2024'!A205</f>
        <v>45412</v>
      </c>
      <c r="B2477" s="12" t="str">
        <f>'[1]APR 2024'!B205</f>
        <v>none</v>
      </c>
      <c r="C2477" s="3">
        <f>'[1]APR 2024'!C205</f>
        <v>0</v>
      </c>
      <c r="D2477" s="3">
        <f>'[1]APR 2024'!D205</f>
        <v>4000</v>
      </c>
      <c r="E2477" s="4">
        <f>'[1]APR 2024'!E205</f>
        <v>4000</v>
      </c>
      <c r="F2477" s="6">
        <f>'[1]APR 2024'!F205</f>
        <v>0</v>
      </c>
      <c r="G2477" s="4"/>
      <c r="H2477" s="4"/>
    </row>
    <row r="2478" spans="1:8" x14ac:dyDescent="0.2">
      <c r="A2478" s="20">
        <f>'[1]APR 2024'!A206</f>
        <v>45412</v>
      </c>
      <c r="B2478" s="12" t="str">
        <f>'[1]APR 2024'!B206</f>
        <v>Rauchen</v>
      </c>
      <c r="C2478" s="3">
        <f>'[1]APR 2024'!C206</f>
        <v>0</v>
      </c>
      <c r="D2478" s="3">
        <f>'[1]APR 2024'!D206</f>
        <v>1600</v>
      </c>
      <c r="E2478" s="4">
        <f>'[1]APR 2024'!E206</f>
        <v>0</v>
      </c>
      <c r="F2478" s="6">
        <f>'[1]APR 2024'!F206</f>
        <v>0</v>
      </c>
      <c r="G2478" s="4"/>
      <c r="H2478" s="4"/>
    </row>
    <row r="2479" spans="1:8" x14ac:dyDescent="0.2">
      <c r="A2479" s="23">
        <f>'[1]APR 2024'!A207</f>
        <v>45412</v>
      </c>
      <c r="B2479" s="12" t="str">
        <f>'[1]APR 2024'!B207</f>
        <v>VM</v>
      </c>
      <c r="C2479" s="3">
        <f>'[1]APR 2024'!C207</f>
        <v>0</v>
      </c>
      <c r="D2479" s="3">
        <f>'[1]APR 2024'!D207</f>
        <v>2339</v>
      </c>
      <c r="E2479" s="4">
        <f>'[1]APR 2024'!E207</f>
        <v>0</v>
      </c>
      <c r="F2479" s="6">
        <f>'[1]APR 2024'!F207</f>
        <v>72</v>
      </c>
      <c r="G2479" s="4"/>
      <c r="H2479" s="4"/>
    </row>
    <row r="2480" spans="1:8" x14ac:dyDescent="0.2">
      <c r="A2480" s="20">
        <f>'[1]APR 2024'!A208</f>
        <v>45412</v>
      </c>
      <c r="B2480" s="12" t="str">
        <f>'[1]APR 2024'!B208</f>
        <v>LM</v>
      </c>
      <c r="C2480" s="3">
        <f>'[1]APR 2024'!C208</f>
        <v>0</v>
      </c>
      <c r="D2480" s="3">
        <f>'[1]APR 2024'!D208</f>
        <v>1120</v>
      </c>
      <c r="E2480" s="4">
        <f>'[1]APR 2024'!E208</f>
        <v>0</v>
      </c>
      <c r="F2480" s="6">
        <f>'[1]APR 2024'!F208</f>
        <v>0</v>
      </c>
      <c r="G2480" s="4"/>
      <c r="H2480" s="4"/>
    </row>
    <row r="2481" spans="1:8" x14ac:dyDescent="0.2">
      <c r="A2481" s="23">
        <f>'[1]APR 2024'!A209</f>
        <v>45412</v>
      </c>
      <c r="B2481" s="12" t="str">
        <f>'[1]APR 2024'!B209</f>
        <v>Andere</v>
      </c>
      <c r="C2481" s="3">
        <f>'[1]APR 2024'!C209</f>
        <v>0</v>
      </c>
      <c r="D2481" s="3">
        <f>'[1]APR 2024'!D209</f>
        <v>2040</v>
      </c>
      <c r="E2481" s="4">
        <f>'[1]APR 2024'!E209</f>
        <v>0</v>
      </c>
      <c r="F2481" s="6">
        <f>'[1]APR 2024'!F209</f>
        <v>3939</v>
      </c>
      <c r="G2481" s="4"/>
      <c r="H2481" s="4"/>
    </row>
    <row r="2482" spans="1:8" x14ac:dyDescent="0.2">
      <c r="A2482" s="20">
        <f>'[1]APR 2024'!A210</f>
        <v>45412</v>
      </c>
      <c r="B2482" s="12" t="str">
        <f>'[1]APR 2024'!B210</f>
        <v>Refill</v>
      </c>
      <c r="C2482" s="3">
        <f>'[1]APR 2024'!C210</f>
        <v>3381.1499999999996</v>
      </c>
      <c r="D2482" s="3">
        <f>'[1]APR 2024'!D210</f>
        <v>0</v>
      </c>
      <c r="E2482" s="4">
        <f>'[1]APR 2024'!E210</f>
        <v>0</v>
      </c>
      <c r="F2482" s="6">
        <f>'[1]APR 2024'!F210</f>
        <v>0</v>
      </c>
      <c r="G2482" s="4"/>
      <c r="H2482" s="4"/>
    </row>
    <row r="2483" spans="1:8" x14ac:dyDescent="0.2">
      <c r="A2483" s="20">
        <f>'[1]MAY 2024'!A2</f>
        <v>45413</v>
      </c>
      <c r="B2483" s="12" t="str">
        <f>'[1]MAY 2024'!B2</f>
        <v>LM</v>
      </c>
      <c r="C2483" s="25">
        <f>'[1]MAY 2024'!C2</f>
        <v>0</v>
      </c>
      <c r="D2483" s="25">
        <f>'[1]MAY 2024'!D2</f>
        <v>730</v>
      </c>
      <c r="E2483" s="25">
        <f>'[1]MAY 2024'!E2</f>
        <v>0</v>
      </c>
      <c r="F2483" s="26">
        <f>'[1]MAY 2024'!F2</f>
        <v>7300</v>
      </c>
      <c r="G2483" s="27"/>
      <c r="H2483" s="27"/>
    </row>
    <row r="2484" spans="1:8" x14ac:dyDescent="0.2">
      <c r="A2484" s="23">
        <f>'[1]MAY 2024'!A3</f>
        <v>45413</v>
      </c>
      <c r="B2484" s="12" t="str">
        <f>'[1]MAY 2024'!B3</f>
        <v>VM</v>
      </c>
      <c r="C2484" s="25">
        <f>'[1]MAY 2024'!C3</f>
        <v>0</v>
      </c>
      <c r="D2484" s="25">
        <f>'[1]MAY 2024'!D3</f>
        <v>61</v>
      </c>
      <c r="E2484" s="25">
        <f>'[1]MAY 2024'!E3</f>
        <v>0</v>
      </c>
      <c r="F2484" s="26">
        <f>'[1]MAY 2024'!F3</f>
        <v>0</v>
      </c>
      <c r="G2484" s="27"/>
      <c r="H2484" s="27"/>
    </row>
    <row r="2485" spans="1:8" x14ac:dyDescent="0.2">
      <c r="A2485" s="20">
        <f>'[1]MAY 2024'!A4</f>
        <v>45413</v>
      </c>
      <c r="B2485" s="12" t="str">
        <f>'[1]MAY 2024'!B4</f>
        <v>Andere</v>
      </c>
      <c r="C2485" s="25">
        <f>'[1]MAY 2024'!C4</f>
        <v>0</v>
      </c>
      <c r="D2485" s="25">
        <f>'[1]MAY 2024'!D4</f>
        <v>0</v>
      </c>
      <c r="E2485" s="25">
        <f>'[1]MAY 2024'!E4</f>
        <v>0</v>
      </c>
      <c r="F2485" s="26">
        <f>'[1]MAY 2024'!F4</f>
        <v>0</v>
      </c>
      <c r="G2485" s="27"/>
      <c r="H2485" s="27"/>
    </row>
    <row r="2486" spans="1:8" x14ac:dyDescent="0.2">
      <c r="A2486" s="23">
        <f>'[1]MAY 2024'!A5</f>
        <v>45413</v>
      </c>
      <c r="B2486" s="12" t="str">
        <f>'[1]MAY 2024'!B5</f>
        <v>for me</v>
      </c>
      <c r="C2486" s="25">
        <f>'[1]MAY 2024'!C5</f>
        <v>0</v>
      </c>
      <c r="D2486" s="25">
        <f>'[1]MAY 2024'!D5</f>
        <v>0</v>
      </c>
      <c r="E2486" s="25">
        <f>'[1]MAY 2024'!E5</f>
        <v>0</v>
      </c>
      <c r="F2486" s="26">
        <f>'[1]MAY 2024'!F5</f>
        <v>0</v>
      </c>
      <c r="G2486" s="27"/>
      <c r="H2486" s="27"/>
    </row>
    <row r="2487" spans="1:8" x14ac:dyDescent="0.2">
      <c r="A2487" s="20">
        <f>'[1]MAY 2024'!A6</f>
        <v>45413</v>
      </c>
      <c r="B2487" s="12" t="str">
        <f>'[1]MAY 2024'!B6</f>
        <v>Party</v>
      </c>
      <c r="C2487" s="25">
        <f>'[1]MAY 2024'!C6</f>
        <v>0</v>
      </c>
      <c r="D2487" s="25">
        <f>'[1]MAY 2024'!D6</f>
        <v>0</v>
      </c>
      <c r="E2487" s="25">
        <f>'[1]MAY 2024'!E6</f>
        <v>0</v>
      </c>
      <c r="F2487" s="26">
        <f>'[1]MAY 2024'!F6</f>
        <v>0</v>
      </c>
      <c r="G2487" s="27"/>
      <c r="H2487" s="27"/>
    </row>
    <row r="2488" spans="1:8" x14ac:dyDescent="0.2">
      <c r="A2488" s="23">
        <f>'[1]MAY 2024'!A7</f>
        <v>45413</v>
      </c>
      <c r="B2488" s="12" t="str">
        <f>'[1]MAY 2024'!B7</f>
        <v>Kleidung</v>
      </c>
      <c r="C2488" s="25">
        <f>'[1]MAY 2024'!C7</f>
        <v>0</v>
      </c>
      <c r="D2488" s="25">
        <f>'[1]MAY 2024'!D7</f>
        <v>0</v>
      </c>
      <c r="E2488" s="25">
        <f>'[1]MAY 2024'!E7</f>
        <v>0</v>
      </c>
      <c r="F2488" s="26">
        <f>'[1]MAY 2024'!F7</f>
        <v>0</v>
      </c>
      <c r="G2488" s="27"/>
      <c r="H2488" s="27"/>
    </row>
    <row r="2489" spans="1:8" x14ac:dyDescent="0.2">
      <c r="A2489" s="20">
        <f>'[1]MAY 2024'!A8</f>
        <v>45413</v>
      </c>
      <c r="B2489" s="12" t="str">
        <f>'[1]MAY 2024'!B8</f>
        <v>none</v>
      </c>
      <c r="C2489" s="25">
        <f>'[1]MAY 2024'!C8</f>
        <v>0</v>
      </c>
      <c r="D2489" s="25">
        <f>'[1]MAY 2024'!D8</f>
        <v>10000</v>
      </c>
      <c r="E2489" s="25">
        <f>'[1]MAY 2024'!E8</f>
        <v>10000</v>
      </c>
      <c r="F2489" s="26">
        <f>'[1]MAY 2024'!F8</f>
        <v>0</v>
      </c>
      <c r="G2489" s="27"/>
      <c r="H2489" s="27"/>
    </row>
    <row r="2490" spans="1:8" x14ac:dyDescent="0.2">
      <c r="A2490" s="23">
        <f>'[1]MAY 2024'!A9</f>
        <v>45414</v>
      </c>
      <c r="B2490" s="12" t="str">
        <f>'[1]MAY 2024'!B9</f>
        <v>LM</v>
      </c>
      <c r="C2490" s="25">
        <f>'[1]MAY 2024'!C9</f>
        <v>0</v>
      </c>
      <c r="D2490" s="25">
        <f>'[1]MAY 2024'!D9</f>
        <v>300</v>
      </c>
      <c r="E2490" s="25">
        <f>'[1]MAY 2024'!E9</f>
        <v>0</v>
      </c>
      <c r="F2490" s="26">
        <f>'[1]MAY 2024'!F9</f>
        <v>0</v>
      </c>
      <c r="G2490" s="27"/>
      <c r="H2490" s="27"/>
    </row>
    <row r="2491" spans="1:8" x14ac:dyDescent="0.2">
      <c r="A2491" s="20">
        <f>'[1]MAY 2024'!A10</f>
        <v>45414</v>
      </c>
      <c r="B2491" s="12" t="str">
        <f>'[1]MAY 2024'!B10</f>
        <v>Refill</v>
      </c>
      <c r="C2491" s="25">
        <f>'[1]MAY 2024'!C10</f>
        <v>3922.1</v>
      </c>
      <c r="D2491" s="25">
        <f>'[1]MAY 2024'!D10</f>
        <v>0</v>
      </c>
      <c r="E2491" s="25">
        <f>'[1]MAY 2024'!E10</f>
        <v>0</v>
      </c>
      <c r="F2491" s="26">
        <f>'[1]MAY 2024'!F10</f>
        <v>0</v>
      </c>
      <c r="G2491" s="27"/>
      <c r="H2491" s="27"/>
    </row>
    <row r="2492" spans="1:8" x14ac:dyDescent="0.2">
      <c r="A2492" s="20">
        <f>'[1]MAY 2024'!A16</f>
        <v>45415</v>
      </c>
      <c r="B2492" s="12" t="str">
        <f>'[1]MAY 2024'!B16</f>
        <v>Frauen</v>
      </c>
      <c r="C2492" s="25">
        <f>'[1]MAY 2024'!C16</f>
        <v>0</v>
      </c>
      <c r="D2492" s="25">
        <f>'[1]MAY 2024'!D16</f>
        <v>100</v>
      </c>
      <c r="E2492" s="25">
        <f>'[1]MAY 2024'!E16</f>
        <v>0</v>
      </c>
      <c r="F2492" s="26">
        <f>'[1]MAY 2024'!F16</f>
        <v>0</v>
      </c>
      <c r="G2492" s="27"/>
      <c r="H2492" s="27"/>
    </row>
    <row r="2493" spans="1:8" x14ac:dyDescent="0.2">
      <c r="A2493" s="23">
        <f>'[1]MAY 2024'!A17</f>
        <v>45415</v>
      </c>
      <c r="B2493" s="12" t="str">
        <f>'[1]MAY 2024'!B17</f>
        <v>for me</v>
      </c>
      <c r="C2493" s="25">
        <f>'[1]MAY 2024'!C17</f>
        <v>0</v>
      </c>
      <c r="D2493" s="25">
        <f>'[1]MAY 2024'!D17</f>
        <v>24000</v>
      </c>
      <c r="E2493" s="25">
        <f>'[1]MAY 2024'!E17</f>
        <v>0</v>
      </c>
      <c r="F2493" s="26">
        <f>'[1]MAY 2024'!F17</f>
        <v>0</v>
      </c>
      <c r="G2493" s="27"/>
      <c r="H2493" s="27"/>
    </row>
    <row r="2494" spans="1:8" x14ac:dyDescent="0.2">
      <c r="A2494" s="23">
        <f>'[1]MAY 2024'!A23</f>
        <v>45416</v>
      </c>
      <c r="B2494" s="12" t="str">
        <f>'[1]MAY 2024'!B23</f>
        <v>LM</v>
      </c>
      <c r="C2494" s="25">
        <f>'[1]MAY 2024'!C23</f>
        <v>0</v>
      </c>
      <c r="D2494" s="25">
        <f>'[1]MAY 2024'!D23</f>
        <v>800</v>
      </c>
      <c r="E2494" s="25">
        <f>'[1]MAY 2024'!E23</f>
        <v>0</v>
      </c>
      <c r="F2494" s="26">
        <f>'[1]MAY 2024'!F23</f>
        <v>0</v>
      </c>
      <c r="G2494" s="27"/>
      <c r="H2494" s="27"/>
    </row>
    <row r="2495" spans="1:8" x14ac:dyDescent="0.2">
      <c r="A2495" s="20">
        <f>'[1]MAY 2024'!A24</f>
        <v>45416</v>
      </c>
      <c r="B2495" s="12" t="str">
        <f>'[1]MAY 2024'!B24</f>
        <v>none</v>
      </c>
      <c r="C2495" s="25">
        <f>'[1]MAY 2024'!C24</f>
        <v>3500</v>
      </c>
      <c r="D2495" s="25">
        <f>'[1]MAY 2024'!D24</f>
        <v>0</v>
      </c>
      <c r="E2495" s="25">
        <f>'[1]MAY 2024'!E24</f>
        <v>0</v>
      </c>
      <c r="F2495" s="26">
        <f>'[1]MAY 2024'!F24</f>
        <v>0</v>
      </c>
      <c r="G2495" s="27"/>
      <c r="H2495" s="27"/>
    </row>
    <row r="2496" spans="1:8" x14ac:dyDescent="0.2">
      <c r="A2496" s="20">
        <f>'[1]MAY 2024'!A30</f>
        <v>45417</v>
      </c>
      <c r="B2496" s="12" t="str">
        <f>'[1]MAY 2024'!B30</f>
        <v>LM</v>
      </c>
      <c r="C2496" s="25">
        <f>'[1]MAY 2024'!C30</f>
        <v>0</v>
      </c>
      <c r="D2496" s="25">
        <f>'[1]MAY 2024'!D30</f>
        <v>-2588</v>
      </c>
      <c r="E2496" s="25">
        <f>'[1]MAY 2024'!E30</f>
        <v>0</v>
      </c>
      <c r="F2496" s="26">
        <f>'[1]MAY 2024'!F30</f>
        <v>0</v>
      </c>
      <c r="G2496" s="27"/>
      <c r="H2496" s="27"/>
    </row>
    <row r="2497" spans="1:8" x14ac:dyDescent="0.2">
      <c r="A2497" s="23">
        <f>'[1]MAY 2024'!A31</f>
        <v>45417</v>
      </c>
      <c r="B2497" s="12" t="str">
        <f>'[1]MAY 2024'!B31</f>
        <v>Andere</v>
      </c>
      <c r="C2497" s="25">
        <f>'[1]MAY 2024'!C31</f>
        <v>0</v>
      </c>
      <c r="D2497" s="25">
        <f>'[1]MAY 2024'!D31</f>
        <v>2200</v>
      </c>
      <c r="E2497" s="25">
        <f>'[1]MAY 2024'!E31</f>
        <v>0</v>
      </c>
      <c r="F2497" s="26">
        <f>'[1]MAY 2024'!F31</f>
        <v>0</v>
      </c>
      <c r="G2497" s="27"/>
      <c r="H2497" s="27"/>
    </row>
    <row r="2498" spans="1:8" x14ac:dyDescent="0.2">
      <c r="A2498" s="23">
        <f>'[1]MAY 2024'!A37</f>
        <v>45418</v>
      </c>
      <c r="B2498" s="12" t="str">
        <f>'[1]MAY 2024'!B37</f>
        <v>LM</v>
      </c>
      <c r="C2498" s="25">
        <f>'[1]MAY 2024'!C37</f>
        <v>0</v>
      </c>
      <c r="D2498" s="25">
        <f>'[1]MAY 2024'!D37</f>
        <v>5132</v>
      </c>
      <c r="E2498" s="25">
        <f>'[1]MAY 2024'!E37</f>
        <v>0</v>
      </c>
      <c r="F2498" s="26">
        <f>'[1]MAY 2024'!F37</f>
        <v>0</v>
      </c>
      <c r="G2498" s="27"/>
      <c r="H2498" s="27"/>
    </row>
    <row r="2499" spans="1:8" x14ac:dyDescent="0.2">
      <c r="A2499" s="20">
        <f>'[1]MAY 2024'!A38</f>
        <v>45418</v>
      </c>
      <c r="B2499" s="12" t="str">
        <f>'[1]MAY 2024'!B38</f>
        <v>Andere</v>
      </c>
      <c r="C2499" s="25">
        <f>'[1]MAY 2024'!C38</f>
        <v>0</v>
      </c>
      <c r="D2499" s="25">
        <f>'[1]MAY 2024'!D38</f>
        <v>2000</v>
      </c>
      <c r="E2499" s="25">
        <f>'[1]MAY 2024'!E38</f>
        <v>0</v>
      </c>
      <c r="F2499" s="26">
        <f>'[1]MAY 2024'!F38</f>
        <v>0</v>
      </c>
      <c r="G2499" s="27"/>
      <c r="H2499" s="27"/>
    </row>
    <row r="2500" spans="1:8" x14ac:dyDescent="0.2">
      <c r="A2500" s="23">
        <f>'[1]MAY 2024'!A39</f>
        <v>45418</v>
      </c>
      <c r="B2500" s="12" t="str">
        <f>'[1]MAY 2024'!B39</f>
        <v>VM</v>
      </c>
      <c r="C2500" s="25">
        <f>'[1]MAY 2024'!C39</f>
        <v>0</v>
      </c>
      <c r="D2500" s="25">
        <f>'[1]MAY 2024'!D39</f>
        <v>2597</v>
      </c>
      <c r="E2500" s="25">
        <f>'[1]MAY 2024'!E39</f>
        <v>0</v>
      </c>
      <c r="F2500" s="26">
        <f>'[1]MAY 2024'!F39</f>
        <v>0</v>
      </c>
      <c r="G2500" s="27"/>
      <c r="H2500" s="27"/>
    </row>
    <row r="2501" spans="1:8" x14ac:dyDescent="0.2">
      <c r="A2501" s="20">
        <f>'[1]MAY 2024'!A44</f>
        <v>45419</v>
      </c>
      <c r="B2501" s="12" t="str">
        <f>'[1]MAY 2024'!B44</f>
        <v>LM</v>
      </c>
      <c r="C2501" s="25">
        <f>'[1]MAY 2024'!C44</f>
        <v>0</v>
      </c>
      <c r="D2501" s="25">
        <f>'[1]MAY 2024'!D44</f>
        <v>1437.94</v>
      </c>
      <c r="E2501" s="25">
        <f>'[1]MAY 2024'!E44</f>
        <v>0</v>
      </c>
      <c r="F2501" s="26">
        <f>'[1]MAY 2024'!F44</f>
        <v>0</v>
      </c>
      <c r="G2501" s="27"/>
      <c r="H2501" s="27"/>
    </row>
    <row r="2502" spans="1:8" x14ac:dyDescent="0.2">
      <c r="A2502" s="23">
        <f>'[1]MAY 2024'!A45</f>
        <v>45419</v>
      </c>
      <c r="B2502" s="12" t="str">
        <f>'[1]MAY 2024'!B45</f>
        <v>Refill</v>
      </c>
      <c r="C2502" s="25">
        <f>'[1]MAY 2024'!C45</f>
        <v>0</v>
      </c>
      <c r="D2502" s="25">
        <f>'[1]MAY 2024'!D45</f>
        <v>0</v>
      </c>
      <c r="E2502" s="25">
        <f>'[1]MAY 2024'!E45</f>
        <v>0</v>
      </c>
      <c r="F2502" s="26">
        <f>'[1]MAY 2024'!F45</f>
        <v>0</v>
      </c>
      <c r="G2502" s="27"/>
      <c r="H2502" s="27"/>
    </row>
    <row r="2503" spans="1:8" x14ac:dyDescent="0.2">
      <c r="A2503" s="23">
        <f>'[1]MAY 2024'!A51</f>
        <v>45420</v>
      </c>
      <c r="B2503" s="12" t="str">
        <f>'[1]MAY 2024'!B51</f>
        <v>LM</v>
      </c>
      <c r="C2503" s="25">
        <f>'[1]MAY 2024'!C51</f>
        <v>0</v>
      </c>
      <c r="D2503" s="25">
        <f>'[1]MAY 2024'!D51</f>
        <v>1124</v>
      </c>
      <c r="E2503" s="25">
        <f>'[1]MAY 2024'!E51</f>
        <v>0</v>
      </c>
      <c r="F2503" s="26">
        <f>'[1]MAY 2024'!F51</f>
        <v>0</v>
      </c>
      <c r="G2503" s="27"/>
      <c r="H2503" s="27"/>
    </row>
    <row r="2504" spans="1:8" x14ac:dyDescent="0.2">
      <c r="A2504" s="20">
        <f>'[1]MAY 2024'!A52</f>
        <v>45420</v>
      </c>
      <c r="B2504" s="12" t="str">
        <f>'[1]MAY 2024'!B52</f>
        <v>Refill</v>
      </c>
      <c r="C2504" s="25">
        <f>'[1]MAY 2024'!C52</f>
        <v>67983.86</v>
      </c>
      <c r="D2504" s="25">
        <f>'[1]MAY 2024'!D52</f>
        <v>0</v>
      </c>
      <c r="E2504" s="25">
        <f>'[1]MAY 2024'!E52</f>
        <v>0</v>
      </c>
      <c r="F2504" s="26">
        <f>'[1]MAY 2024'!F52</f>
        <v>0</v>
      </c>
      <c r="G2504" s="27"/>
      <c r="H2504" s="27"/>
    </row>
    <row r="2505" spans="1:8" x14ac:dyDescent="0.2">
      <c r="A2505" s="20">
        <f>'[1]MAY 2024'!A58</f>
        <v>45421</v>
      </c>
      <c r="B2505" s="12" t="str">
        <f>'[1]MAY 2024'!B58</f>
        <v>LM</v>
      </c>
      <c r="C2505" s="25">
        <f>'[1]MAY 2024'!C58</f>
        <v>0</v>
      </c>
      <c r="D2505" s="25">
        <f>'[1]MAY 2024'!D58</f>
        <v>4430.3799999999992</v>
      </c>
      <c r="E2505" s="25">
        <f>'[1]MAY 2024'!E58</f>
        <v>0</v>
      </c>
      <c r="F2505" s="26">
        <f>'[1]MAY 2024'!F58</f>
        <v>0</v>
      </c>
      <c r="G2505" s="27"/>
      <c r="H2505" s="27"/>
    </row>
    <row r="2506" spans="1:8" x14ac:dyDescent="0.2">
      <c r="A2506" s="23">
        <f>'[1]MAY 2024'!A59</f>
        <v>45421</v>
      </c>
      <c r="B2506" s="12" t="str">
        <f>'[1]MAY 2024'!B59</f>
        <v>for me</v>
      </c>
      <c r="C2506" s="25">
        <f>'[1]MAY 2024'!C59</f>
        <v>0</v>
      </c>
      <c r="D2506" s="25">
        <f>'[1]MAY 2024'!D59</f>
        <v>1352</v>
      </c>
      <c r="E2506" s="25">
        <f>'[1]MAY 2024'!E59</f>
        <v>0</v>
      </c>
      <c r="F2506" s="26">
        <f>'[1]MAY 2024'!F59</f>
        <v>0</v>
      </c>
      <c r="G2506" s="27"/>
      <c r="H2506" s="27"/>
    </row>
    <row r="2507" spans="1:8" x14ac:dyDescent="0.2">
      <c r="A2507" s="23">
        <f>'[1]MAY 2024'!A65</f>
        <v>45422</v>
      </c>
      <c r="B2507" s="12" t="str">
        <f>'[1]MAY 2024'!B65</f>
        <v>VM</v>
      </c>
      <c r="C2507" s="25">
        <f>'[1]MAY 2024'!C65</f>
        <v>0</v>
      </c>
      <c r="D2507" s="25">
        <f>'[1]MAY 2024'!D65</f>
        <v>122</v>
      </c>
      <c r="E2507" s="25">
        <f>'[1]MAY 2024'!E65</f>
        <v>0</v>
      </c>
      <c r="F2507" s="26">
        <f>'[1]MAY 2024'!F65</f>
        <v>0</v>
      </c>
      <c r="G2507" s="27"/>
      <c r="H2507" s="27"/>
    </row>
    <row r="2508" spans="1:8" x14ac:dyDescent="0.2">
      <c r="A2508" s="20">
        <f>'[1]MAY 2024'!A72</f>
        <v>45423</v>
      </c>
      <c r="B2508" s="12" t="str">
        <f>'[1]MAY 2024'!B72</f>
        <v>LM</v>
      </c>
      <c r="C2508" s="25">
        <f>'[1]MAY 2024'!C72</f>
        <v>0</v>
      </c>
      <c r="D2508" s="25">
        <f>'[1]MAY 2024'!D72</f>
        <v>459.99</v>
      </c>
      <c r="E2508" s="25">
        <f>'[1]MAY 2024'!E72</f>
        <v>0</v>
      </c>
      <c r="F2508" s="26">
        <f>'[1]MAY 2024'!F72</f>
        <v>0</v>
      </c>
      <c r="G2508" s="27"/>
      <c r="H2508" s="27"/>
    </row>
    <row r="2509" spans="1:8" x14ac:dyDescent="0.2">
      <c r="A2509" s="23">
        <f>'[1]MAY 2024'!A73</f>
        <v>45423</v>
      </c>
      <c r="B2509" s="12" t="str">
        <f>'[1]MAY 2024'!B73</f>
        <v>none</v>
      </c>
      <c r="C2509" s="25">
        <f>'[1]MAY 2024'!C73</f>
        <v>0</v>
      </c>
      <c r="D2509" s="25">
        <f>'[1]MAY 2024'!D73</f>
        <v>50000</v>
      </c>
      <c r="E2509" s="25">
        <f>'[1]MAY 2024'!E73</f>
        <v>0</v>
      </c>
      <c r="F2509" s="26">
        <f>'[1]MAY 2024'!F73</f>
        <v>0</v>
      </c>
      <c r="G2509" s="27"/>
      <c r="H2509" s="27"/>
    </row>
    <row r="2510" spans="1:8" x14ac:dyDescent="0.2">
      <c r="A2510" s="23">
        <f>'[1]MAY 2024'!A79</f>
        <v>45424</v>
      </c>
      <c r="B2510" s="12" t="str">
        <f>'[1]MAY 2024'!B79</f>
        <v>Andere</v>
      </c>
      <c r="C2510" s="25">
        <f>'[1]MAY 2024'!C79</f>
        <v>0</v>
      </c>
      <c r="D2510" s="25">
        <f>'[1]MAY 2024'!D79</f>
        <v>1900</v>
      </c>
      <c r="E2510" s="25">
        <f>'[1]MAY 2024'!E79</f>
        <v>0</v>
      </c>
      <c r="F2510" s="26">
        <f>'[1]MAY 2024'!F79</f>
        <v>0</v>
      </c>
      <c r="G2510" s="27"/>
      <c r="H2510" s="27"/>
    </row>
    <row r="2511" spans="1:8" x14ac:dyDescent="0.2">
      <c r="A2511" s="20">
        <f>'[1]MAY 2024'!A80</f>
        <v>45424</v>
      </c>
      <c r="B2511" s="12" t="str">
        <f>'[1]MAY 2024'!B80</f>
        <v>VM</v>
      </c>
      <c r="C2511" s="25">
        <f>'[1]MAY 2024'!C80</f>
        <v>0</v>
      </c>
      <c r="D2511" s="25">
        <f>'[1]MAY 2024'!D80</f>
        <v>779</v>
      </c>
      <c r="E2511" s="25">
        <f>'[1]MAY 2024'!E80</f>
        <v>0</v>
      </c>
      <c r="F2511" s="26">
        <f>'[1]MAY 2024'!F80</f>
        <v>0</v>
      </c>
      <c r="G2511" s="27"/>
      <c r="H2511" s="27"/>
    </row>
    <row r="2512" spans="1:8" x14ac:dyDescent="0.2">
      <c r="A2512" s="20">
        <f>'[1]MAY 2024'!A86</f>
        <v>45425</v>
      </c>
      <c r="B2512" s="12" t="str">
        <f>'[1]MAY 2024'!B86</f>
        <v>Andere</v>
      </c>
      <c r="C2512" s="25">
        <f>'[1]MAY 2024'!C86</f>
        <v>0</v>
      </c>
      <c r="D2512" s="25">
        <f>'[1]MAY 2024'!D86</f>
        <v>3910</v>
      </c>
      <c r="E2512" s="25">
        <f>'[1]MAY 2024'!E86</f>
        <v>0</v>
      </c>
      <c r="F2512" s="26">
        <f>'[1]MAY 2024'!F86</f>
        <v>0</v>
      </c>
      <c r="G2512" s="27"/>
      <c r="H2512" s="27"/>
    </row>
    <row r="2513" spans="1:8" x14ac:dyDescent="0.2">
      <c r="A2513" s="23">
        <f>'[1]MAY 2024'!A87</f>
        <v>45425</v>
      </c>
      <c r="B2513" s="12" t="str">
        <f>'[1]MAY 2024'!B87</f>
        <v>VM</v>
      </c>
      <c r="C2513" s="25">
        <f>'[1]MAY 2024'!C87</f>
        <v>0</v>
      </c>
      <c r="D2513" s="25">
        <f>'[1]MAY 2024'!D87</f>
        <v>655</v>
      </c>
      <c r="E2513" s="25">
        <f>'[1]MAY 2024'!E87</f>
        <v>0</v>
      </c>
      <c r="F2513" s="26">
        <f>'[1]MAY 2024'!F87</f>
        <v>0</v>
      </c>
      <c r="G2513" s="27"/>
      <c r="H2513" s="27"/>
    </row>
    <row r="2514" spans="1:8" x14ac:dyDescent="0.2">
      <c r="A2514" s="20">
        <f>'[1]MAY 2024'!A88</f>
        <v>45425</v>
      </c>
      <c r="B2514" s="12" t="str">
        <f>'[1]MAY 2024'!B88</f>
        <v>Andere</v>
      </c>
      <c r="C2514" s="25">
        <f>'[1]MAY 2024'!C88</f>
        <v>0</v>
      </c>
      <c r="D2514" s="25">
        <f>'[1]MAY 2024'!D88</f>
        <v>1000</v>
      </c>
      <c r="E2514" s="25">
        <f>'[1]MAY 2024'!E88</f>
        <v>0</v>
      </c>
      <c r="F2514" s="26">
        <f>'[1]MAY 2024'!F88</f>
        <v>0</v>
      </c>
      <c r="G2514" s="27"/>
      <c r="H2514" s="27"/>
    </row>
    <row r="2515" spans="1:8" x14ac:dyDescent="0.2">
      <c r="A2515" s="23">
        <f>'[1]MAY 2024'!A89</f>
        <v>45425</v>
      </c>
      <c r="B2515" s="12" t="str">
        <f>'[1]MAY 2024'!B89</f>
        <v>LM</v>
      </c>
      <c r="C2515" s="25">
        <f>'[1]MAY 2024'!C89</f>
        <v>0</v>
      </c>
      <c r="D2515" s="25">
        <f>'[1]MAY 2024'!D89</f>
        <v>517.96</v>
      </c>
      <c r="E2515" s="25">
        <f>'[1]MAY 2024'!E89</f>
        <v>0</v>
      </c>
      <c r="F2515" s="26">
        <f>'[1]MAY 2024'!F89</f>
        <v>0</v>
      </c>
      <c r="G2515" s="27"/>
      <c r="H2515" s="27"/>
    </row>
    <row r="2516" spans="1:8" x14ac:dyDescent="0.2">
      <c r="A2516" s="23">
        <f>'[1]MAY 2024'!A93</f>
        <v>45426</v>
      </c>
      <c r="B2516" s="12" t="str">
        <f>'[1]MAY 2024'!B93</f>
        <v>for me</v>
      </c>
      <c r="C2516" s="25">
        <f>'[1]MAY 2024'!C93</f>
        <v>0</v>
      </c>
      <c r="D2516" s="25">
        <f>'[1]MAY 2024'!D93</f>
        <v>7623</v>
      </c>
      <c r="E2516" s="25">
        <f>'[1]MAY 2024'!E93</f>
        <v>0</v>
      </c>
      <c r="F2516" s="26">
        <f>'[1]MAY 2024'!F93</f>
        <v>0</v>
      </c>
      <c r="G2516" s="27"/>
      <c r="H2516" s="27"/>
    </row>
    <row r="2517" spans="1:8" x14ac:dyDescent="0.2">
      <c r="A2517" s="20">
        <f>'[1]MAY 2024'!A100</f>
        <v>45427</v>
      </c>
      <c r="B2517" s="12" t="str">
        <f>'[1]MAY 2024'!B100</f>
        <v>LM</v>
      </c>
      <c r="C2517" s="25">
        <f>'[1]MAY 2024'!C100</f>
        <v>0</v>
      </c>
      <c r="D2517" s="25">
        <f>'[1]MAY 2024'!D100</f>
        <v>821.98</v>
      </c>
      <c r="E2517" s="25">
        <f>'[1]MAY 2024'!E100</f>
        <v>0</v>
      </c>
      <c r="F2517" s="26">
        <f>'[1]MAY 2024'!F100</f>
        <v>0</v>
      </c>
      <c r="G2517" s="27"/>
      <c r="H2517" s="27"/>
    </row>
    <row r="2518" spans="1:8" x14ac:dyDescent="0.2">
      <c r="A2518" s="23">
        <f>'[1]MAY 2024'!A107</f>
        <v>45428</v>
      </c>
      <c r="B2518" s="12" t="str">
        <f>'[1]MAY 2024'!B107</f>
        <v>LM</v>
      </c>
      <c r="C2518" s="25">
        <f>'[1]MAY 2024'!C107</f>
        <v>0</v>
      </c>
      <c r="D2518" s="25">
        <f>'[1]MAY 2024'!D107</f>
        <v>1561.95</v>
      </c>
      <c r="E2518" s="25">
        <f>'[1]MAY 2024'!E107</f>
        <v>0</v>
      </c>
      <c r="F2518" s="26">
        <f>'[1]MAY 2024'!F107</f>
        <v>0</v>
      </c>
      <c r="G2518" s="27"/>
      <c r="H2518" s="27"/>
    </row>
    <row r="2519" spans="1:8" x14ac:dyDescent="0.2">
      <c r="A2519" s="20">
        <f>'[1]MAY 2024'!A108</f>
        <v>45428</v>
      </c>
      <c r="B2519" s="12" t="str">
        <f>'[1]MAY 2024'!B108</f>
        <v>VM</v>
      </c>
      <c r="C2519" s="25">
        <f>'[1]MAY 2024'!C108</f>
        <v>0</v>
      </c>
      <c r="D2519" s="25">
        <f>'[1]MAY 2024'!D108</f>
        <v>122</v>
      </c>
      <c r="E2519" s="25">
        <f>'[1]MAY 2024'!E108</f>
        <v>0</v>
      </c>
      <c r="F2519" s="26">
        <f>'[1]MAY 2024'!F108</f>
        <v>0</v>
      </c>
      <c r="G2519" s="27"/>
      <c r="H2519" s="27"/>
    </row>
    <row r="2520" spans="1:8" x14ac:dyDescent="0.2">
      <c r="A2520" s="20">
        <f>'[1]MAY 2024'!A114</f>
        <v>45429</v>
      </c>
      <c r="B2520" s="12" t="str">
        <f>'[1]MAY 2024'!B114</f>
        <v>VM</v>
      </c>
      <c r="C2520" s="25">
        <f>'[1]MAY 2024'!C114</f>
        <v>0</v>
      </c>
      <c r="D2520" s="25">
        <f>'[1]MAY 2024'!D114</f>
        <v>12546</v>
      </c>
      <c r="E2520" s="25">
        <f>'[1]MAY 2024'!E114</f>
        <v>0</v>
      </c>
      <c r="F2520" s="26">
        <f>'[1]MAY 2024'!F114</f>
        <v>0</v>
      </c>
      <c r="G2520" s="27"/>
      <c r="H2520" s="27"/>
    </row>
    <row r="2521" spans="1:8" x14ac:dyDescent="0.2">
      <c r="A2521" s="23">
        <f>'[1]MAY 2024'!A115</f>
        <v>45429</v>
      </c>
      <c r="B2521" s="12" t="str">
        <f>'[1]MAY 2024'!B115</f>
        <v>LM</v>
      </c>
      <c r="C2521" s="25">
        <f>'[1]MAY 2024'!C115</f>
        <v>0</v>
      </c>
      <c r="D2521" s="25">
        <f>'[1]MAY 2024'!D115</f>
        <v>1938</v>
      </c>
      <c r="E2521" s="25">
        <f>'[1]MAY 2024'!E115</f>
        <v>0</v>
      </c>
      <c r="F2521" s="26">
        <f>'[1]MAY 2024'!F115</f>
        <v>0</v>
      </c>
      <c r="G2521" s="27"/>
      <c r="H2521" s="27"/>
    </row>
    <row r="2522" spans="1:8" x14ac:dyDescent="0.2">
      <c r="A2522" s="20">
        <f>'[1]MAY 2024'!A116</f>
        <v>45429</v>
      </c>
      <c r="B2522" s="12" t="str">
        <f>'[1]MAY 2024'!B116</f>
        <v>Andere</v>
      </c>
      <c r="C2522" s="25">
        <f>'[1]MAY 2024'!C116</f>
        <v>0</v>
      </c>
      <c r="D2522" s="25">
        <f>'[1]MAY 2024'!D116</f>
        <v>1349</v>
      </c>
      <c r="E2522" s="25">
        <f>'[1]MAY 2024'!E116</f>
        <v>0</v>
      </c>
      <c r="F2522" s="26">
        <f>'[1]MAY 2024'!F116</f>
        <v>0</v>
      </c>
      <c r="G2522" s="27"/>
      <c r="H2522" s="27"/>
    </row>
    <row r="2523" spans="1:8" x14ac:dyDescent="0.2">
      <c r="A2523" s="23">
        <f>'[1]MAY 2024'!A117</f>
        <v>45429</v>
      </c>
      <c r="B2523" s="12" t="str">
        <f>'[1]MAY 2024'!B117</f>
        <v>none</v>
      </c>
      <c r="C2523" s="25">
        <f>'[1]MAY 2024'!C117</f>
        <v>0</v>
      </c>
      <c r="D2523" s="25">
        <f>'[1]MAY 2024'!D117</f>
        <v>55000</v>
      </c>
      <c r="E2523" s="25">
        <f>'[1]MAY 2024'!E117</f>
        <v>55000</v>
      </c>
      <c r="F2523" s="26">
        <f>'[1]MAY 2024'!F117</f>
        <v>0</v>
      </c>
      <c r="G2523" s="27"/>
      <c r="H2523" s="27"/>
    </row>
    <row r="2524" spans="1:8" x14ac:dyDescent="0.2">
      <c r="A2524" s="20">
        <f>'[1]MAY 2024'!A118</f>
        <v>45429</v>
      </c>
      <c r="B2524" s="12" t="str">
        <f>'[1]MAY 2024'!B118</f>
        <v>rent</v>
      </c>
      <c r="C2524" s="25">
        <f>'[1]MAY 2024'!C118</f>
        <v>0</v>
      </c>
      <c r="D2524" s="25">
        <f>'[1]MAY 2024'!D118</f>
        <v>0</v>
      </c>
      <c r="E2524" s="25">
        <f>'[1]MAY 2024'!E118</f>
        <v>0</v>
      </c>
      <c r="F2524" s="26">
        <f>'[1]MAY 2024'!F118</f>
        <v>55138</v>
      </c>
      <c r="G2524" s="27"/>
      <c r="H2524" s="27"/>
    </row>
    <row r="2525" spans="1:8" x14ac:dyDescent="0.2">
      <c r="A2525" s="23">
        <f>'[1]MAY 2024'!A121</f>
        <v>45430</v>
      </c>
      <c r="B2525" s="12" t="str">
        <f>'[1]MAY 2024'!B121</f>
        <v>LM</v>
      </c>
      <c r="C2525" s="25">
        <f>'[1]MAY 2024'!C121</f>
        <v>0</v>
      </c>
      <c r="D2525" s="25">
        <f>'[1]MAY 2024'!D121</f>
        <v>3171.99</v>
      </c>
      <c r="E2525" s="25">
        <f>'[1]MAY 2024'!E121</f>
        <v>0</v>
      </c>
      <c r="F2525" s="26">
        <f>'[1]MAY 2024'!F121</f>
        <v>0</v>
      </c>
      <c r="G2525" s="27"/>
      <c r="H2525" s="27"/>
    </row>
    <row r="2526" spans="1:8" x14ac:dyDescent="0.2">
      <c r="A2526" s="20">
        <f>'[1]MAY 2024'!A122</f>
        <v>45430</v>
      </c>
      <c r="B2526" s="12" t="str">
        <f>'[1]MAY 2024'!B122</f>
        <v>VM</v>
      </c>
      <c r="C2526" s="25">
        <f>'[1]MAY 2024'!C122</f>
        <v>0</v>
      </c>
      <c r="D2526" s="25">
        <f>'[1]MAY 2024'!D122</f>
        <v>122</v>
      </c>
      <c r="E2526" s="25">
        <f>'[1]MAY 2024'!E122</f>
        <v>0</v>
      </c>
      <c r="F2526" s="26">
        <f>'[1]MAY 2024'!F122</f>
        <v>72</v>
      </c>
      <c r="G2526" s="27"/>
      <c r="H2526" s="27"/>
    </row>
    <row r="2527" spans="1:8" x14ac:dyDescent="0.2">
      <c r="A2527" s="20">
        <f>'[1]MAY 2024'!A128</f>
        <v>45431</v>
      </c>
      <c r="B2527" s="12" t="str">
        <f>'[1]MAY 2024'!B128</f>
        <v>Frauen</v>
      </c>
      <c r="C2527" s="25">
        <f>'[1]MAY 2024'!C128</f>
        <v>0</v>
      </c>
      <c r="D2527" s="25">
        <f>'[1]MAY 2024'!D128</f>
        <v>1458.6</v>
      </c>
      <c r="E2527" s="25">
        <f>'[1]MAY 2024'!E128</f>
        <v>0</v>
      </c>
      <c r="F2527" s="26">
        <f>'[1]MAY 2024'!F128</f>
        <v>0</v>
      </c>
      <c r="G2527" s="27"/>
      <c r="H2527" s="27"/>
    </row>
    <row r="2528" spans="1:8" x14ac:dyDescent="0.2">
      <c r="A2528" s="23">
        <f>'[1]MAY 2024'!A129</f>
        <v>45431</v>
      </c>
      <c r="B2528" s="12" t="str">
        <f>'[1]MAY 2024'!B129</f>
        <v>VM</v>
      </c>
      <c r="C2528" s="25">
        <f>'[1]MAY 2024'!C129</f>
        <v>0</v>
      </c>
      <c r="D2528" s="25">
        <f>'[1]MAY 2024'!D129</f>
        <v>1853</v>
      </c>
      <c r="E2528" s="25">
        <f>'[1]MAY 2024'!E129</f>
        <v>0</v>
      </c>
      <c r="F2528" s="26">
        <f>'[1]MAY 2024'!F129</f>
        <v>0</v>
      </c>
      <c r="G2528" s="27"/>
      <c r="H2528" s="27"/>
    </row>
    <row r="2529" spans="1:8" x14ac:dyDescent="0.2">
      <c r="A2529" s="20">
        <f>'[1]MAY 2024'!A130</f>
        <v>45431</v>
      </c>
      <c r="B2529" s="12" t="str">
        <f>'[1]MAY 2024'!B130</f>
        <v>LM</v>
      </c>
      <c r="C2529" s="25">
        <f>'[1]MAY 2024'!C130</f>
        <v>0</v>
      </c>
      <c r="D2529" s="25">
        <f>'[1]MAY 2024'!D130</f>
        <v>250</v>
      </c>
      <c r="E2529" s="25">
        <f>'[1]MAY 2024'!E130</f>
        <v>0</v>
      </c>
      <c r="F2529" s="26">
        <f>'[1]MAY 2024'!F130</f>
        <v>0</v>
      </c>
      <c r="G2529" s="27"/>
      <c r="H2529" s="27"/>
    </row>
    <row r="2530" spans="1:8" x14ac:dyDescent="0.2">
      <c r="A2530" s="23">
        <f>'[1]MAY 2024'!A135</f>
        <v>45432</v>
      </c>
      <c r="B2530" s="12" t="str">
        <f>'[1]MAY 2024'!B135</f>
        <v>VM</v>
      </c>
      <c r="C2530" s="25">
        <f>'[1]MAY 2024'!C135</f>
        <v>0</v>
      </c>
      <c r="D2530" s="25">
        <f>'[1]MAY 2024'!D135</f>
        <v>1590.7</v>
      </c>
      <c r="E2530" s="25">
        <f>'[1]MAY 2024'!E135</f>
        <v>0</v>
      </c>
      <c r="F2530" s="26">
        <f>'[1]MAY 2024'!F135</f>
        <v>0</v>
      </c>
      <c r="G2530" s="27"/>
      <c r="H2530" s="27"/>
    </row>
    <row r="2531" spans="1:8" x14ac:dyDescent="0.2">
      <c r="A2531" s="20">
        <f>'[1]MAY 2024'!A136</f>
        <v>45432</v>
      </c>
      <c r="B2531" s="12" t="str">
        <f>'[1]MAY 2024'!B136</f>
        <v>VM</v>
      </c>
      <c r="C2531" s="25">
        <f>'[1]MAY 2024'!C136</f>
        <v>0</v>
      </c>
      <c r="D2531" s="25">
        <f>'[1]MAY 2024'!D136</f>
        <v>3894</v>
      </c>
      <c r="E2531" s="25">
        <f>'[1]MAY 2024'!E136</f>
        <v>0</v>
      </c>
      <c r="F2531" s="26">
        <f>'[1]MAY 2024'!F136</f>
        <v>0</v>
      </c>
      <c r="G2531" s="27"/>
      <c r="H2531" s="27"/>
    </row>
    <row r="2532" spans="1:8" x14ac:dyDescent="0.2">
      <c r="A2532" s="20">
        <f>'[1]MAY 2024'!A142</f>
        <v>45433</v>
      </c>
      <c r="B2532" s="12" t="str">
        <f>'[1]MAY 2024'!B142</f>
        <v>VM</v>
      </c>
      <c r="C2532" s="25">
        <f>'[1]MAY 2024'!C142</f>
        <v>0</v>
      </c>
      <c r="D2532" s="25">
        <f>'[1]MAY 2024'!D142</f>
        <v>313.48</v>
      </c>
      <c r="E2532" s="25">
        <f>'[1]MAY 2024'!E142</f>
        <v>0</v>
      </c>
      <c r="F2532" s="26">
        <f>'[1]MAY 2024'!F142</f>
        <v>0</v>
      </c>
      <c r="G2532" s="27"/>
      <c r="H2532" s="27"/>
    </row>
    <row r="2533" spans="1:8" x14ac:dyDescent="0.2">
      <c r="A2533" s="23">
        <f>'[1]MAY 2024'!A149</f>
        <v>45434</v>
      </c>
      <c r="B2533" s="12" t="str">
        <f>'[1]MAY 2024'!B149</f>
        <v>Andere</v>
      </c>
      <c r="C2533" s="25">
        <f>'[1]MAY 2024'!C149</f>
        <v>0</v>
      </c>
      <c r="D2533" s="25">
        <f>'[1]MAY 2024'!D149</f>
        <v>770</v>
      </c>
      <c r="E2533" s="25">
        <f>'[1]MAY 2024'!E149</f>
        <v>0</v>
      </c>
      <c r="F2533" s="26">
        <f>'[1]MAY 2024'!F149</f>
        <v>100</v>
      </c>
      <c r="G2533" s="27"/>
      <c r="H2533" s="27"/>
    </row>
    <row r="2534" spans="1:8" x14ac:dyDescent="0.2">
      <c r="A2534" s="20">
        <f>'[1]MAY 2024'!A150</f>
        <v>45434</v>
      </c>
      <c r="B2534" s="12" t="str">
        <f>'[1]MAY 2024'!B150</f>
        <v>VM</v>
      </c>
      <c r="C2534" s="25">
        <f>'[1]MAY 2024'!C150</f>
        <v>0</v>
      </c>
      <c r="D2534" s="25">
        <f>'[1]MAY 2024'!D150</f>
        <v>0</v>
      </c>
      <c r="E2534" s="25">
        <f>'[1]MAY 2024'!E150</f>
        <v>0</v>
      </c>
      <c r="F2534" s="26">
        <f>'[1]MAY 2024'!F150</f>
        <v>76</v>
      </c>
      <c r="G2534" s="27"/>
      <c r="H2534" s="27"/>
    </row>
    <row r="2535" spans="1:8" x14ac:dyDescent="0.2">
      <c r="A2535" s="20">
        <f>'[1]MAY 2024'!A156</f>
        <v>45435</v>
      </c>
      <c r="B2535" s="12" t="str">
        <f>'[1]MAY 2024'!B156</f>
        <v>Andere</v>
      </c>
      <c r="C2535" s="25">
        <f>'[1]MAY 2024'!C156</f>
        <v>0</v>
      </c>
      <c r="D2535" s="25">
        <f>'[1]MAY 2024'!D156</f>
        <v>20883.48</v>
      </c>
      <c r="E2535" s="25">
        <f>'[1]MAY 2024'!E156</f>
        <v>0</v>
      </c>
      <c r="F2535" s="26">
        <f>'[1]MAY 2024'!F156</f>
        <v>0</v>
      </c>
      <c r="G2535" s="27"/>
      <c r="H2535" s="27"/>
    </row>
    <row r="2536" spans="1:8" x14ac:dyDescent="0.2">
      <c r="A2536" s="23">
        <f>'[1]MAY 2024'!A163</f>
        <v>45436</v>
      </c>
      <c r="B2536" s="12" t="str">
        <f>'[1]MAY 2024'!B163</f>
        <v>Andere</v>
      </c>
      <c r="C2536" s="25">
        <f>'[1]MAY 2024'!C163</f>
        <v>0</v>
      </c>
      <c r="D2536" s="25">
        <f>'[1]MAY 2024'!D163</f>
        <v>1100</v>
      </c>
      <c r="E2536" s="25">
        <f>'[1]MAY 2024'!E163</f>
        <v>0</v>
      </c>
      <c r="F2536" s="26">
        <f>'[1]MAY 2024'!F163</f>
        <v>0</v>
      </c>
      <c r="G2536" s="27"/>
      <c r="H2536" s="27"/>
    </row>
    <row r="2537" spans="1:8" x14ac:dyDescent="0.2">
      <c r="A2537" s="20">
        <f>'[1]MAY 2024'!A164</f>
        <v>45436</v>
      </c>
      <c r="B2537" s="12" t="str">
        <f>'[1]MAY 2024'!B164</f>
        <v>LM</v>
      </c>
      <c r="C2537" s="25">
        <f>'[1]MAY 2024'!C164</f>
        <v>0</v>
      </c>
      <c r="D2537" s="25">
        <f>'[1]MAY 2024'!D164</f>
        <v>812.92000000000007</v>
      </c>
      <c r="E2537" s="25">
        <f>'[1]MAY 2024'!E164</f>
        <v>0</v>
      </c>
      <c r="F2537" s="26">
        <f>'[1]MAY 2024'!F164</f>
        <v>0</v>
      </c>
      <c r="G2537" s="27"/>
      <c r="H2537" s="27"/>
    </row>
    <row r="2538" spans="1:8" x14ac:dyDescent="0.2">
      <c r="A2538" s="23">
        <f>'[1]MAY 2024'!A165</f>
        <v>45436</v>
      </c>
      <c r="B2538" s="12" t="str">
        <f>'[1]MAY 2024'!B165</f>
        <v>Refill</v>
      </c>
      <c r="C2538" s="25">
        <f>'[1]MAY 2024'!C165</f>
        <v>30211</v>
      </c>
      <c r="D2538" s="25">
        <f>'[1]MAY 2024'!D165</f>
        <v>0</v>
      </c>
      <c r="E2538" s="25">
        <f>'[1]MAY 2024'!E165</f>
        <v>0</v>
      </c>
      <c r="F2538" s="26">
        <f>'[1]MAY 2024'!F165</f>
        <v>0</v>
      </c>
      <c r="G2538" s="27"/>
      <c r="H2538" s="27"/>
    </row>
    <row r="2539" spans="1:8" x14ac:dyDescent="0.2">
      <c r="A2539" s="20">
        <f>'[1]MAY 2024'!A170</f>
        <v>45437</v>
      </c>
      <c r="B2539" s="12" t="str">
        <f>'[1]MAY 2024'!B170</f>
        <v>LM</v>
      </c>
      <c r="C2539" s="25">
        <f>'[1]MAY 2024'!C170</f>
        <v>0</v>
      </c>
      <c r="D2539" s="25">
        <f>'[1]MAY 2024'!D170</f>
        <v>2260</v>
      </c>
      <c r="E2539" s="25">
        <f>'[1]MAY 2024'!E170</f>
        <v>0</v>
      </c>
      <c r="F2539" s="26">
        <f>'[1]MAY 2024'!F170</f>
        <v>0</v>
      </c>
      <c r="G2539" s="27"/>
      <c r="H2539" s="27"/>
    </row>
    <row r="2540" spans="1:8" x14ac:dyDescent="0.2">
      <c r="A2540" s="23">
        <f>'[1]MAY 2024'!A171</f>
        <v>45437</v>
      </c>
      <c r="B2540" s="12" t="str">
        <f>'[1]MAY 2024'!B171</f>
        <v>VM</v>
      </c>
      <c r="C2540" s="25">
        <f>'[1]MAY 2024'!C171</f>
        <v>0</v>
      </c>
      <c r="D2540" s="25">
        <f>'[1]MAY 2024'!D171</f>
        <v>550</v>
      </c>
      <c r="E2540" s="25">
        <f>'[1]MAY 2024'!E171</f>
        <v>0</v>
      </c>
      <c r="F2540" s="26">
        <f>'[1]MAY 2024'!F171</f>
        <v>157.88</v>
      </c>
      <c r="G2540" s="27"/>
      <c r="H2540" s="27"/>
    </row>
    <row r="2541" spans="1:8" x14ac:dyDescent="0.2">
      <c r="A2541" s="20">
        <f>'[1]MAY 2024'!A172</f>
        <v>45437</v>
      </c>
      <c r="B2541" s="12" t="str">
        <f>'[1]MAY 2024'!B172</f>
        <v>Kleidung</v>
      </c>
      <c r="C2541" s="25">
        <f>'[1]MAY 2024'!C172</f>
        <v>0</v>
      </c>
      <c r="D2541" s="25">
        <f>'[1]MAY 2024'!D172</f>
        <v>3443</v>
      </c>
      <c r="E2541" s="25">
        <f>'[1]MAY 2024'!E172</f>
        <v>0</v>
      </c>
      <c r="F2541" s="26">
        <f>'[1]MAY 2024'!F172</f>
        <v>0</v>
      </c>
      <c r="G2541" s="27"/>
      <c r="H2541" s="27"/>
    </row>
    <row r="2542" spans="1:8" x14ac:dyDescent="0.2">
      <c r="A2542" s="23">
        <f>'[1]MAY 2024'!A177</f>
        <v>45438</v>
      </c>
      <c r="B2542" s="12" t="str">
        <f>'[1]MAY 2024'!B177</f>
        <v>LM</v>
      </c>
      <c r="C2542" s="25">
        <f>'[1]MAY 2024'!C177</f>
        <v>0</v>
      </c>
      <c r="D2542" s="25">
        <f>'[1]MAY 2024'!D177</f>
        <v>3731.96</v>
      </c>
      <c r="E2542" s="25">
        <f>'[1]MAY 2024'!E177</f>
        <v>0</v>
      </c>
      <c r="F2542" s="26">
        <f>'[1]MAY 2024'!F177</f>
        <v>0</v>
      </c>
      <c r="G2542" s="27"/>
      <c r="H2542" s="27"/>
    </row>
    <row r="2543" spans="1:8" x14ac:dyDescent="0.2">
      <c r="A2543" s="20">
        <f>'[1]MAY 2024'!A178</f>
        <v>45438</v>
      </c>
      <c r="B2543" s="12" t="str">
        <f>'[1]MAY 2024'!B178</f>
        <v>Andere</v>
      </c>
      <c r="C2543" s="25">
        <f>'[1]MAY 2024'!C178</f>
        <v>0</v>
      </c>
      <c r="D2543" s="25">
        <f>'[1]MAY 2024'!D178</f>
        <v>2030</v>
      </c>
      <c r="E2543" s="25">
        <f>'[1]MAY 2024'!E178</f>
        <v>0</v>
      </c>
      <c r="F2543" s="26">
        <f>'[1]MAY 2024'!F178</f>
        <v>0</v>
      </c>
      <c r="G2543" s="27"/>
      <c r="H2543" s="27"/>
    </row>
    <row r="2544" spans="1:8" x14ac:dyDescent="0.2">
      <c r="A2544" s="20">
        <f>'[1]MAY 2024'!A184</f>
        <v>45439</v>
      </c>
      <c r="B2544" s="12" t="str">
        <f>'[1]MAY 2024'!B184</f>
        <v>LM</v>
      </c>
      <c r="C2544" s="25">
        <f>'[1]MAY 2024'!C184</f>
        <v>0</v>
      </c>
      <c r="D2544" s="25">
        <f>'[1]MAY 2024'!D184</f>
        <v>3123</v>
      </c>
      <c r="E2544" s="25">
        <f>'[1]MAY 2024'!E184</f>
        <v>0</v>
      </c>
      <c r="F2544" s="26">
        <f>'[1]MAY 2024'!F184</f>
        <v>0</v>
      </c>
      <c r="G2544" s="27"/>
      <c r="H2544" s="27"/>
    </row>
    <row r="2545" spans="1:8" x14ac:dyDescent="0.2">
      <c r="A2545" s="23">
        <f>'[1]MAY 2024'!A185</f>
        <v>45439</v>
      </c>
      <c r="B2545" s="12" t="str">
        <f>'[1]MAY 2024'!B185</f>
        <v>Andere</v>
      </c>
      <c r="C2545" s="25">
        <f>'[1]MAY 2024'!C185</f>
        <v>0</v>
      </c>
      <c r="D2545" s="25">
        <f>'[1]MAY 2024'!D185</f>
        <v>299</v>
      </c>
      <c r="E2545" s="25">
        <f>'[1]MAY 2024'!E185</f>
        <v>0</v>
      </c>
      <c r="F2545" s="26">
        <f>'[1]MAY 2024'!F185</f>
        <v>0</v>
      </c>
      <c r="G2545" s="27"/>
      <c r="H2545" s="27"/>
    </row>
    <row r="2546" spans="1:8" x14ac:dyDescent="0.2">
      <c r="A2546" s="23">
        <f>'[1]MAY 2024'!A191</f>
        <v>45440</v>
      </c>
      <c r="B2546" s="12" t="str">
        <f>'[1]MAY 2024'!B191</f>
        <v>VM</v>
      </c>
      <c r="C2546" s="25">
        <f>'[1]MAY 2024'!C191</f>
        <v>0</v>
      </c>
      <c r="D2546" s="25">
        <f>'[1]MAY 2024'!D191</f>
        <v>1053</v>
      </c>
      <c r="E2546" s="25">
        <f>'[1]MAY 2024'!E191</f>
        <v>0</v>
      </c>
      <c r="F2546" s="26">
        <f>'[1]MAY 2024'!F191</f>
        <v>65.98</v>
      </c>
      <c r="G2546" s="27"/>
      <c r="H2546" s="27"/>
    </row>
    <row r="2547" spans="1:8" x14ac:dyDescent="0.2">
      <c r="A2547" s="20">
        <f>'[1]MAY 2024'!A192</f>
        <v>45440</v>
      </c>
      <c r="B2547" s="12" t="str">
        <f>'[1]MAY 2024'!B192</f>
        <v>LM</v>
      </c>
      <c r="C2547" s="25">
        <f>'[1]MAY 2024'!C192</f>
        <v>0</v>
      </c>
      <c r="D2547" s="25">
        <f>'[1]MAY 2024'!D192</f>
        <v>6789.8</v>
      </c>
      <c r="E2547" s="25">
        <f>'[1]MAY 2024'!E192</f>
        <v>0</v>
      </c>
      <c r="F2547" s="26">
        <f>'[1]MAY 2024'!F192</f>
        <v>0</v>
      </c>
      <c r="G2547" s="27"/>
      <c r="H2547" s="27"/>
    </row>
    <row r="2548" spans="1:8" x14ac:dyDescent="0.2">
      <c r="A2548" s="20">
        <f>'[1]MAY 2024'!A198</f>
        <v>45441</v>
      </c>
      <c r="B2548" s="12" t="str">
        <f>'[1]MAY 2024'!B198</f>
        <v>VM</v>
      </c>
      <c r="C2548" s="25">
        <f>'[1]MAY 2024'!C198</f>
        <v>0</v>
      </c>
      <c r="D2548" s="25">
        <f>'[1]MAY 2024'!D198</f>
        <v>876</v>
      </c>
      <c r="E2548" s="25">
        <f>'[1]MAY 2024'!E198</f>
        <v>0</v>
      </c>
      <c r="F2548" s="26">
        <f>'[1]MAY 2024'!F198</f>
        <v>174</v>
      </c>
      <c r="G2548" s="27"/>
      <c r="H2548" s="27"/>
    </row>
    <row r="2549" spans="1:8" x14ac:dyDescent="0.2">
      <c r="A2549" s="23">
        <f>'[1]MAY 2024'!A199</f>
        <v>45441</v>
      </c>
      <c r="B2549" s="12" t="str">
        <f>'[1]MAY 2024'!B199</f>
        <v>Andere</v>
      </c>
      <c r="C2549" s="25">
        <f>'[1]MAY 2024'!C199</f>
        <v>0</v>
      </c>
      <c r="D2549" s="25">
        <f>'[1]MAY 2024'!D199</f>
        <v>215</v>
      </c>
      <c r="E2549" s="25">
        <f>'[1]MAY 2024'!E199</f>
        <v>0</v>
      </c>
      <c r="F2549" s="26">
        <f>'[1]MAY 2024'!F199</f>
        <v>0</v>
      </c>
      <c r="G2549" s="27"/>
      <c r="H2549" s="27"/>
    </row>
    <row r="2550" spans="1:8" x14ac:dyDescent="0.2">
      <c r="A2550" s="20">
        <f>'[1]MAY 2024'!A200</f>
        <v>45441</v>
      </c>
      <c r="B2550" s="12" t="str">
        <f>'[1]MAY 2024'!B200</f>
        <v>LM</v>
      </c>
      <c r="C2550" s="25">
        <f>'[1]MAY 2024'!C200</f>
        <v>0</v>
      </c>
      <c r="D2550" s="25">
        <f>'[1]MAY 2024'!D200</f>
        <v>949</v>
      </c>
      <c r="E2550" s="25">
        <f>'[1]MAY 2024'!E200</f>
        <v>0</v>
      </c>
      <c r="F2550" s="26">
        <f>'[1]MAY 2024'!F200</f>
        <v>0</v>
      </c>
      <c r="G2550" s="27"/>
      <c r="H2550" s="27"/>
    </row>
    <row r="2551" spans="1:8" x14ac:dyDescent="0.2">
      <c r="A2551" s="23">
        <f>'[1]MAY 2024'!A201</f>
        <v>45441</v>
      </c>
      <c r="B2551" s="12" t="str">
        <f>'[1]MAY 2024'!B201</f>
        <v>for me</v>
      </c>
      <c r="C2551" s="25">
        <f>'[1]MAY 2024'!C201</f>
        <v>0</v>
      </c>
      <c r="D2551" s="25">
        <f>'[1]MAY 2024'!D201</f>
        <v>900</v>
      </c>
      <c r="E2551" s="25">
        <f>'[1]MAY 2024'!E201</f>
        <v>0</v>
      </c>
      <c r="F2551" s="26">
        <f>'[1]MAY 2024'!F201</f>
        <v>0</v>
      </c>
      <c r="G2551" s="27"/>
      <c r="H2551" s="27"/>
    </row>
    <row r="2552" spans="1:8" x14ac:dyDescent="0.2">
      <c r="A2552" s="23">
        <f>'[1]MAY 2024'!A205</f>
        <v>45442</v>
      </c>
      <c r="B2552" s="12" t="str">
        <f>'[1]MAY 2024'!B205</f>
        <v>Andere</v>
      </c>
      <c r="C2552" s="25">
        <f>'[1]MAY 2024'!C205</f>
        <v>0</v>
      </c>
      <c r="D2552" s="25">
        <f>'[1]MAY 2024'!D205</f>
        <v>3000</v>
      </c>
      <c r="E2552" s="25">
        <f>'[1]MAY 2024'!E205</f>
        <v>0</v>
      </c>
      <c r="F2552" s="26">
        <f>'[1]MAY 2024'!F205</f>
        <v>0</v>
      </c>
      <c r="G2552" s="27"/>
      <c r="H2552" s="27"/>
    </row>
    <row r="2553" spans="1:8" x14ac:dyDescent="0.2">
      <c r="A2553" s="20">
        <f>'[1]MAY 2024'!A206</f>
        <v>45442</v>
      </c>
      <c r="B2553" s="12" t="str">
        <f>'[1]MAY 2024'!B206</f>
        <v>Andere</v>
      </c>
      <c r="C2553" s="25">
        <f>'[1]MAY 2024'!C206</f>
        <v>0</v>
      </c>
      <c r="D2553" s="25">
        <f>'[1]MAY 2024'!D206</f>
        <v>0</v>
      </c>
      <c r="E2553" s="25">
        <f>'[1]MAY 2024'!E206</f>
        <v>0</v>
      </c>
      <c r="F2553" s="26">
        <f>'[1]MAY 2024'!F206</f>
        <v>0</v>
      </c>
      <c r="G2553" s="27"/>
      <c r="H2553" s="27"/>
    </row>
    <row r="2554" spans="1:8" x14ac:dyDescent="0.2">
      <c r="A2554" s="23">
        <f>'[1]MAY 2024'!A207</f>
        <v>45442</v>
      </c>
      <c r="B2554" s="12" t="str">
        <f>'[1]MAY 2024'!B207</f>
        <v>LM</v>
      </c>
      <c r="C2554" s="25">
        <f>'[1]MAY 2024'!C207</f>
        <v>0</v>
      </c>
      <c r="D2554" s="25">
        <f>'[1]MAY 2024'!D207</f>
        <v>1529</v>
      </c>
      <c r="E2554" s="25">
        <f>'[1]MAY 2024'!E207</f>
        <v>0</v>
      </c>
      <c r="F2554" s="26">
        <f>'[1]MAY 2024'!F207</f>
        <v>0</v>
      </c>
      <c r="G2554" s="27"/>
      <c r="H2554" s="27"/>
    </row>
    <row r="2555" spans="1:8" x14ac:dyDescent="0.2">
      <c r="A2555" s="20">
        <f>'[1]MAY 2024'!A208</f>
        <v>45442</v>
      </c>
      <c r="B2555" s="12" t="str">
        <f>'[1]MAY 2024'!B208</f>
        <v>Kleidung</v>
      </c>
      <c r="C2555" s="25">
        <f>'[1]MAY 2024'!C208</f>
        <v>0</v>
      </c>
      <c r="D2555" s="25">
        <f>'[1]MAY 2024'!D208</f>
        <v>1799</v>
      </c>
      <c r="E2555" s="25">
        <f>'[1]MAY 2024'!E208</f>
        <v>0</v>
      </c>
      <c r="F2555" s="26">
        <f>'[1]MAY 2024'!F208</f>
        <v>0</v>
      </c>
      <c r="G2555" s="27"/>
      <c r="H2555" s="27"/>
    </row>
    <row r="2556" spans="1:8" x14ac:dyDescent="0.2">
      <c r="A2556" s="23">
        <f>'[1]MAY 2024'!A209</f>
        <v>45442</v>
      </c>
      <c r="B2556" s="12" t="str">
        <f>'[1]MAY 2024'!B209</f>
        <v>VM</v>
      </c>
      <c r="C2556" s="25">
        <f>'[1]MAY 2024'!C209</f>
        <v>0</v>
      </c>
      <c r="D2556" s="25">
        <f>'[1]MAY 2024'!D209</f>
        <v>0</v>
      </c>
      <c r="E2556" s="25">
        <f>'[1]MAY 2024'!E209</f>
        <v>0</v>
      </c>
      <c r="F2556" s="26">
        <f>'[1]MAY 2024'!F209</f>
        <v>72</v>
      </c>
      <c r="G2556" s="27"/>
      <c r="H2556" s="27"/>
    </row>
    <row r="2557" spans="1:8" x14ac:dyDescent="0.2">
      <c r="A2557" s="20">
        <f>'[1]MAY 2024'!A210</f>
        <v>45442</v>
      </c>
      <c r="B2557" s="12" t="str">
        <f>'[1]MAY 2024'!B210</f>
        <v>none</v>
      </c>
      <c r="C2557" s="25">
        <f>'[1]MAY 2024'!C210</f>
        <v>0</v>
      </c>
      <c r="D2557" s="25">
        <f>'[1]MAY 2024'!D210</f>
        <v>9131</v>
      </c>
      <c r="E2557" s="25">
        <f>'[1]MAY 2024'!E210</f>
        <v>2443</v>
      </c>
      <c r="F2557" s="26">
        <f>'[1]MAY 2024'!F210</f>
        <v>0</v>
      </c>
      <c r="G2557" s="27"/>
      <c r="H2557" s="27"/>
    </row>
    <row r="2558" spans="1:8" x14ac:dyDescent="0.2">
      <c r="A2558" s="20">
        <f>'[1]MAY 2024'!A212</f>
        <v>45443</v>
      </c>
      <c r="B2558" s="12" t="str">
        <f>'[1]MAY 2024'!B212</f>
        <v>VM</v>
      </c>
      <c r="C2558" s="25">
        <f>'[1]MAY 2024'!C212</f>
        <v>0</v>
      </c>
      <c r="D2558" s="25">
        <f>'[1]MAY 2024'!D212</f>
        <v>192</v>
      </c>
      <c r="E2558" s="25">
        <f>'[1]MAY 2024'!E212</f>
        <v>0</v>
      </c>
      <c r="F2558" s="26">
        <f>'[1]MAY 2024'!F212</f>
        <v>17</v>
      </c>
      <c r="G2558" s="27"/>
      <c r="H2558" s="27"/>
    </row>
    <row r="2559" spans="1:8" x14ac:dyDescent="0.2">
      <c r="A2559" s="23">
        <f>'[1]MAY 2024'!A213</f>
        <v>45443</v>
      </c>
      <c r="B2559" s="12" t="str">
        <f>'[1]MAY 2024'!B213</f>
        <v>LM</v>
      </c>
      <c r="C2559" s="25">
        <f>'[1]MAY 2024'!C213</f>
        <v>0</v>
      </c>
      <c r="D2559" s="25">
        <f>'[1]MAY 2024'!D213</f>
        <v>2760</v>
      </c>
      <c r="E2559" s="25">
        <f>'[1]MAY 2024'!E213</f>
        <v>0</v>
      </c>
      <c r="F2559" s="26">
        <f>'[1]MAY 2024'!F213</f>
        <v>0</v>
      </c>
      <c r="G2559" s="27"/>
      <c r="H2559" s="27"/>
    </row>
    <row r="2560" spans="1:8" x14ac:dyDescent="0.2">
      <c r="A2560" s="20">
        <f>'[1]MAY 2024'!A214</f>
        <v>45443</v>
      </c>
      <c r="B2560" s="12" t="str">
        <f>'[1]MAY 2024'!B214</f>
        <v>Andere</v>
      </c>
      <c r="C2560" s="25">
        <f>'[1]MAY 2024'!C214</f>
        <v>0</v>
      </c>
      <c r="D2560" s="25">
        <f>'[1]MAY 2024'!D214</f>
        <v>6690</v>
      </c>
      <c r="E2560" s="25">
        <f>'[1]MAY 2024'!E214</f>
        <v>0</v>
      </c>
      <c r="F2560" s="26">
        <f>'[1]MAY 2024'!F214</f>
        <v>0</v>
      </c>
      <c r="G2560" s="27"/>
      <c r="H2560" s="27"/>
    </row>
    <row r="2561" spans="1:8" x14ac:dyDescent="0.2">
      <c r="A2561" s="23">
        <f>'[1]MAY 2024'!A215</f>
        <v>45443</v>
      </c>
      <c r="B2561" s="12" t="str">
        <f>'[1]MAY 2024'!B215</f>
        <v>Refill</v>
      </c>
      <c r="C2561" s="25">
        <f>'[1]MAY 2024'!C215</f>
        <v>308704.41000000003</v>
      </c>
      <c r="D2561" s="25">
        <f>'[1]MAY 2024'!D215</f>
        <v>0</v>
      </c>
      <c r="E2561" s="25">
        <f>'[1]MAY 2024'!E215</f>
        <v>0</v>
      </c>
      <c r="F2561" s="26">
        <f>'[1]MAY 2024'!F215</f>
        <v>0</v>
      </c>
      <c r="G2561" s="27"/>
      <c r="H2561" s="27"/>
    </row>
    <row r="2562" spans="1:8" x14ac:dyDescent="0.2">
      <c r="A2562" s="20">
        <f>'[1]MAY 2024'!A216</f>
        <v>45443</v>
      </c>
      <c r="B2562" s="12" t="str">
        <f>'[1]MAY 2024'!B216</f>
        <v>none</v>
      </c>
      <c r="C2562" s="25">
        <f>'[1]MAY 2024'!C216</f>
        <v>0</v>
      </c>
      <c r="D2562" s="25">
        <f>'[1]MAY 2024'!D216</f>
        <v>2500</v>
      </c>
      <c r="E2562" s="25">
        <f>'[1]MAY 2024'!E216</f>
        <v>2500</v>
      </c>
      <c r="F2562" s="26">
        <f>'[1]MAY 2024'!F216</f>
        <v>0</v>
      </c>
      <c r="G2562" s="27"/>
      <c r="H2562" s="27"/>
    </row>
    <row r="2563" spans="1:8" x14ac:dyDescent="0.2">
      <c r="A2563" s="23">
        <f>'[1]JUN 2024'!A2</f>
        <v>45444</v>
      </c>
      <c r="B2563" s="12" t="str">
        <f>'[1]JUN 2024'!B2</f>
        <v>LM</v>
      </c>
      <c r="C2563" s="3">
        <f xml:space="preserve"> '[1]JUN 2024'!C2</f>
        <v>0</v>
      </c>
      <c r="D2563" s="3">
        <f>'[1]JUN 2024'!D2</f>
        <v>11211</v>
      </c>
      <c r="E2563" s="4">
        <f>'[1]JUN 2024'!E2</f>
        <v>0</v>
      </c>
      <c r="F2563" s="6">
        <f>'[1]JUN 2024'!F2</f>
        <v>0</v>
      </c>
      <c r="G2563" s="4"/>
      <c r="H2563" s="4"/>
    </row>
    <row r="2564" spans="1:8" x14ac:dyDescent="0.2">
      <c r="A2564" s="20">
        <f>'[1]JUN 2024'!A3</f>
        <v>45444</v>
      </c>
      <c r="B2564" s="12" t="str">
        <f>'[1]JUN 2024'!B3</f>
        <v>VM</v>
      </c>
      <c r="C2564" s="3">
        <f xml:space="preserve"> '[1]JUN 2024'!C3</f>
        <v>0</v>
      </c>
      <c r="D2564" s="3">
        <f>'[1]JUN 2024'!D3</f>
        <v>128</v>
      </c>
      <c r="E2564" s="4">
        <f>'[1]JUN 2024'!E3</f>
        <v>0</v>
      </c>
      <c r="F2564" s="6">
        <f>'[1]JUN 2024'!F3</f>
        <v>85</v>
      </c>
      <c r="G2564" s="4"/>
      <c r="H2564" s="4"/>
    </row>
    <row r="2565" spans="1:8" x14ac:dyDescent="0.2">
      <c r="A2565" s="23">
        <f>'[1]JUN 2024'!A4</f>
        <v>45444</v>
      </c>
      <c r="B2565" s="12" t="str">
        <f>'[1]JUN 2024'!B4</f>
        <v>Andere</v>
      </c>
      <c r="C2565" s="3">
        <f xml:space="preserve"> '[1]JUN 2024'!C4</f>
        <v>0</v>
      </c>
      <c r="D2565" s="3">
        <f>'[1]JUN 2024'!D4</f>
        <v>0</v>
      </c>
      <c r="E2565" s="4">
        <f>'[1]JUN 2024'!E4</f>
        <v>0</v>
      </c>
      <c r="F2565" s="6">
        <f>'[1]JUN 2024'!F4</f>
        <v>0</v>
      </c>
      <c r="G2565" s="4"/>
      <c r="H2565" s="4"/>
    </row>
    <row r="2566" spans="1:8" x14ac:dyDescent="0.2">
      <c r="A2566" s="20">
        <f>'[1]JUN 2024'!A5</f>
        <v>45444</v>
      </c>
      <c r="B2566" s="12" t="str">
        <f>'[1]JUN 2024'!B5</f>
        <v>for me</v>
      </c>
      <c r="C2566" s="3">
        <f xml:space="preserve"> '[1]JUN 2024'!C5</f>
        <v>0</v>
      </c>
      <c r="D2566" s="3">
        <f>'[1]JUN 2024'!D5</f>
        <v>0</v>
      </c>
      <c r="E2566" s="4">
        <f>'[1]JUN 2024'!E5</f>
        <v>0</v>
      </c>
      <c r="F2566" s="6">
        <f>'[1]JUN 2024'!F5</f>
        <v>0</v>
      </c>
      <c r="G2566" s="4"/>
      <c r="H2566" s="4"/>
    </row>
    <row r="2567" spans="1:8" x14ac:dyDescent="0.2">
      <c r="A2567" s="23">
        <f>'[1]JUN 2024'!A6</f>
        <v>45444</v>
      </c>
      <c r="B2567" s="12" t="str">
        <f>'[1]JUN 2024'!B6</f>
        <v>Party</v>
      </c>
      <c r="C2567" s="3">
        <f xml:space="preserve"> '[1]JUN 2024'!C6</f>
        <v>0</v>
      </c>
      <c r="D2567" s="3">
        <f>'[1]JUN 2024'!D6</f>
        <v>0</v>
      </c>
      <c r="E2567" s="4">
        <f>'[1]JUN 2024'!E6</f>
        <v>0</v>
      </c>
      <c r="F2567" s="6">
        <f>'[1]JUN 2024'!F6</f>
        <v>0</v>
      </c>
      <c r="G2567" s="4"/>
      <c r="H2567" s="4"/>
    </row>
    <row r="2568" spans="1:8" x14ac:dyDescent="0.2">
      <c r="A2568" s="20">
        <f>'[1]JUN 2024'!A7</f>
        <v>45444</v>
      </c>
      <c r="B2568" s="12" t="str">
        <f>'[1]JUN 2024'!B7</f>
        <v>Kleidung</v>
      </c>
      <c r="C2568" s="3">
        <f xml:space="preserve"> '[1]JUN 2024'!C7</f>
        <v>0</v>
      </c>
      <c r="D2568" s="3">
        <f>'[1]JUN 2024'!D7</f>
        <v>0</v>
      </c>
      <c r="E2568" s="4">
        <f>'[1]JUN 2024'!E7</f>
        <v>0</v>
      </c>
      <c r="F2568" s="6">
        <f>'[1]JUN 2024'!F7</f>
        <v>0</v>
      </c>
      <c r="G2568" s="4"/>
      <c r="H2568" s="4"/>
    </row>
    <row r="2569" spans="1:8" x14ac:dyDescent="0.2">
      <c r="A2569" s="20">
        <f>'[1]JUN 2024'!A9</f>
        <v>45445</v>
      </c>
      <c r="B2569" s="12" t="str">
        <f>'[1]JUN 2024'!B9</f>
        <v>LM</v>
      </c>
      <c r="C2569" s="3">
        <f xml:space="preserve"> '[1]JUN 2024'!C9</f>
        <v>0</v>
      </c>
      <c r="D2569" s="3">
        <f>'[1]JUN 2024'!D9</f>
        <v>806.99</v>
      </c>
      <c r="E2569" s="4">
        <f>'[1]JUN 2024'!E9</f>
        <v>0</v>
      </c>
      <c r="F2569" s="6">
        <f>'[1]JUN 2024'!F9</f>
        <v>0</v>
      </c>
      <c r="G2569" s="4"/>
      <c r="H2569" s="4"/>
    </row>
    <row r="2570" spans="1:8" x14ac:dyDescent="0.2">
      <c r="A2570" s="23">
        <f>'[1]JUN 2024'!A10</f>
        <v>45445</v>
      </c>
      <c r="B2570" s="12" t="str">
        <f>'[1]JUN 2024'!B10</f>
        <v>Rauchen</v>
      </c>
      <c r="C2570" s="3">
        <f xml:space="preserve"> '[1]JUN 2024'!C10</f>
        <v>0</v>
      </c>
      <c r="D2570" s="3">
        <f>'[1]JUN 2024'!D10</f>
        <v>1600</v>
      </c>
      <c r="E2570" s="4">
        <f>'[1]JUN 2024'!E10</f>
        <v>0</v>
      </c>
      <c r="F2570" s="6">
        <f>'[1]JUN 2024'!F10</f>
        <v>0</v>
      </c>
      <c r="G2570" s="4"/>
      <c r="H2570" s="4"/>
    </row>
    <row r="2571" spans="1:8" x14ac:dyDescent="0.2">
      <c r="A2571" s="20">
        <f>'[1]JUN 2024'!A11</f>
        <v>45445</v>
      </c>
      <c r="B2571" s="12" t="str">
        <f>'[1]JUN 2024'!B11</f>
        <v>VM</v>
      </c>
      <c r="C2571" s="3">
        <f xml:space="preserve"> '[1]JUN 2024'!C11</f>
        <v>0</v>
      </c>
      <c r="D2571" s="3">
        <f>'[1]JUN 2024'!D11</f>
        <v>0</v>
      </c>
      <c r="E2571" s="4">
        <f>'[1]JUN 2024'!E11</f>
        <v>0</v>
      </c>
      <c r="F2571" s="6">
        <f>'[1]JUN 2024'!F11</f>
        <v>9</v>
      </c>
      <c r="G2571" s="4"/>
      <c r="H2571" s="4"/>
    </row>
    <row r="2572" spans="1:8" x14ac:dyDescent="0.2">
      <c r="A2572" s="23">
        <f>'[1]JUN 2024'!A12</f>
        <v>45445</v>
      </c>
      <c r="B2572" s="12" t="str">
        <f>'[1]JUN 2024'!B12</f>
        <v>none</v>
      </c>
      <c r="C2572" s="3">
        <f xml:space="preserve"> '[1]JUN 2024'!C12</f>
        <v>0</v>
      </c>
      <c r="D2572" s="3">
        <f>'[1]JUN 2024'!D12</f>
        <v>0</v>
      </c>
      <c r="E2572" s="4">
        <f>'[1]JUN 2024'!E12</f>
        <v>700</v>
      </c>
      <c r="F2572" s="6">
        <f>'[1]JUN 2024'!F12</f>
        <v>0</v>
      </c>
      <c r="G2572" s="4"/>
      <c r="H2572" s="4"/>
    </row>
    <row r="2573" spans="1:8" x14ac:dyDescent="0.2">
      <c r="A2573" s="23">
        <f>'[1]JUN 2024'!A16</f>
        <v>45446</v>
      </c>
      <c r="B2573" s="12" t="str">
        <f>'[1]JUN 2024'!B16</f>
        <v>VM</v>
      </c>
      <c r="C2573" s="3">
        <f xml:space="preserve"> '[1]JUN 2024'!C16</f>
        <v>0</v>
      </c>
      <c r="D2573" s="3">
        <f>'[1]JUN 2024'!D16</f>
        <v>0</v>
      </c>
      <c r="E2573" s="4">
        <f>'[1]JUN 2024'!E16</f>
        <v>0</v>
      </c>
      <c r="F2573" s="6">
        <f>'[1]JUN 2024'!F16</f>
        <v>0</v>
      </c>
      <c r="G2573" s="4"/>
      <c r="H2573" s="4"/>
    </row>
    <row r="2574" spans="1:8" x14ac:dyDescent="0.2">
      <c r="A2574" s="20">
        <f>'[1]JUN 2024'!A17</f>
        <v>45446</v>
      </c>
      <c r="B2574" s="12" t="str">
        <f>'[1]JUN 2024'!B17</f>
        <v>LM</v>
      </c>
      <c r="C2574" s="3">
        <f xml:space="preserve"> '[1]JUN 2024'!C17</f>
        <v>0</v>
      </c>
      <c r="D2574" s="3">
        <f>'[1]JUN 2024'!D17</f>
        <v>775</v>
      </c>
      <c r="E2574" s="4">
        <f>'[1]JUN 2024'!E17</f>
        <v>0</v>
      </c>
      <c r="F2574" s="6">
        <f>'[1]JUN 2024'!F17</f>
        <v>0</v>
      </c>
      <c r="G2574" s="4"/>
      <c r="H2574" s="4"/>
    </row>
    <row r="2575" spans="1:8" x14ac:dyDescent="0.2">
      <c r="A2575" s="23">
        <f>'[1]JUN 2024'!A18</f>
        <v>45446</v>
      </c>
      <c r="B2575" s="12" t="str">
        <f>'[1]JUN 2024'!B18</f>
        <v>VM</v>
      </c>
      <c r="C2575" s="3">
        <f xml:space="preserve"> '[1]JUN 2024'!C18</f>
        <v>0</v>
      </c>
      <c r="D2575" s="3">
        <f>'[1]JUN 2024'!D18</f>
        <v>128</v>
      </c>
      <c r="E2575" s="4">
        <f>'[1]JUN 2024'!E18</f>
        <v>0</v>
      </c>
      <c r="F2575" s="6">
        <f>'[1]JUN 2024'!F18</f>
        <v>0</v>
      </c>
      <c r="G2575" s="4"/>
      <c r="H2575" s="4"/>
    </row>
    <row r="2576" spans="1:8" x14ac:dyDescent="0.2">
      <c r="A2576" s="20">
        <f>'[1]JUN 2024'!A23</f>
        <v>45447</v>
      </c>
      <c r="B2576" s="12" t="str">
        <f>'[1]JUN 2024'!B23</f>
        <v>Andere</v>
      </c>
      <c r="C2576" s="3">
        <f xml:space="preserve"> '[1]JUN 2024'!C23</f>
        <v>0</v>
      </c>
      <c r="D2576" s="3">
        <f>'[1]JUN 2024'!D23</f>
        <v>217.61999999999898</v>
      </c>
      <c r="E2576" s="4">
        <f>'[1]JUN 2024'!E23</f>
        <v>0</v>
      </c>
      <c r="F2576" s="6">
        <f>'[1]JUN 2024'!F23</f>
        <v>0</v>
      </c>
      <c r="G2576" s="4"/>
      <c r="H2576" s="4"/>
    </row>
    <row r="2577" spans="1:8" x14ac:dyDescent="0.2">
      <c r="A2577" s="20">
        <f>'[1]JUN 2024'!A45</f>
        <v>45450</v>
      </c>
      <c r="B2577" s="12" t="str">
        <f>'[1]JUN 2024'!B45</f>
        <v>Refill</v>
      </c>
      <c r="C2577" s="3">
        <f xml:space="preserve"> '[1]JUN 2024'!C45</f>
        <v>0</v>
      </c>
      <c r="D2577" s="3">
        <f>'[1]JUN 2024'!D45</f>
        <v>0</v>
      </c>
      <c r="E2577" s="4">
        <f>'[1]JUN 2024'!E45</f>
        <v>0</v>
      </c>
      <c r="F2577" s="6">
        <f>'[1]JUN 2024'!F45</f>
        <v>0</v>
      </c>
      <c r="G2577" s="4"/>
      <c r="H2577" s="4"/>
    </row>
    <row r="2578" spans="1:8" x14ac:dyDescent="0.2">
      <c r="A2578" s="20">
        <f>'[1]JUN 2024'!A51</f>
        <v>45451</v>
      </c>
      <c r="B2578" s="12" t="str">
        <f>'[1]JUN 2024'!B51</f>
        <v>LM</v>
      </c>
      <c r="C2578" s="3">
        <f xml:space="preserve"> '[1]JUN 2024'!C51</f>
        <v>0</v>
      </c>
      <c r="D2578" s="3">
        <f>'[1]JUN 2024'!D51</f>
        <v>13688.77</v>
      </c>
      <c r="E2578" s="4">
        <f>'[1]JUN 2024'!E51</f>
        <v>0</v>
      </c>
      <c r="F2578" s="6">
        <f>'[1]JUN 2024'!F51</f>
        <v>0</v>
      </c>
      <c r="G2578" s="4"/>
      <c r="H2578" s="4"/>
    </row>
    <row r="2579" spans="1:8" x14ac:dyDescent="0.2">
      <c r="A2579" s="20">
        <f>'[1]JUN 2024'!A79</f>
        <v>45455</v>
      </c>
      <c r="B2579" s="12" t="str">
        <f>'[1]JUN 2024'!B79</f>
        <v>Kleidung</v>
      </c>
      <c r="C2579" s="3">
        <f xml:space="preserve"> '[1]JUN 2024'!C79</f>
        <v>0</v>
      </c>
      <c r="D2579" s="3">
        <f>'[1]JUN 2024'!D79</f>
        <v>4506</v>
      </c>
      <c r="E2579" s="4">
        <f>'[1]JUN 2024'!E79</f>
        <v>0</v>
      </c>
      <c r="F2579" s="6">
        <f>'[1]JUN 2024'!F79</f>
        <v>0</v>
      </c>
      <c r="G2579" s="4"/>
      <c r="H2579" s="4"/>
    </row>
    <row r="2580" spans="1:8" x14ac:dyDescent="0.2">
      <c r="A2580" s="23">
        <f>'[1]JUN 2024'!A80</f>
        <v>45455</v>
      </c>
      <c r="B2580" s="12" t="str">
        <f>'[1]JUN 2024'!B80</f>
        <v>Andere</v>
      </c>
      <c r="C2580" s="3">
        <f xml:space="preserve"> '[1]JUN 2024'!C80</f>
        <v>0</v>
      </c>
      <c r="D2580" s="3">
        <f>'[1]JUN 2024'!D80</f>
        <v>100</v>
      </c>
      <c r="E2580" s="4">
        <f>'[1]JUN 2024'!E80</f>
        <v>0</v>
      </c>
      <c r="F2580" s="6">
        <f>'[1]JUN 2024'!F80</f>
        <v>0</v>
      </c>
      <c r="G2580" s="4"/>
      <c r="H2580" s="4"/>
    </row>
    <row r="2581" spans="1:8" x14ac:dyDescent="0.2">
      <c r="A2581" s="20">
        <f>'[1]JUN 2024'!A93</f>
        <v>45457</v>
      </c>
      <c r="B2581" s="12" t="str">
        <f>'[1]JUN 2024'!B93</f>
        <v>Kleidung</v>
      </c>
      <c r="C2581" s="3">
        <f xml:space="preserve"> '[1]JUN 2024'!C93</f>
        <v>0</v>
      </c>
      <c r="D2581" s="3">
        <f>'[1]JUN 2024'!D93</f>
        <v>7038</v>
      </c>
      <c r="E2581" s="4">
        <f>'[1]JUN 2024'!E93</f>
        <v>0</v>
      </c>
      <c r="F2581" s="6">
        <f>'[1]JUN 2024'!F93</f>
        <v>0</v>
      </c>
      <c r="G2581" s="4"/>
      <c r="H2581" s="4"/>
    </row>
    <row r="2582" spans="1:8" x14ac:dyDescent="0.2">
      <c r="A2582" s="23">
        <f>'[1]JUN 2024'!A94</f>
        <v>45457</v>
      </c>
      <c r="B2582" s="12" t="str">
        <f>'[1]JUN 2024'!B94</f>
        <v>Andere</v>
      </c>
      <c r="C2582" s="3">
        <f xml:space="preserve"> '[1]JUN 2024'!C94</f>
        <v>0</v>
      </c>
      <c r="D2582" s="3">
        <f>'[1]JUN 2024'!D94</f>
        <v>699</v>
      </c>
      <c r="E2582" s="4">
        <f>'[1]JUN 2024'!E94</f>
        <v>0</v>
      </c>
      <c r="F2582" s="6">
        <f>'[1]JUN 2024'!F94</f>
        <v>0</v>
      </c>
      <c r="G2582" s="4"/>
      <c r="H2582" s="4"/>
    </row>
    <row r="2583" spans="1:8" x14ac:dyDescent="0.2">
      <c r="A2583" s="23">
        <f>'[1]JUN 2024'!A114</f>
        <v>45460</v>
      </c>
      <c r="B2583" s="12" t="str">
        <f>'[1]JUN 2024'!B114</f>
        <v>none</v>
      </c>
      <c r="C2583" s="3">
        <f xml:space="preserve"> '[1]JUN 2024'!C114</f>
        <v>0</v>
      </c>
      <c r="D2583" s="3">
        <f>'[1]JUN 2024'!D114</f>
        <v>55000</v>
      </c>
      <c r="E2583" s="4">
        <f>'[1]JUN 2024'!E114</f>
        <v>55000</v>
      </c>
      <c r="F2583" s="6">
        <f>'[1]JUN 2024'!F114</f>
        <v>0</v>
      </c>
      <c r="G2583" s="4"/>
      <c r="H2583" s="4"/>
    </row>
    <row r="2584" spans="1:8" x14ac:dyDescent="0.2">
      <c r="A2584" s="20">
        <f>'[1]JUN 2024'!A115</f>
        <v>45460</v>
      </c>
      <c r="B2584" s="12" t="str">
        <f>'[1]JUN 2024'!B115</f>
        <v>rent</v>
      </c>
      <c r="C2584" s="3">
        <f xml:space="preserve"> '[1]JUN 2024'!C115</f>
        <v>0</v>
      </c>
      <c r="D2584" s="3">
        <f>'[1]JUN 2024'!D115</f>
        <v>0</v>
      </c>
      <c r="E2584" s="4">
        <f>'[1]JUN 2024'!E115</f>
        <v>0</v>
      </c>
      <c r="F2584" s="6">
        <f>'[1]JUN 2024'!F115</f>
        <v>55050</v>
      </c>
      <c r="G2584" s="4"/>
      <c r="H2584" s="4"/>
    </row>
    <row r="2585" spans="1:8" x14ac:dyDescent="0.2">
      <c r="A2585" s="23">
        <f>'[1]JUN 2024'!A128</f>
        <v>45462</v>
      </c>
      <c r="B2585" s="12" t="str">
        <f>'[1]JUN 2024'!B128</f>
        <v>Frauen</v>
      </c>
      <c r="C2585" s="3">
        <f xml:space="preserve"> '[1]JUN 2024'!C128</f>
        <v>0</v>
      </c>
      <c r="D2585" s="3">
        <f>'[1]JUN 2024'!D128</f>
        <v>500</v>
      </c>
      <c r="E2585" s="4">
        <f>'[1]JUN 2024'!E128</f>
        <v>0</v>
      </c>
      <c r="F2585" s="6">
        <f>'[1]JUN 2024'!F128</f>
        <v>0</v>
      </c>
      <c r="G2585" s="4"/>
      <c r="H2585" s="4"/>
    </row>
    <row r="2586" spans="1:8" x14ac:dyDescent="0.2">
      <c r="A2586" s="20">
        <f>'[1]JUN 2024'!A143</f>
        <v>45464</v>
      </c>
      <c r="B2586" s="12" t="str">
        <f>'[1]JUN 2024'!B143</f>
        <v>none</v>
      </c>
      <c r="C2586" s="3">
        <f xml:space="preserve"> '[1]JUN 2024'!C143</f>
        <v>0</v>
      </c>
      <c r="D2586" s="3">
        <f>'[1]JUN 2024'!D143</f>
        <v>21031</v>
      </c>
      <c r="E2586" s="4">
        <f>'[1]JUN 2024'!E143</f>
        <v>0</v>
      </c>
      <c r="F2586" s="6">
        <f>'[1]JUN 2024'!F143</f>
        <v>0</v>
      </c>
      <c r="G2586" s="4"/>
      <c r="H2586" s="4"/>
    </row>
    <row r="2587" spans="1:8" x14ac:dyDescent="0.2">
      <c r="A2587" s="23">
        <f>'[1]JUN 2024'!A156</f>
        <v>45466</v>
      </c>
      <c r="B2587" s="12" t="str">
        <f>'[1]JUN 2024'!B156</f>
        <v>LM</v>
      </c>
      <c r="C2587" s="3">
        <f xml:space="preserve"> '[1]JUN 2024'!C156</f>
        <v>0</v>
      </c>
      <c r="D2587" s="3">
        <f>'[1]JUN 2024'!D156</f>
        <v>11809.59</v>
      </c>
      <c r="E2587" s="4">
        <f>'[1]JUN 2024'!E156</f>
        <v>0</v>
      </c>
      <c r="F2587" s="6">
        <f>'[1]JUN 2024'!F156</f>
        <v>0</v>
      </c>
      <c r="G2587" s="4"/>
      <c r="H2587" s="4"/>
    </row>
    <row r="2588" spans="1:8" x14ac:dyDescent="0.2">
      <c r="A2588" s="20">
        <f>'[1]JUN 2024'!A157</f>
        <v>45466</v>
      </c>
      <c r="B2588" s="12" t="str">
        <f>'[1]JUN 2024'!B157</f>
        <v>Andere</v>
      </c>
      <c r="C2588" s="3">
        <f xml:space="preserve"> '[1]JUN 2024'!C157</f>
        <v>0</v>
      </c>
      <c r="D2588" s="3">
        <f>'[1]JUN 2024'!D157</f>
        <v>0</v>
      </c>
      <c r="E2588" s="4">
        <f>'[1]JUN 2024'!E157</f>
        <v>0</v>
      </c>
      <c r="F2588" s="6">
        <f>'[1]JUN 2024'!F157</f>
        <v>0</v>
      </c>
      <c r="G2588" s="4"/>
      <c r="H2588" s="4"/>
    </row>
    <row r="2589" spans="1:8" x14ac:dyDescent="0.2">
      <c r="A2589" s="23">
        <f>'[1]JUN 2024'!A170</f>
        <v>45468</v>
      </c>
      <c r="B2589" s="12" t="str">
        <f>'[1]JUN 2024'!B170</f>
        <v>Andere</v>
      </c>
      <c r="C2589" s="3">
        <f xml:space="preserve"> '[1]JUN 2024'!C170</f>
        <v>0</v>
      </c>
      <c r="D2589" s="3">
        <f>'[1]JUN 2024'!D170</f>
        <v>1</v>
      </c>
      <c r="E2589" s="4">
        <f>'[1]JUN 2024'!E170</f>
        <v>0</v>
      </c>
      <c r="F2589" s="6">
        <f>'[1]JUN 2024'!F170</f>
        <v>0</v>
      </c>
      <c r="G2589" s="4"/>
      <c r="H2589" s="4"/>
    </row>
    <row r="2590" spans="1:8" x14ac:dyDescent="0.2">
      <c r="A2590" s="20">
        <f>'[1]JUN 2024'!A177</f>
        <v>45469</v>
      </c>
      <c r="B2590" s="12" t="str">
        <f>'[1]JUN 2024'!B177</f>
        <v>Andere</v>
      </c>
      <c r="C2590" s="3">
        <f xml:space="preserve"> '[1]JUN 2024'!C177</f>
        <v>0</v>
      </c>
      <c r="D2590" s="3">
        <f>'[1]JUN 2024'!D177</f>
        <v>299</v>
      </c>
      <c r="E2590" s="4">
        <f>'[1]JUN 2024'!E177</f>
        <v>0</v>
      </c>
      <c r="F2590" s="6">
        <f>'[1]JUN 2024'!F177</f>
        <v>0</v>
      </c>
      <c r="G2590" s="4"/>
      <c r="H2590" s="4"/>
    </row>
    <row r="2591" spans="1:8" x14ac:dyDescent="0.2">
      <c r="A2591" s="23">
        <f>'[1]JUN 2024'!A184</f>
        <v>45470</v>
      </c>
      <c r="B2591" s="12" t="str">
        <f>'[1]JUN 2024'!B184</f>
        <v>Andere</v>
      </c>
      <c r="C2591" s="3">
        <f xml:space="preserve"> '[1]JUN 2024'!C184</f>
        <v>0</v>
      </c>
      <c r="D2591" s="3">
        <f>'[1]JUN 2024'!D184</f>
        <v>14.7</v>
      </c>
      <c r="E2591" s="4">
        <f>'[1]JUN 2024'!E184</f>
        <v>0</v>
      </c>
      <c r="F2591" s="6">
        <f>'[1]JUN 2024'!F184</f>
        <v>0</v>
      </c>
      <c r="G2591" s="4"/>
      <c r="H2591" s="4"/>
    </row>
    <row r="2592" spans="1:8" x14ac:dyDescent="0.2">
      <c r="A2592" s="20">
        <f>'[1]JUN 2024'!A205</f>
        <v>45473</v>
      </c>
      <c r="B2592" s="12" t="str">
        <f>'[1]JUN 2024'!B205</f>
        <v>Refill</v>
      </c>
      <c r="C2592" s="3">
        <f xml:space="preserve"> '[1]JUN 2024'!C205</f>
        <v>3327.05</v>
      </c>
      <c r="D2592" s="3">
        <f>'[1]JUN 2024'!D205</f>
        <v>0</v>
      </c>
      <c r="E2592" s="4">
        <f>'[1]JUN 2024'!E205</f>
        <v>0</v>
      </c>
      <c r="F2592" s="6">
        <f>'[1]JUN 2024'!F205</f>
        <v>0</v>
      </c>
      <c r="G2592" s="4"/>
      <c r="H2592" s="4"/>
    </row>
    <row r="2593" spans="1:8" x14ac:dyDescent="0.2">
      <c r="A2593" s="23">
        <f>'[1]JUL 2024'!A4</f>
        <v>45474</v>
      </c>
      <c r="B2593" s="12" t="str">
        <f>'[1]JUL 2024'!B4</f>
        <v>Andere</v>
      </c>
      <c r="C2593" s="3">
        <f>'[1]JUL 2024'!C4</f>
        <v>0</v>
      </c>
      <c r="D2593" s="3">
        <f>'[1]JUL 2024'!D4</f>
        <v>1000</v>
      </c>
      <c r="E2593" s="4">
        <f>'[1]JUL 2024'!E4</f>
        <v>0</v>
      </c>
      <c r="F2593" s="6">
        <f>'[1]JUL 2024'!F4</f>
        <v>0</v>
      </c>
      <c r="G2593" s="4">
        <f>'[1]JUL 2024'!G4</f>
        <v>0</v>
      </c>
      <c r="H2593" s="6">
        <f>'[1]JUL 2024'!H4</f>
        <v>0</v>
      </c>
    </row>
    <row r="2594" spans="1:8" x14ac:dyDescent="0.2">
      <c r="A2594" s="20">
        <f>'[1]JUL 2024'!A9</f>
        <v>45475</v>
      </c>
      <c r="B2594" s="12" t="str">
        <f>'[1]JUL 2024'!B9</f>
        <v>Andere</v>
      </c>
      <c r="C2594" s="3">
        <f>'[1]JUL 2024'!C9</f>
        <v>0</v>
      </c>
      <c r="D2594" s="3">
        <f>'[1]JUL 2024'!D9</f>
        <v>4000</v>
      </c>
      <c r="E2594" s="4">
        <f>'[1]JUL 2024'!E9</f>
        <v>0</v>
      </c>
      <c r="F2594" s="6">
        <f>'[1]JUL 2024'!F9</f>
        <v>0</v>
      </c>
      <c r="G2594" s="4">
        <f>'[1]JUL 2024'!G9</f>
        <v>0</v>
      </c>
      <c r="H2594" s="6">
        <f>'[1]JUL 2024'!H9</f>
        <v>0</v>
      </c>
    </row>
    <row r="2595" spans="1:8" x14ac:dyDescent="0.2">
      <c r="A2595" s="20">
        <f>'[1]JUL 2024'!A23</f>
        <v>45477</v>
      </c>
      <c r="B2595" s="12" t="str">
        <f>'[1]JUL 2024'!B23</f>
        <v>LM</v>
      </c>
      <c r="C2595" s="3">
        <f>'[1]JUL 2024'!C23</f>
        <v>0</v>
      </c>
      <c r="D2595" s="3">
        <f>'[1]JUL 2024'!D23</f>
        <v>10033.19</v>
      </c>
      <c r="E2595" s="4">
        <f>'[1]JUL 2024'!E23</f>
        <v>0</v>
      </c>
      <c r="F2595" s="6">
        <f>'[1]JUL 2024'!F23</f>
        <v>0</v>
      </c>
      <c r="G2595" s="4">
        <f>'[1]JUL 2024'!G23</f>
        <v>0</v>
      </c>
      <c r="H2595" s="6">
        <f>'[1]JUL 2024'!H23</f>
        <v>0</v>
      </c>
    </row>
    <row r="2596" spans="1:8" x14ac:dyDescent="0.2">
      <c r="A2596" s="20">
        <f>'[1]JUL 2024'!A37</f>
        <v>45479</v>
      </c>
      <c r="B2596" s="12" t="str">
        <f>'[1]JUL 2024'!B37</f>
        <v>Andere</v>
      </c>
      <c r="C2596" s="3">
        <f>'[1]JUL 2024'!C37</f>
        <v>0</v>
      </c>
      <c r="D2596" s="3">
        <f>'[1]JUL 2024'!D37</f>
        <v>6000</v>
      </c>
      <c r="E2596" s="4">
        <f>'[1]JUL 2024'!E37</f>
        <v>0</v>
      </c>
      <c r="F2596" s="6">
        <f>'[1]JUL 2024'!F37</f>
        <v>0</v>
      </c>
      <c r="G2596" s="4">
        <f>'[1]JUL 2024'!G37</f>
        <v>0</v>
      </c>
      <c r="H2596" s="6">
        <f>'[1]JUL 2024'!H37</f>
        <v>0</v>
      </c>
    </row>
    <row r="2597" spans="1:8" x14ac:dyDescent="0.2">
      <c r="A2597" s="23">
        <f>'[1]JUL 2024'!A38</f>
        <v>45479</v>
      </c>
      <c r="B2597" s="12" t="str">
        <f>'[1]JUL 2024'!B38</f>
        <v>none</v>
      </c>
      <c r="C2597" s="3">
        <f>'[1]JUL 2024'!C38</f>
        <v>0</v>
      </c>
      <c r="D2597" s="3">
        <f>'[1]JUL 2024'!D38</f>
        <v>0</v>
      </c>
      <c r="E2597" s="4">
        <f>'[1]JUL 2024'!E38</f>
        <v>1700</v>
      </c>
      <c r="F2597" s="6">
        <f>'[1]JUL 2024'!F38</f>
        <v>0</v>
      </c>
      <c r="G2597" s="4">
        <f>'[1]JUL 2024'!G38</f>
        <v>0</v>
      </c>
      <c r="H2597" s="6">
        <f>'[1]JUL 2024'!H38</f>
        <v>0</v>
      </c>
    </row>
    <row r="2598" spans="1:8" x14ac:dyDescent="0.2">
      <c r="A2598" s="23">
        <f>'[1]JUL 2024'!A58</f>
        <v>45482</v>
      </c>
      <c r="B2598" s="12" t="str">
        <f>'[1]JUL 2024'!B58</f>
        <v>VM</v>
      </c>
      <c r="C2598" s="3">
        <f>'[1]JUL 2024'!C58</f>
        <v>0</v>
      </c>
      <c r="D2598" s="3">
        <f>'[1]JUL 2024'!D58</f>
        <v>5000</v>
      </c>
      <c r="E2598" s="4">
        <f>'[1]JUL 2024'!E58</f>
        <v>0</v>
      </c>
      <c r="F2598" s="6">
        <f>'[1]JUL 2024'!F58</f>
        <v>0</v>
      </c>
      <c r="G2598" s="4">
        <f>'[1]JUL 2024'!G58</f>
        <v>0</v>
      </c>
      <c r="H2598" s="6">
        <f>'[1]JUL 2024'!H58</f>
        <v>0</v>
      </c>
    </row>
    <row r="2599" spans="1:8" x14ac:dyDescent="0.2">
      <c r="A2599" s="20">
        <f>'[1]JUL 2024'!A59</f>
        <v>45482</v>
      </c>
      <c r="B2599" s="12" t="str">
        <f>'[1]JUL 2024'!B59</f>
        <v>LM</v>
      </c>
      <c r="C2599" s="3">
        <f>'[1]JUL 2024'!C59</f>
        <v>0</v>
      </c>
      <c r="D2599" s="3">
        <f>'[1]JUL 2024'!D59</f>
        <v>1187.97</v>
      </c>
      <c r="E2599" s="4">
        <f>'[1]JUL 2024'!E59</f>
        <v>0</v>
      </c>
      <c r="F2599" s="6">
        <f>'[1]JUL 2024'!F59</f>
        <v>0</v>
      </c>
      <c r="G2599" s="4">
        <f>'[1]JUL 2024'!G59</f>
        <v>0</v>
      </c>
      <c r="H2599" s="6">
        <f>'[1]JUL 2024'!H59</f>
        <v>0</v>
      </c>
    </row>
    <row r="2600" spans="1:8" x14ac:dyDescent="0.2">
      <c r="A2600" s="20">
        <f>'[1]JUL 2024'!A61</f>
        <v>45482</v>
      </c>
      <c r="B2600" s="12" t="str">
        <f>'[1]JUL 2024'!B61</f>
        <v>none</v>
      </c>
      <c r="C2600" s="3">
        <f>'[1]JUL 2024'!C61</f>
        <v>0</v>
      </c>
      <c r="D2600" s="3">
        <f>'[1]JUL 2024'!D61</f>
        <v>12000</v>
      </c>
      <c r="E2600" s="4">
        <f>'[1]JUL 2024'!E61</f>
        <v>12000</v>
      </c>
      <c r="F2600" s="6">
        <f>'[1]JUL 2024'!F61</f>
        <v>0</v>
      </c>
      <c r="G2600" s="4">
        <f>'[1]JUL 2024'!G61</f>
        <v>0</v>
      </c>
      <c r="H2600" s="6">
        <f>'[1]JUL 2024'!H61</f>
        <v>0</v>
      </c>
    </row>
    <row r="2601" spans="1:8" x14ac:dyDescent="0.2">
      <c r="A2601" s="23">
        <f>'[1]JUL 2024'!A62</f>
        <v>45482</v>
      </c>
      <c r="B2601" s="12" t="str">
        <f>'[1]JUL 2024'!B62</f>
        <v>none</v>
      </c>
      <c r="C2601" s="3">
        <f>'[1]JUL 2024'!C62</f>
        <v>0</v>
      </c>
      <c r="D2601" s="3">
        <f>'[1]JUL 2024'!D62</f>
        <v>11968</v>
      </c>
      <c r="E2601" s="4">
        <f>'[1]JUL 2024'!E62</f>
        <v>0</v>
      </c>
      <c r="F2601" s="6">
        <f>'[1]JUL 2024'!F62</f>
        <v>0</v>
      </c>
      <c r="G2601" s="4">
        <f>'[1]JUL 2024'!G62</f>
        <v>0</v>
      </c>
      <c r="H2601" s="6">
        <f>'[1]JUL 2024'!H62</f>
        <v>0</v>
      </c>
    </row>
    <row r="2602" spans="1:8" x14ac:dyDescent="0.2">
      <c r="A2602" s="20">
        <f>'[1]JUL 2024'!A65</f>
        <v>45483</v>
      </c>
      <c r="B2602" s="12" t="str">
        <f>'[1]JUL 2024'!B65</f>
        <v>Refill</v>
      </c>
      <c r="C2602" s="3">
        <f>'[1]JUL 2024'!C65</f>
        <v>220110</v>
      </c>
      <c r="D2602" s="3">
        <f>'[1]JUL 2024'!D65</f>
        <v>0</v>
      </c>
      <c r="E2602" s="4">
        <f>'[1]JUL 2024'!E65</f>
        <v>0</v>
      </c>
      <c r="F2602" s="6">
        <f>'[1]JUL 2024'!F65</f>
        <v>0</v>
      </c>
      <c r="G2602" s="4">
        <f>'[1]JUL 2024'!G65</f>
        <v>0</v>
      </c>
      <c r="H2602" s="6">
        <f>'[1]JUL 2024'!H65</f>
        <v>0</v>
      </c>
    </row>
    <row r="2603" spans="1:8" x14ac:dyDescent="0.2">
      <c r="A2603" s="20">
        <f>'[1]JUL 2024'!A79</f>
        <v>45485</v>
      </c>
      <c r="B2603" s="12" t="str">
        <f>'[1]JUL 2024'!B79</f>
        <v>Andere</v>
      </c>
      <c r="C2603" s="3">
        <f>'[1]JUL 2024'!C79</f>
        <v>0</v>
      </c>
      <c r="D2603" s="3">
        <f>'[1]JUL 2024'!D79</f>
        <v>18100</v>
      </c>
      <c r="E2603" s="4">
        <f>'[1]JUL 2024'!E79</f>
        <v>0</v>
      </c>
      <c r="F2603" s="6">
        <f>'[1]JUL 2024'!F79</f>
        <v>0</v>
      </c>
      <c r="G2603" s="4">
        <f>'[1]JUL 2024'!G79</f>
        <v>0</v>
      </c>
      <c r="H2603" s="6">
        <f>'[1]JUL 2024'!H79</f>
        <v>0</v>
      </c>
    </row>
    <row r="2604" spans="1:8" x14ac:dyDescent="0.2">
      <c r="A2604" s="23">
        <f>'[1]JUL 2024'!A80</f>
        <v>45485</v>
      </c>
      <c r="B2604" s="12" t="str">
        <f>'[1]JUL 2024'!B80</f>
        <v>VM</v>
      </c>
      <c r="C2604" s="3">
        <f>'[1]JUL 2024'!C80</f>
        <v>0</v>
      </c>
      <c r="D2604" s="3">
        <f>'[1]JUL 2024'!D80</f>
        <v>5000</v>
      </c>
      <c r="E2604" s="4">
        <f>'[1]JUL 2024'!E80</f>
        <v>0</v>
      </c>
      <c r="F2604" s="6">
        <f>'[1]JUL 2024'!F80</f>
        <v>0</v>
      </c>
      <c r="G2604" s="4">
        <f>'[1]JUL 2024'!G80</f>
        <v>0</v>
      </c>
      <c r="H2604" s="6">
        <f>'[1]JUL 2024'!H80</f>
        <v>0</v>
      </c>
    </row>
    <row r="2605" spans="1:8" x14ac:dyDescent="0.2">
      <c r="A2605" s="20">
        <f>'[1]JUL 2024'!A81</f>
        <v>45485</v>
      </c>
      <c r="B2605" s="12" t="str">
        <f>'[1]JUL 2024'!B81</f>
        <v>Andere</v>
      </c>
      <c r="C2605" s="3">
        <f>'[1]JUL 2024'!C81</f>
        <v>0</v>
      </c>
      <c r="D2605" s="3">
        <f>'[1]JUL 2024'!D81</f>
        <v>100</v>
      </c>
      <c r="E2605" s="4">
        <f>'[1]JUL 2024'!E81</f>
        <v>0</v>
      </c>
      <c r="F2605" s="6">
        <f>'[1]JUL 2024'!F81</f>
        <v>0</v>
      </c>
      <c r="G2605" s="4">
        <f>'[1]JUL 2024'!G81</f>
        <v>0</v>
      </c>
      <c r="H2605" s="6">
        <f>'[1]JUL 2024'!H81</f>
        <v>0</v>
      </c>
    </row>
    <row r="2606" spans="1:8" x14ac:dyDescent="0.2">
      <c r="A2606" s="20">
        <f>'[1]JUL 2024'!A93</f>
        <v>45487</v>
      </c>
      <c r="B2606" s="12" t="str">
        <f>'[1]JUL 2024'!B93</f>
        <v>VM</v>
      </c>
      <c r="C2606" s="3">
        <f>'[1]JUL 2024'!C93</f>
        <v>0</v>
      </c>
      <c r="D2606" s="3">
        <f>'[1]JUL 2024'!D93</f>
        <v>630.57999999999993</v>
      </c>
      <c r="E2606" s="4">
        <f>'[1]JUL 2024'!E93</f>
        <v>0</v>
      </c>
      <c r="F2606" s="6">
        <f>'[1]JUL 2024'!F93</f>
        <v>0</v>
      </c>
      <c r="G2606" s="4">
        <f>'[1]JUL 2024'!G93</f>
        <v>0</v>
      </c>
      <c r="H2606" s="6">
        <f>'[1]JUL 2024'!H93</f>
        <v>0</v>
      </c>
    </row>
    <row r="2607" spans="1:8" x14ac:dyDescent="0.2">
      <c r="A2607" s="23">
        <f>'[1]JUL 2024'!A94</f>
        <v>45487</v>
      </c>
      <c r="B2607" s="12" t="str">
        <f>'[1]JUL 2024'!B94</f>
        <v>Andere</v>
      </c>
      <c r="C2607" s="3">
        <f>'[1]JUL 2024'!C94</f>
        <v>0</v>
      </c>
      <c r="D2607" s="3">
        <f>'[1]JUL 2024'!D94</f>
        <v>163.85</v>
      </c>
      <c r="E2607" s="4">
        <f>'[1]JUL 2024'!E94</f>
        <v>0</v>
      </c>
      <c r="F2607" s="6">
        <f>'[1]JUL 2024'!F94</f>
        <v>0</v>
      </c>
      <c r="G2607" s="4">
        <f>'[1]JUL 2024'!G94</f>
        <v>0</v>
      </c>
      <c r="H2607" s="6">
        <f>'[1]JUL 2024'!H94</f>
        <v>0</v>
      </c>
    </row>
    <row r="2608" spans="1:8" x14ac:dyDescent="0.2">
      <c r="A2608" s="23">
        <f>'[1]JUL 2024'!A100</f>
        <v>45488</v>
      </c>
      <c r="B2608" s="12" t="str">
        <f>'[1]JUL 2024'!B100</f>
        <v>VM</v>
      </c>
      <c r="C2608" s="3">
        <f>'[1]JUL 2024'!C100</f>
        <v>0</v>
      </c>
      <c r="D2608" s="3">
        <f>'[1]JUL 2024'!D100</f>
        <v>905.01</v>
      </c>
      <c r="E2608" s="4">
        <f>'[1]JUL 2024'!E100</f>
        <v>0</v>
      </c>
      <c r="F2608" s="6">
        <f>'[1]JUL 2024'!F100</f>
        <v>0</v>
      </c>
      <c r="G2608" s="4">
        <f>'[1]JUL 2024'!G100</f>
        <v>0</v>
      </c>
      <c r="H2608" s="6">
        <f>'[1]JUL 2024'!H100</f>
        <v>0</v>
      </c>
    </row>
    <row r="2609" spans="1:8" x14ac:dyDescent="0.2">
      <c r="A2609" s="20">
        <f>'[1]JUL 2024'!A101</f>
        <v>45488</v>
      </c>
      <c r="B2609" s="12" t="str">
        <f>'[1]JUL 2024'!B101</f>
        <v>none</v>
      </c>
      <c r="C2609" s="3">
        <f>'[1]JUL 2024'!C101</f>
        <v>0</v>
      </c>
      <c r="D2609" s="3">
        <f>'[1]JUL 2024'!D101</f>
        <v>16075.25</v>
      </c>
      <c r="E2609" s="4">
        <f>'[1]JUL 2024'!E101</f>
        <v>0</v>
      </c>
      <c r="F2609" s="6">
        <f>'[1]JUL 2024'!F101</f>
        <v>0</v>
      </c>
      <c r="G2609" s="4">
        <f>'[1]JUL 2024'!G101</f>
        <v>0</v>
      </c>
      <c r="H2609" s="6">
        <f>'[1]JUL 2024'!H101</f>
        <v>0</v>
      </c>
    </row>
    <row r="2610" spans="1:8" x14ac:dyDescent="0.2">
      <c r="A2610" s="23">
        <f>'[1]JUL 2024'!A102</f>
        <v>45488</v>
      </c>
      <c r="B2610" s="12" t="str">
        <f>'[1]JUL 2024'!B102</f>
        <v>Frauen</v>
      </c>
      <c r="C2610" s="3">
        <f>'[1]JUL 2024'!C102</f>
        <v>0</v>
      </c>
      <c r="D2610" s="3">
        <f>'[1]JUL 2024'!D102</f>
        <v>1309</v>
      </c>
      <c r="E2610" s="4">
        <f>'[1]JUL 2024'!E102</f>
        <v>0</v>
      </c>
      <c r="F2610" s="6">
        <f>'[1]JUL 2024'!F102</f>
        <v>0</v>
      </c>
      <c r="G2610" s="4">
        <f>'[1]JUL 2024'!G102</f>
        <v>0</v>
      </c>
      <c r="H2610" s="6">
        <f>'[1]JUL 2024'!H102</f>
        <v>0</v>
      </c>
    </row>
    <row r="2611" spans="1:8" x14ac:dyDescent="0.2">
      <c r="A2611" s="20">
        <f>'[1]JUL 2024'!A107</f>
        <v>45489</v>
      </c>
      <c r="B2611" s="12" t="str">
        <f>'[1]JUL 2024'!B107</f>
        <v>VM</v>
      </c>
      <c r="C2611" s="3">
        <f>'[1]JUL 2024'!C107</f>
        <v>0</v>
      </c>
      <c r="D2611" s="3">
        <f>'[1]JUL 2024'!D107</f>
        <v>1578.76</v>
      </c>
      <c r="E2611" s="4">
        <f>'[1]JUL 2024'!E107</f>
        <v>0</v>
      </c>
      <c r="F2611" s="6">
        <f>'[1]JUL 2024'!F107</f>
        <v>337.9</v>
      </c>
      <c r="G2611" s="4">
        <f>'[1]JUL 2024'!G107</f>
        <v>0</v>
      </c>
      <c r="H2611" s="6">
        <f>'[1]JUL 2024'!H107</f>
        <v>0</v>
      </c>
    </row>
    <row r="2612" spans="1:8" x14ac:dyDescent="0.2">
      <c r="A2612" s="23">
        <f>'[1]JUL 2024'!A108</f>
        <v>45489</v>
      </c>
      <c r="B2612" s="12" t="str">
        <f>'[1]JUL 2024'!B108</f>
        <v>none</v>
      </c>
      <c r="C2612" s="3">
        <f>'[1]JUL 2024'!C108</f>
        <v>0</v>
      </c>
      <c r="D2612" s="3">
        <f>'[1]JUL 2024'!D108</f>
        <v>10100</v>
      </c>
      <c r="E2612" s="4">
        <f>'[1]JUL 2024'!E108</f>
        <v>0</v>
      </c>
      <c r="F2612" s="6">
        <f>'[1]JUL 2024'!F108</f>
        <v>0</v>
      </c>
      <c r="G2612" s="4">
        <f>'[1]JUL 2024'!G108</f>
        <v>10100</v>
      </c>
      <c r="H2612" s="6">
        <f>'[1]JUL 2024'!H108</f>
        <v>0</v>
      </c>
    </row>
    <row r="2613" spans="1:8" x14ac:dyDescent="0.2">
      <c r="A2613" s="20">
        <f>'[1]JUL 2024'!A109</f>
        <v>45489</v>
      </c>
      <c r="B2613" s="12" t="str">
        <f>'[1]JUL 2024'!B109</f>
        <v>Kleidung</v>
      </c>
      <c r="C2613" s="3">
        <f>'[1]JUL 2024'!C109</f>
        <v>0</v>
      </c>
      <c r="D2613" s="3">
        <f>'[1]JUL 2024'!D109</f>
        <v>4387</v>
      </c>
      <c r="E2613" s="4">
        <f>'[1]JUL 2024'!E109</f>
        <v>0</v>
      </c>
      <c r="F2613" s="6">
        <f>'[1]JUL 2024'!F109</f>
        <v>0</v>
      </c>
      <c r="G2613" s="4">
        <f>'[1]JUL 2024'!G109</f>
        <v>0</v>
      </c>
      <c r="H2613" s="6">
        <f>'[1]JUL 2024'!H109</f>
        <v>5624</v>
      </c>
    </row>
    <row r="2614" spans="1:8" x14ac:dyDescent="0.2">
      <c r="A2614" s="23">
        <f>'[1]JUL 2024'!A110</f>
        <v>45489</v>
      </c>
      <c r="B2614" s="12" t="str">
        <f>'[1]JUL 2024'!B110</f>
        <v>LM</v>
      </c>
      <c r="C2614" s="3">
        <f>'[1]JUL 2024'!C110</f>
        <v>0</v>
      </c>
      <c r="D2614" s="3">
        <f>'[1]JUL 2024'!D110</f>
        <v>3870</v>
      </c>
      <c r="E2614" s="4">
        <f>'[1]JUL 2024'!E110</f>
        <v>0</v>
      </c>
      <c r="F2614" s="6">
        <f>'[1]JUL 2024'!F110</f>
        <v>0</v>
      </c>
      <c r="G2614" s="4">
        <f>'[1]JUL 2024'!G110</f>
        <v>0</v>
      </c>
      <c r="H2614" s="6">
        <f>'[1]JUL 2024'!H110</f>
        <v>1014</v>
      </c>
    </row>
    <row r="2615" spans="1:8" x14ac:dyDescent="0.2">
      <c r="A2615" s="20">
        <f>'[1]JUL 2024'!A111</f>
        <v>45489</v>
      </c>
      <c r="B2615" s="12" t="str">
        <f>'[1]JUL 2024'!B111</f>
        <v>VM</v>
      </c>
      <c r="C2615" s="3">
        <f>'[1]JUL 2024'!C111</f>
        <v>0</v>
      </c>
      <c r="D2615" s="3">
        <f>'[1]JUL 2024'!D111</f>
        <v>128</v>
      </c>
      <c r="E2615" s="4">
        <f>'[1]JUL 2024'!E111</f>
        <v>0</v>
      </c>
      <c r="F2615" s="6">
        <f>'[1]JUL 2024'!F111</f>
        <v>0</v>
      </c>
      <c r="G2615" s="4">
        <f>'[1]JUL 2024'!G111</f>
        <v>0</v>
      </c>
      <c r="H2615" s="6">
        <f>'[1]JUL 2024'!H111</f>
        <v>0</v>
      </c>
    </row>
    <row r="2616" spans="1:8" x14ac:dyDescent="0.2">
      <c r="A2616" s="23">
        <f>'[1]JUL 2024'!A114</f>
        <v>45490</v>
      </c>
      <c r="B2616" s="12" t="str">
        <f>'[1]JUL 2024'!B114</f>
        <v>rent</v>
      </c>
      <c r="C2616" s="3">
        <f>'[1]JUL 2024'!C114</f>
        <v>0</v>
      </c>
      <c r="D2616" s="3">
        <f>'[1]JUL 2024'!D114</f>
        <v>0</v>
      </c>
      <c r="E2616" s="4">
        <f>'[1]JUL 2024'!E114</f>
        <v>0</v>
      </c>
      <c r="F2616" s="6">
        <f>'[1]JUL 2024'!F114</f>
        <v>55050</v>
      </c>
      <c r="G2616" s="4">
        <f>'[1]JUL 2024'!G114</f>
        <v>0</v>
      </c>
      <c r="H2616" s="6">
        <f>'[1]JUL 2024'!H114</f>
        <v>0</v>
      </c>
    </row>
    <row r="2617" spans="1:8" x14ac:dyDescent="0.2">
      <c r="A2617" s="20">
        <f>'[1]JUL 2024'!A115</f>
        <v>45490</v>
      </c>
      <c r="B2617" s="12" t="str">
        <f>'[1]JUL 2024'!B115</f>
        <v>none</v>
      </c>
      <c r="C2617" s="3">
        <f>'[1]JUL 2024'!C115</f>
        <v>1050</v>
      </c>
      <c r="D2617" s="3">
        <f>'[1]JUL 2024'!D115</f>
        <v>0</v>
      </c>
      <c r="E2617" s="4">
        <f>'[1]JUL 2024'!E115</f>
        <v>0</v>
      </c>
      <c r="F2617" s="6">
        <f>'[1]JUL 2024'!F115</f>
        <v>0</v>
      </c>
      <c r="G2617" s="4">
        <f>'[1]JUL 2024'!G115</f>
        <v>0</v>
      </c>
      <c r="H2617" s="6">
        <f>'[1]JUL 2024'!H115</f>
        <v>1048.5</v>
      </c>
    </row>
    <row r="2618" spans="1:8" x14ac:dyDescent="0.2">
      <c r="A2618" s="23">
        <f>'[1]JUL 2024'!A116</f>
        <v>45490</v>
      </c>
      <c r="B2618" s="12" t="str">
        <f>'[1]JUL 2024'!B116</f>
        <v>none</v>
      </c>
      <c r="C2618" s="3">
        <f>'[1]JUL 2024'!C116</f>
        <v>0</v>
      </c>
      <c r="D2618" s="3">
        <f>'[1]JUL 2024'!D116</f>
        <v>55000</v>
      </c>
      <c r="E2618" s="4">
        <f>'[1]JUL 2024'!E116</f>
        <v>55000</v>
      </c>
      <c r="F2618" s="6">
        <f>'[1]JUL 2024'!F116</f>
        <v>0</v>
      </c>
      <c r="G2618" s="4">
        <f>'[1]JUL 2024'!G116</f>
        <v>0</v>
      </c>
      <c r="H2618" s="6">
        <f>'[1]JUL 2024'!H116</f>
        <v>0</v>
      </c>
    </row>
    <row r="2619" spans="1:8" x14ac:dyDescent="0.2">
      <c r="A2619" s="20">
        <f>'[1]JUL 2024'!A117</f>
        <v>45490</v>
      </c>
      <c r="B2619" s="12" t="str">
        <f>'[1]JUL 2024'!B117</f>
        <v>Kleidung</v>
      </c>
      <c r="C2619" s="3">
        <f>'[1]JUL 2024'!C117</f>
        <v>0</v>
      </c>
      <c r="D2619" s="3">
        <f>'[1]JUL 2024'!D117</f>
        <v>0</v>
      </c>
      <c r="E2619" s="4">
        <f>'[1]JUL 2024'!E117</f>
        <v>0</v>
      </c>
      <c r="F2619" s="6">
        <f>'[1]JUL 2024'!F117</f>
        <v>0</v>
      </c>
      <c r="G2619" s="4">
        <f>'[1]JUL 2024'!G117</f>
        <v>0</v>
      </c>
      <c r="H2619" s="6">
        <f>'[1]JUL 2024'!H117</f>
        <v>6999</v>
      </c>
    </row>
    <row r="2620" spans="1:8" x14ac:dyDescent="0.2">
      <c r="A2620" s="23">
        <f>'[1]JUL 2024'!A118</f>
        <v>45490</v>
      </c>
      <c r="B2620" s="12" t="str">
        <f>'[1]JUL 2024'!B118</f>
        <v>none</v>
      </c>
      <c r="C2620" s="3">
        <f>'[1]JUL 2024'!C118</f>
        <v>0</v>
      </c>
      <c r="D2620" s="3">
        <f>'[1]JUL 2024'!D118</f>
        <v>410000</v>
      </c>
      <c r="E2620" s="4">
        <f>'[1]JUL 2024'!E118</f>
        <v>0</v>
      </c>
      <c r="F2620" s="6">
        <f>'[1]JUL 2024'!F118</f>
        <v>0</v>
      </c>
      <c r="G2620" s="4">
        <f>'[1]JUL 2024'!G118</f>
        <v>410000</v>
      </c>
      <c r="H2620" s="6">
        <f>'[1]JUL 2024'!H118</f>
        <v>0</v>
      </c>
    </row>
    <row r="2621" spans="1:8" x14ac:dyDescent="0.2">
      <c r="A2621" s="20">
        <f>'[1]JUL 2024'!A119</f>
        <v>45490</v>
      </c>
      <c r="B2621" s="12" t="str">
        <f>'[1]JUL 2024'!B119</f>
        <v>LM</v>
      </c>
      <c r="C2621" s="3">
        <f>'[1]JUL 2024'!C119</f>
        <v>0</v>
      </c>
      <c r="D2621" s="3">
        <f>'[1]JUL 2024'!D119</f>
        <v>0</v>
      </c>
      <c r="E2621" s="4">
        <f>'[1]JUL 2024'!E119</f>
        <v>0</v>
      </c>
      <c r="F2621" s="6">
        <f>'[1]JUL 2024'!F119</f>
        <v>0</v>
      </c>
      <c r="G2621" s="4">
        <f>'[1]JUL 2024'!G119</f>
        <v>0</v>
      </c>
      <c r="H2621" s="6">
        <f>'[1]JUL 2024'!H119</f>
        <v>3147</v>
      </c>
    </row>
    <row r="2622" spans="1:8" x14ac:dyDescent="0.2">
      <c r="A2622" s="23">
        <f>'[1]JUL 2024'!A120</f>
        <v>45490</v>
      </c>
      <c r="B2622" s="12" t="str">
        <f>'[1]JUL 2024'!B120</f>
        <v>VM</v>
      </c>
      <c r="C2622" s="3">
        <f>'[1]JUL 2024'!C120</f>
        <v>0</v>
      </c>
      <c r="D2622" s="3">
        <f>'[1]JUL 2024'!D120</f>
        <v>0</v>
      </c>
      <c r="E2622" s="4">
        <f>'[1]JUL 2024'!E120</f>
        <v>0</v>
      </c>
      <c r="F2622" s="6">
        <f>'[1]JUL 2024'!F120</f>
        <v>0</v>
      </c>
      <c r="G2622" s="4">
        <f>'[1]JUL 2024'!G120</f>
        <v>0</v>
      </c>
      <c r="H2622" s="6">
        <f>'[1]JUL 2024'!H120</f>
        <v>1077</v>
      </c>
    </row>
    <row r="2623" spans="1:8" x14ac:dyDescent="0.2">
      <c r="A2623" s="20">
        <f>'[1]JUL 2024'!A121</f>
        <v>45491</v>
      </c>
      <c r="B2623" s="12" t="str">
        <f>'[1]JUL 2024'!B121</f>
        <v>none</v>
      </c>
      <c r="C2623" s="3">
        <f>'[1]JUL 2024'!C121</f>
        <v>0</v>
      </c>
      <c r="D2623" s="3">
        <f>'[1]JUL 2024'!D121</f>
        <v>8000</v>
      </c>
      <c r="E2623" s="4">
        <f>'[1]JUL 2024'!E121</f>
        <v>0</v>
      </c>
      <c r="F2623" s="6">
        <f>'[1]JUL 2024'!F121</f>
        <v>0</v>
      </c>
      <c r="G2623" s="4">
        <f>'[1]JUL 2024'!G121</f>
        <v>8000</v>
      </c>
      <c r="H2623" s="6">
        <f>'[1]JUL 2024'!H121</f>
        <v>0</v>
      </c>
    </row>
    <row r="2624" spans="1:8" x14ac:dyDescent="0.2">
      <c r="A2624" s="23">
        <f>'[1]JUL 2024'!A122</f>
        <v>45491</v>
      </c>
      <c r="B2624" s="12" t="str">
        <f>'[1]JUL 2024'!B122</f>
        <v>Andere</v>
      </c>
      <c r="C2624" s="3">
        <f>'[1]JUL 2024'!C122</f>
        <v>0</v>
      </c>
      <c r="D2624" s="3">
        <f>'[1]JUL 2024'!D122</f>
        <v>15</v>
      </c>
      <c r="E2624" s="4">
        <f>'[1]JUL 2024'!E122</f>
        <v>0</v>
      </c>
      <c r="F2624" s="6">
        <f>'[1]JUL 2024'!F122</f>
        <v>0</v>
      </c>
      <c r="G2624" s="4">
        <f>'[1]JUL 2024'!G122</f>
        <v>0</v>
      </c>
      <c r="H2624" s="6">
        <f>'[1]JUL 2024'!H122</f>
        <v>0</v>
      </c>
    </row>
    <row r="2625" spans="1:8" x14ac:dyDescent="0.2">
      <c r="A2625" s="20">
        <f>'[1]JUL 2024'!A123</f>
        <v>45491</v>
      </c>
      <c r="B2625" s="12" t="str">
        <f>'[1]JUL 2024'!B123</f>
        <v>LM</v>
      </c>
      <c r="C2625" s="3">
        <f>'[1]JUL 2024'!C123</f>
        <v>0</v>
      </c>
      <c r="D2625" s="3">
        <f>'[1]JUL 2024'!D123</f>
        <v>0</v>
      </c>
      <c r="E2625" s="4">
        <f>'[1]JUL 2024'!E123</f>
        <v>0</v>
      </c>
      <c r="F2625" s="6">
        <f>'[1]JUL 2024'!F123</f>
        <v>0</v>
      </c>
      <c r="G2625" s="4">
        <f>'[1]JUL 2024'!G123</f>
        <v>0</v>
      </c>
      <c r="H2625" s="6">
        <f>'[1]JUL 2024'!H123</f>
        <v>255</v>
      </c>
    </row>
    <row r="2626" spans="1:8" x14ac:dyDescent="0.2">
      <c r="A2626" s="23">
        <f>'[1]JUL 2024'!A124</f>
        <v>45491</v>
      </c>
      <c r="B2626" s="12" t="str">
        <f>'[1]JUL 2024'!B124</f>
        <v>for me</v>
      </c>
      <c r="C2626" s="3">
        <f>'[1]JUL 2024'!C124</f>
        <v>0</v>
      </c>
      <c r="D2626" s="3">
        <f>'[1]JUL 2024'!D124</f>
        <v>0</v>
      </c>
      <c r="E2626" s="4">
        <f>'[1]JUL 2024'!E124</f>
        <v>0</v>
      </c>
      <c r="F2626" s="6">
        <f>'[1]JUL 2024'!F124</f>
        <v>0</v>
      </c>
      <c r="G2626" s="4">
        <f>'[1]JUL 2024'!G124</f>
        <v>0</v>
      </c>
      <c r="H2626" s="6">
        <f>'[1]JUL 2024'!H124</f>
        <v>1290</v>
      </c>
    </row>
    <row r="2627" spans="1:8" x14ac:dyDescent="0.2">
      <c r="A2627" s="20">
        <f>'[1]JUL 2024'!A125</f>
        <v>45491</v>
      </c>
      <c r="B2627" s="12" t="str">
        <f>'[1]JUL 2024'!B125</f>
        <v>none</v>
      </c>
      <c r="C2627" s="3">
        <f>'[1]JUL 2024'!C125</f>
        <v>0</v>
      </c>
      <c r="D2627" s="3">
        <f>'[1]JUL 2024'!D125</f>
        <v>0</v>
      </c>
      <c r="E2627" s="4">
        <f>'[1]JUL 2024'!E125</f>
        <v>0</v>
      </c>
      <c r="F2627" s="6">
        <f>'[1]JUL 2024'!F125</f>
        <v>0</v>
      </c>
      <c r="G2627" s="4">
        <f>'[1]JUL 2024'!G125</f>
        <v>0</v>
      </c>
      <c r="H2627" s="6">
        <f>'[1]JUL 2024'!H125</f>
        <v>500</v>
      </c>
    </row>
    <row r="2628" spans="1:8" x14ac:dyDescent="0.2">
      <c r="A2628" s="23">
        <f>'[1]JUL 2024'!A126</f>
        <v>45491</v>
      </c>
      <c r="B2628" s="12" t="str">
        <f>'[1]JUL 2024'!B126</f>
        <v>LM</v>
      </c>
      <c r="C2628" s="3">
        <f>'[1]JUL 2024'!C126</f>
        <v>0</v>
      </c>
      <c r="D2628" s="3">
        <f>'[1]JUL 2024'!D126</f>
        <v>0</v>
      </c>
      <c r="E2628" s="4">
        <f>'[1]JUL 2024'!E126</f>
        <v>0</v>
      </c>
      <c r="F2628" s="6">
        <f>'[1]JUL 2024'!F126</f>
        <v>0</v>
      </c>
      <c r="G2628" s="4">
        <f>'[1]JUL 2024'!G126</f>
        <v>0</v>
      </c>
      <c r="H2628" s="6">
        <f>'[1]JUL 2024'!H126</f>
        <v>898</v>
      </c>
    </row>
    <row r="2629" spans="1:8" x14ac:dyDescent="0.2">
      <c r="A2629" s="20">
        <f>'[1]JUL 2024'!A127</f>
        <v>45491</v>
      </c>
      <c r="B2629" s="12" t="str">
        <f>'[1]JUL 2024'!B127</f>
        <v>VM</v>
      </c>
      <c r="C2629" s="3">
        <f>'[1]JUL 2024'!C127</f>
        <v>0</v>
      </c>
      <c r="D2629" s="3">
        <f>'[1]JUL 2024'!D127</f>
        <v>0</v>
      </c>
      <c r="E2629" s="4">
        <f>'[1]JUL 2024'!E127</f>
        <v>0</v>
      </c>
      <c r="F2629" s="6">
        <f>'[1]JUL 2024'!F127</f>
        <v>28.8</v>
      </c>
      <c r="G2629" s="4">
        <f>'[1]JUL 2024'!G127</f>
        <v>0</v>
      </c>
      <c r="H2629" s="6">
        <f>'[1]JUL 2024'!H127</f>
        <v>0</v>
      </c>
    </row>
    <row r="2630" spans="1:8" x14ac:dyDescent="0.2">
      <c r="A2630" s="23">
        <f>'[1]JUL 2024'!A128</f>
        <v>45492</v>
      </c>
      <c r="B2630" s="12" t="str">
        <f>'[1]JUL 2024'!B128</f>
        <v>LM</v>
      </c>
      <c r="C2630" s="3">
        <f>'[1]JUL 2024'!C128</f>
        <v>0</v>
      </c>
      <c r="D2630" s="3">
        <f>'[1]JUL 2024'!D128</f>
        <v>0</v>
      </c>
      <c r="E2630" s="4">
        <f>'[1]JUL 2024'!E128</f>
        <v>0</v>
      </c>
      <c r="F2630" s="6">
        <f>'[1]JUL 2024'!F128</f>
        <v>0</v>
      </c>
      <c r="G2630" s="4">
        <f>'[1]JUL 2024'!G128</f>
        <v>0</v>
      </c>
      <c r="H2630" s="6">
        <f>'[1]JUL 2024'!H128</f>
        <v>680</v>
      </c>
    </row>
    <row r="2631" spans="1:8" x14ac:dyDescent="0.2">
      <c r="A2631" s="20">
        <f>'[1]JUL 2024'!A129</f>
        <v>45492</v>
      </c>
      <c r="B2631" s="12" t="str">
        <f>'[1]JUL 2024'!B129</f>
        <v>LM</v>
      </c>
      <c r="C2631" s="3">
        <f>'[1]JUL 2024'!C129</f>
        <v>0</v>
      </c>
      <c r="D2631" s="3">
        <f>'[1]JUL 2024'!D129</f>
        <v>0</v>
      </c>
      <c r="E2631" s="4">
        <f>'[1]JUL 2024'!E129</f>
        <v>0</v>
      </c>
      <c r="F2631" s="6">
        <f>'[1]JUL 2024'!F129</f>
        <v>0</v>
      </c>
      <c r="G2631" s="4">
        <f>'[1]JUL 2024'!G129</f>
        <v>0</v>
      </c>
      <c r="H2631" s="6">
        <f>'[1]JUL 2024'!H129</f>
        <v>466</v>
      </c>
    </row>
    <row r="2632" spans="1:8" x14ac:dyDescent="0.2">
      <c r="A2632" s="23">
        <f>'[1]JUL 2024'!A130</f>
        <v>45492</v>
      </c>
      <c r="B2632" s="12" t="str">
        <f>'[1]JUL 2024'!B130</f>
        <v>LM</v>
      </c>
      <c r="C2632" s="3">
        <f>'[1]JUL 2024'!C130</f>
        <v>0</v>
      </c>
      <c r="D2632" s="3">
        <f>'[1]JUL 2024'!D130</f>
        <v>0</v>
      </c>
      <c r="E2632" s="4">
        <f>'[1]JUL 2024'!E130</f>
        <v>0</v>
      </c>
      <c r="F2632" s="6">
        <f>'[1]JUL 2024'!F130</f>
        <v>0</v>
      </c>
      <c r="G2632" s="4">
        <f>'[1]JUL 2024'!G130</f>
        <v>0</v>
      </c>
      <c r="H2632" s="6">
        <f>'[1]JUL 2024'!H130</f>
        <v>2020</v>
      </c>
    </row>
    <row r="2633" spans="1:8" x14ac:dyDescent="0.2">
      <c r="A2633" s="23">
        <f>'[1]JUL 2024'!A132</f>
        <v>45492</v>
      </c>
      <c r="B2633" s="12" t="str">
        <f>'[1]JUL 2024'!B132</f>
        <v>none</v>
      </c>
      <c r="C2633" s="3">
        <f>'[1]JUL 2024'!C132</f>
        <v>0</v>
      </c>
      <c r="D2633" s="3">
        <f>'[1]JUL 2024'!D132</f>
        <v>0</v>
      </c>
      <c r="E2633" s="4">
        <f>'[1]JUL 2024'!E132</f>
        <v>0</v>
      </c>
      <c r="F2633" s="6">
        <f>'[1]JUL 2024'!F132</f>
        <v>0</v>
      </c>
      <c r="G2633" s="4">
        <f>'[1]JUL 2024'!G132</f>
        <v>0</v>
      </c>
      <c r="H2633" s="6">
        <f>'[1]JUL 2024'!H132</f>
        <v>1400</v>
      </c>
    </row>
    <row r="2634" spans="1:8" x14ac:dyDescent="0.2">
      <c r="A2634" s="20">
        <f>'[1]JUL 2024'!A135</f>
        <v>45493</v>
      </c>
      <c r="B2634" s="12" t="str">
        <f>'[1]JUL 2024'!B135</f>
        <v>LM</v>
      </c>
      <c r="C2634" s="3">
        <f>'[1]JUL 2024'!C135</f>
        <v>0</v>
      </c>
      <c r="D2634" s="3">
        <f>'[1]JUL 2024'!D135</f>
        <v>0</v>
      </c>
      <c r="E2634" s="4">
        <f>'[1]JUL 2024'!E135</f>
        <v>0</v>
      </c>
      <c r="F2634" s="6">
        <f>'[1]JUL 2024'!F135</f>
        <v>0</v>
      </c>
      <c r="G2634" s="4">
        <f>'[1]JUL 2024'!G135</f>
        <v>0</v>
      </c>
      <c r="H2634" s="6">
        <f>'[1]JUL 2024'!H135</f>
        <v>890</v>
      </c>
    </row>
    <row r="2635" spans="1:8" x14ac:dyDescent="0.2">
      <c r="A2635" s="23">
        <f>'[1]JUL 2024'!A136</f>
        <v>45493</v>
      </c>
      <c r="B2635" s="12" t="str">
        <f>'[1]JUL 2024'!B136</f>
        <v>Andere</v>
      </c>
      <c r="C2635" s="3">
        <f>'[1]JUL 2024'!C136</f>
        <v>0</v>
      </c>
      <c r="D2635" s="3">
        <f>'[1]JUL 2024'!D136</f>
        <v>10000</v>
      </c>
      <c r="E2635" s="4">
        <f>'[1]JUL 2024'!E136</f>
        <v>0</v>
      </c>
      <c r="F2635" s="6">
        <f>'[1]JUL 2024'!F136</f>
        <v>0</v>
      </c>
      <c r="G2635" s="4">
        <f>'[1]JUL 2024'!G136</f>
        <v>0</v>
      </c>
      <c r="H2635" s="6">
        <f>'[1]JUL 2024'!H136</f>
        <v>600</v>
      </c>
    </row>
    <row r="2636" spans="1:8" x14ac:dyDescent="0.2">
      <c r="A2636" s="20">
        <f>'[1]JUL 2024'!A137</f>
        <v>45493</v>
      </c>
      <c r="B2636" s="12" t="str">
        <f>'[1]JUL 2024'!B137</f>
        <v>none</v>
      </c>
      <c r="C2636" s="3">
        <f>'[1]JUL 2024'!C137</f>
        <v>1200</v>
      </c>
      <c r="D2636" s="3">
        <f>'[1]JUL 2024'!D137</f>
        <v>0</v>
      </c>
      <c r="E2636" s="4">
        <f>'[1]JUL 2024'!E137</f>
        <v>0</v>
      </c>
      <c r="F2636" s="6">
        <f>'[1]JUL 2024'!F137</f>
        <v>0</v>
      </c>
      <c r="G2636" s="4">
        <f>'[1]JUL 2024'!G137</f>
        <v>0</v>
      </c>
      <c r="H2636" s="6">
        <f>'[1]JUL 2024'!H137</f>
        <v>1200</v>
      </c>
    </row>
    <row r="2637" spans="1:8" x14ac:dyDescent="0.2">
      <c r="A2637" s="23">
        <f>'[1]JUL 2024'!A138</f>
        <v>45493</v>
      </c>
      <c r="B2637" s="12" t="str">
        <f>'[1]JUL 2024'!B138</f>
        <v>none</v>
      </c>
      <c r="C2637" s="3">
        <f>'[1]JUL 2024'!C138</f>
        <v>1200</v>
      </c>
      <c r="D2637" s="3">
        <f>'[1]JUL 2024'!D138</f>
        <v>0</v>
      </c>
      <c r="E2637" s="4">
        <f>'[1]JUL 2024'!E138</f>
        <v>0</v>
      </c>
      <c r="F2637" s="6">
        <f>'[1]JUL 2024'!F138</f>
        <v>0</v>
      </c>
      <c r="G2637" s="4">
        <f>'[1]JUL 2024'!G138</f>
        <v>0</v>
      </c>
      <c r="H2637" s="6">
        <f>'[1]JUL 2024'!H138</f>
        <v>1200</v>
      </c>
    </row>
    <row r="2638" spans="1:8" x14ac:dyDescent="0.2">
      <c r="A2638" s="23">
        <f>'[1]JUL 2024'!A142</f>
        <v>45494</v>
      </c>
      <c r="B2638" s="12" t="str">
        <f>'[1]JUL 2024'!B142</f>
        <v>LM</v>
      </c>
      <c r="C2638" s="3">
        <f>'[1]JUL 2024'!C142</f>
        <v>0</v>
      </c>
      <c r="D2638" s="3">
        <f>'[1]JUL 2024'!D142</f>
        <v>0</v>
      </c>
      <c r="E2638" s="4">
        <f>'[1]JUL 2024'!E142</f>
        <v>0</v>
      </c>
      <c r="F2638" s="6">
        <f>'[1]JUL 2024'!F142</f>
        <v>0</v>
      </c>
      <c r="G2638" s="4">
        <f>'[1]JUL 2024'!G142</f>
        <v>0</v>
      </c>
      <c r="H2638" s="6">
        <f>'[1]JUL 2024'!H142</f>
        <v>2235</v>
      </c>
    </row>
    <row r="2639" spans="1:8" x14ac:dyDescent="0.2">
      <c r="A2639" s="20">
        <f>'[1]JUL 2024'!A143</f>
        <v>45494</v>
      </c>
      <c r="B2639" s="12" t="str">
        <f>'[1]JUL 2024'!B143</f>
        <v>LM</v>
      </c>
      <c r="C2639" s="3">
        <f>'[1]JUL 2024'!C143</f>
        <v>0</v>
      </c>
      <c r="D2639" s="3">
        <f>'[1]JUL 2024'!D143</f>
        <v>0</v>
      </c>
      <c r="E2639" s="4">
        <f>'[1]JUL 2024'!E143</f>
        <v>0</v>
      </c>
      <c r="F2639" s="6">
        <f>'[1]JUL 2024'!F143</f>
        <v>0</v>
      </c>
      <c r="G2639" s="4">
        <f>'[1]JUL 2024'!G143</f>
        <v>0</v>
      </c>
      <c r="H2639" s="6">
        <f>'[1]JUL 2024'!H143</f>
        <v>6935</v>
      </c>
    </row>
    <row r="2640" spans="1:8" x14ac:dyDescent="0.2">
      <c r="A2640" s="23">
        <f>'[1]JUL 2024'!A144</f>
        <v>45494</v>
      </c>
      <c r="B2640" s="12" t="str">
        <f>'[1]JUL 2024'!B144</f>
        <v>Andere</v>
      </c>
      <c r="C2640" s="3">
        <f>'[1]JUL 2024'!C144</f>
        <v>0</v>
      </c>
      <c r="D2640" s="3">
        <f>'[1]JUL 2024'!D144</f>
        <v>0</v>
      </c>
      <c r="E2640" s="4">
        <f>'[1]JUL 2024'!E144</f>
        <v>0</v>
      </c>
      <c r="F2640" s="6">
        <f>'[1]JUL 2024'!F144</f>
        <v>0</v>
      </c>
      <c r="G2640" s="4">
        <f>'[1]JUL 2024'!G144</f>
        <v>0</v>
      </c>
      <c r="H2640" s="6">
        <f>'[1]JUL 2024'!H144</f>
        <v>300</v>
      </c>
    </row>
    <row r="2641" spans="1:8" x14ac:dyDescent="0.2">
      <c r="A2641" s="20">
        <f>'[1]JUL 2024'!A149</f>
        <v>45495</v>
      </c>
      <c r="B2641" s="12" t="str">
        <f>'[1]JUL 2024'!B149</f>
        <v>LM</v>
      </c>
      <c r="C2641" s="3">
        <f>'[1]JUL 2024'!C149</f>
        <v>0</v>
      </c>
      <c r="D2641" s="3">
        <f>'[1]JUL 2024'!D149</f>
        <v>0</v>
      </c>
      <c r="E2641" s="4">
        <f>'[1]JUL 2024'!E149</f>
        <v>0</v>
      </c>
      <c r="F2641" s="6">
        <f>'[1]JUL 2024'!F149</f>
        <v>0</v>
      </c>
      <c r="G2641" s="4">
        <f>'[1]JUL 2024'!G149</f>
        <v>0</v>
      </c>
      <c r="H2641" s="6">
        <f>'[1]JUL 2024'!H149</f>
        <v>1022</v>
      </c>
    </row>
    <row r="2642" spans="1:8" x14ac:dyDescent="0.2">
      <c r="A2642" s="23">
        <f>'[1]JUL 2024'!A150</f>
        <v>45495</v>
      </c>
      <c r="B2642" s="12" t="str">
        <f>'[1]JUL 2024'!B150</f>
        <v>LM</v>
      </c>
      <c r="C2642" s="3">
        <f>'[1]JUL 2024'!C150</f>
        <v>0</v>
      </c>
      <c r="D2642" s="3">
        <f>'[1]JUL 2024'!D150</f>
        <v>0</v>
      </c>
      <c r="E2642" s="4">
        <f>'[1]JUL 2024'!E150</f>
        <v>0</v>
      </c>
      <c r="F2642" s="6">
        <f>'[1]JUL 2024'!F150</f>
        <v>0</v>
      </c>
      <c r="G2642" s="4">
        <f>'[1]JUL 2024'!G150</f>
        <v>0</v>
      </c>
      <c r="H2642" s="6">
        <f>'[1]JUL 2024'!H150</f>
        <v>1000</v>
      </c>
    </row>
    <row r="2643" spans="1:8" x14ac:dyDescent="0.2">
      <c r="A2643" s="20">
        <f>'[1]JUL 2024'!A151</f>
        <v>45495</v>
      </c>
      <c r="B2643" s="12" t="str">
        <f>'[1]JUL 2024'!B151</f>
        <v>Andere</v>
      </c>
      <c r="C2643" s="3">
        <f>'[1]JUL 2024'!C151</f>
        <v>0</v>
      </c>
      <c r="D2643" s="3">
        <f>'[1]JUL 2024'!D151</f>
        <v>0</v>
      </c>
      <c r="E2643" s="4">
        <f>'[1]JUL 2024'!E151</f>
        <v>0</v>
      </c>
      <c r="F2643" s="6">
        <f>'[1]JUL 2024'!F151</f>
        <v>0</v>
      </c>
      <c r="G2643" s="4">
        <f>'[1]JUL 2024'!G151</f>
        <v>0</v>
      </c>
      <c r="H2643" s="6">
        <f>'[1]JUL 2024'!H151</f>
        <v>684</v>
      </c>
    </row>
    <row r="2644" spans="1:8" x14ac:dyDescent="0.2">
      <c r="A2644" s="23">
        <f>'[1]JUL 2024'!A156</f>
        <v>45496</v>
      </c>
      <c r="B2644" s="12" t="str">
        <f>'[1]JUL 2024'!B156</f>
        <v>VM</v>
      </c>
      <c r="C2644" s="3">
        <f>'[1]JUL 2024'!C156</f>
        <v>0</v>
      </c>
      <c r="D2644" s="3">
        <f>'[1]JUL 2024'!D156</f>
        <v>0</v>
      </c>
      <c r="E2644" s="4">
        <f>'[1]JUL 2024'!E156</f>
        <v>0</v>
      </c>
      <c r="F2644" s="6">
        <f>'[1]JUL 2024'!F156</f>
        <v>284.2</v>
      </c>
      <c r="G2644" s="4">
        <f>'[1]JUL 2024'!G156</f>
        <v>0</v>
      </c>
      <c r="H2644" s="6">
        <f>'[1]JUL 2024'!H156</f>
        <v>0</v>
      </c>
    </row>
    <row r="2645" spans="1:8" x14ac:dyDescent="0.2">
      <c r="A2645" s="20">
        <f>'[1]JUL 2024'!A157</f>
        <v>45496</v>
      </c>
      <c r="B2645" s="12" t="str">
        <f>'[1]JUL 2024'!B157</f>
        <v>for me</v>
      </c>
      <c r="C2645" s="3">
        <f>'[1]JUL 2024'!C157</f>
        <v>0</v>
      </c>
      <c r="D2645" s="3">
        <f>'[1]JUL 2024'!D157</f>
        <v>0</v>
      </c>
      <c r="E2645" s="4">
        <f>'[1]JUL 2024'!E157</f>
        <v>0</v>
      </c>
      <c r="F2645" s="6">
        <f>'[1]JUL 2024'!F157</f>
        <v>0</v>
      </c>
      <c r="G2645" s="4">
        <f>'[1]JUL 2024'!G157</f>
        <v>0</v>
      </c>
      <c r="H2645" s="6">
        <f>'[1]JUL 2024'!H157</f>
        <v>269.99</v>
      </c>
    </row>
    <row r="2646" spans="1:8" x14ac:dyDescent="0.2">
      <c r="A2646" s="23">
        <f>'[1]JUL 2024'!A158</f>
        <v>45496</v>
      </c>
      <c r="B2646" s="12" t="str">
        <f>'[1]JUL 2024'!B158</f>
        <v>Rauchen</v>
      </c>
      <c r="C2646" s="3">
        <f>'[1]JUL 2024'!C158</f>
        <v>0</v>
      </c>
      <c r="D2646" s="3">
        <f>'[1]JUL 2024'!D158</f>
        <v>0</v>
      </c>
      <c r="E2646" s="4">
        <f>'[1]JUL 2024'!E158</f>
        <v>0</v>
      </c>
      <c r="F2646" s="6">
        <f>'[1]JUL 2024'!F158</f>
        <v>0</v>
      </c>
      <c r="G2646" s="4">
        <f>'[1]JUL 2024'!G158</f>
        <v>0</v>
      </c>
      <c r="H2646" s="6">
        <f>'[1]JUL 2024'!H158</f>
        <v>255</v>
      </c>
    </row>
    <row r="2647" spans="1:8" x14ac:dyDescent="0.2">
      <c r="A2647" s="20">
        <f>'[1]JUL 2024'!A159</f>
        <v>45496</v>
      </c>
      <c r="B2647" s="12" t="str">
        <f>'[1]JUL 2024'!B159</f>
        <v>LM</v>
      </c>
      <c r="C2647" s="3">
        <f>'[1]JUL 2024'!C159</f>
        <v>0</v>
      </c>
      <c r="D2647" s="3">
        <f>'[1]JUL 2024'!D159</f>
        <v>0</v>
      </c>
      <c r="E2647" s="4">
        <f>'[1]JUL 2024'!E159</f>
        <v>0</v>
      </c>
      <c r="F2647" s="6">
        <f>'[1]JUL 2024'!F159</f>
        <v>0</v>
      </c>
      <c r="G2647" s="4">
        <f>'[1]JUL 2024'!G159</f>
        <v>0</v>
      </c>
      <c r="H2647" s="6">
        <f>'[1]JUL 2024'!H159</f>
        <v>70</v>
      </c>
    </row>
    <row r="2648" spans="1:8" x14ac:dyDescent="0.2">
      <c r="A2648" s="23">
        <f>'[1]JUL 2024'!A160</f>
        <v>45496</v>
      </c>
      <c r="B2648" s="12" t="str">
        <f>'[1]JUL 2024'!B160</f>
        <v>VM</v>
      </c>
      <c r="C2648" s="3">
        <f>'[1]JUL 2024'!C160</f>
        <v>0</v>
      </c>
      <c r="D2648" s="3">
        <f>'[1]JUL 2024'!D160</f>
        <v>0</v>
      </c>
      <c r="E2648" s="4">
        <f>'[1]JUL 2024'!E160</f>
        <v>0</v>
      </c>
      <c r="F2648" s="6">
        <f>'[1]JUL 2024'!F160</f>
        <v>0</v>
      </c>
      <c r="G2648" s="4">
        <f>'[1]JUL 2024'!G160</f>
        <v>0</v>
      </c>
      <c r="H2648" s="6">
        <f>'[1]JUL 2024'!H160</f>
        <v>64</v>
      </c>
    </row>
    <row r="2649" spans="1:8" x14ac:dyDescent="0.2">
      <c r="A2649" s="20">
        <f>'[1]JUL 2024'!A163</f>
        <v>45497</v>
      </c>
      <c r="B2649" s="12" t="str">
        <f>'[1]JUL 2024'!B163</f>
        <v>VM</v>
      </c>
      <c r="C2649" s="3">
        <f>'[1]JUL 2024'!C163</f>
        <v>0</v>
      </c>
      <c r="D2649" s="3">
        <f>'[1]JUL 2024'!D163</f>
        <v>0</v>
      </c>
      <c r="E2649" s="4">
        <f>'[1]JUL 2024'!E163</f>
        <v>0</v>
      </c>
      <c r="F2649" s="6">
        <f>'[1]JUL 2024'!F163</f>
        <v>26.4</v>
      </c>
      <c r="G2649" s="4">
        <f>'[1]JUL 2024'!G163</f>
        <v>0</v>
      </c>
      <c r="H2649" s="6">
        <f>'[1]JUL 2024'!H163</f>
        <v>1659</v>
      </c>
    </row>
    <row r="2650" spans="1:8" x14ac:dyDescent="0.2">
      <c r="A2650" s="20">
        <f>'[1]JUL 2024'!A165</f>
        <v>45497</v>
      </c>
      <c r="B2650" s="12" t="str">
        <f>'[1]JUL 2024'!B165</f>
        <v>LM</v>
      </c>
      <c r="C2650" s="3">
        <f>'[1]JUL 2024'!C165</f>
        <v>0</v>
      </c>
      <c r="D2650" s="3">
        <f>'[1]JUL 2024'!D165</f>
        <v>0</v>
      </c>
      <c r="E2650" s="4">
        <f>'[1]JUL 2024'!E165</f>
        <v>0</v>
      </c>
      <c r="F2650" s="6">
        <f>'[1]JUL 2024'!F165</f>
        <v>0</v>
      </c>
      <c r="G2650" s="4">
        <f>'[1]JUL 2024'!G165</f>
        <v>0</v>
      </c>
      <c r="H2650" s="6">
        <f>'[1]JUL 2024'!H165</f>
        <v>2000</v>
      </c>
    </row>
    <row r="2651" spans="1:8" x14ac:dyDescent="0.2">
      <c r="A2651" s="23">
        <f>'[1]JUL 2024'!A166</f>
        <v>45497</v>
      </c>
      <c r="B2651" s="12" t="str">
        <f>'[1]JUL 2024'!B166</f>
        <v>Andere</v>
      </c>
      <c r="C2651" s="3">
        <f>'[1]JUL 2024'!C166</f>
        <v>0</v>
      </c>
      <c r="D2651" s="3">
        <f>'[1]JUL 2024'!D166</f>
        <v>0</v>
      </c>
      <c r="E2651" s="4">
        <f>'[1]JUL 2024'!E166</f>
        <v>0</v>
      </c>
      <c r="F2651" s="6">
        <f>'[1]JUL 2024'!F166</f>
        <v>0</v>
      </c>
      <c r="G2651" s="4">
        <f>'[1]JUL 2024'!G166</f>
        <v>0</v>
      </c>
      <c r="H2651" s="6">
        <f>'[1]JUL 2024'!H166</f>
        <v>600</v>
      </c>
    </row>
    <row r="2652" spans="1:8" x14ac:dyDescent="0.2">
      <c r="A2652" s="20">
        <f>'[1]JUL 2024'!A167</f>
        <v>45497</v>
      </c>
      <c r="B2652" s="12" t="str">
        <f>'[1]JUL 2024'!B167</f>
        <v>LM</v>
      </c>
      <c r="C2652" s="3">
        <f>'[1]JUL 2024'!C167</f>
        <v>0</v>
      </c>
      <c r="D2652" s="3">
        <f>'[1]JUL 2024'!D167</f>
        <v>0</v>
      </c>
      <c r="E2652" s="4">
        <f>'[1]JUL 2024'!E167</f>
        <v>0</v>
      </c>
      <c r="F2652" s="6">
        <f>'[1]JUL 2024'!F167</f>
        <v>0</v>
      </c>
      <c r="G2652" s="4">
        <f>'[1]JUL 2024'!G167</f>
        <v>0</v>
      </c>
      <c r="H2652" s="6">
        <f>'[1]JUL 2024'!H167</f>
        <v>660</v>
      </c>
    </row>
    <row r="2653" spans="1:8" x14ac:dyDescent="0.2">
      <c r="A2653" s="23">
        <f>'[1]JUL 2024'!A168</f>
        <v>45497</v>
      </c>
      <c r="B2653" s="12" t="str">
        <f>'[1]JUL 2024'!B168</f>
        <v>LM</v>
      </c>
      <c r="C2653" s="3">
        <f>'[1]JUL 2024'!C168</f>
        <v>0</v>
      </c>
      <c r="D2653" s="3">
        <f>'[1]JUL 2024'!D168</f>
        <v>0</v>
      </c>
      <c r="E2653" s="4">
        <f>'[1]JUL 2024'!E168</f>
        <v>0</v>
      </c>
      <c r="F2653" s="6">
        <f>'[1]JUL 2024'!F168</f>
        <v>0</v>
      </c>
      <c r="G2653" s="4">
        <f>'[1]JUL 2024'!G168</f>
        <v>0</v>
      </c>
      <c r="H2653" s="6">
        <f>'[1]JUL 2024'!H168</f>
        <v>3800</v>
      </c>
    </row>
    <row r="2654" spans="1:8" x14ac:dyDescent="0.2">
      <c r="A2654" s="23">
        <f>'[1]JUL 2024'!A170</f>
        <v>45498</v>
      </c>
      <c r="B2654" s="12" t="str">
        <f>'[1]JUL 2024'!B170</f>
        <v>Refill</v>
      </c>
      <c r="C2654" s="3">
        <f>'[1]JUL 2024'!C170</f>
        <v>106399</v>
      </c>
      <c r="D2654" s="3">
        <f>'[1]JUL 2024'!D170</f>
        <v>0</v>
      </c>
      <c r="E2654" s="4">
        <f>'[1]JUL 2024'!E170</f>
        <v>0</v>
      </c>
      <c r="F2654" s="6">
        <f>'[1]JUL 2024'!F170</f>
        <v>0</v>
      </c>
      <c r="G2654" s="4">
        <f>'[1]JUL 2024'!G170</f>
        <v>933.2</v>
      </c>
      <c r="H2654" s="6">
        <f>'[1]JUL 2024'!H170</f>
        <v>0</v>
      </c>
    </row>
    <row r="2655" spans="1:8" x14ac:dyDescent="0.2">
      <c r="A2655" s="20">
        <f>'[1]JUL 2024'!A171</f>
        <v>45498</v>
      </c>
      <c r="B2655" s="12" t="str">
        <f>'[1]JUL 2024'!B171</f>
        <v>none</v>
      </c>
      <c r="C2655" s="3">
        <f>'[1]JUL 2024'!C171</f>
        <v>0</v>
      </c>
      <c r="D2655" s="3">
        <f>'[1]JUL 2024'!D171</f>
        <v>150000</v>
      </c>
      <c r="E2655" s="4">
        <f>'[1]JUL 2024'!E171</f>
        <v>0</v>
      </c>
      <c r="F2655" s="6">
        <f>'[1]JUL 2024'!F171</f>
        <v>0</v>
      </c>
      <c r="G2655" s="4">
        <f>'[1]JUL 2024'!G171</f>
        <v>150000</v>
      </c>
      <c r="H2655" s="6">
        <f>'[1]JUL 2024'!H171</f>
        <v>0</v>
      </c>
    </row>
    <row r="2656" spans="1:8" x14ac:dyDescent="0.2">
      <c r="A2656" s="23">
        <f>'[1]JUL 2024'!A172</f>
        <v>45498</v>
      </c>
      <c r="B2656" s="12" t="str">
        <f>'[1]JUL 2024'!B172</f>
        <v>LM</v>
      </c>
      <c r="C2656" s="3">
        <f>'[1]JUL 2024'!C172</f>
        <v>0</v>
      </c>
      <c r="D2656" s="3">
        <f>'[1]JUL 2024'!D172</f>
        <v>0</v>
      </c>
      <c r="E2656" s="4">
        <f>'[1]JUL 2024'!E172</f>
        <v>0</v>
      </c>
      <c r="F2656" s="6">
        <f>'[1]JUL 2024'!F172</f>
        <v>0</v>
      </c>
      <c r="G2656" s="4">
        <f>'[1]JUL 2024'!G172</f>
        <v>0</v>
      </c>
      <c r="H2656" s="6">
        <f>'[1]JUL 2024'!H172</f>
        <v>841</v>
      </c>
    </row>
    <row r="2657" spans="1:8" x14ac:dyDescent="0.2">
      <c r="A2657" s="20">
        <f>'[1]JUL 2024'!A173</f>
        <v>45498</v>
      </c>
      <c r="B2657" s="12" t="str">
        <f>'[1]JUL 2024'!B173</f>
        <v>none</v>
      </c>
      <c r="C2657" s="3">
        <f>'[1]JUL 2024'!C173</f>
        <v>584</v>
      </c>
      <c r="D2657" s="3">
        <f>'[1]JUL 2024'!D173</f>
        <v>0</v>
      </c>
      <c r="E2657" s="4">
        <f>'[1]JUL 2024'!E173</f>
        <v>0</v>
      </c>
      <c r="F2657" s="6">
        <f>'[1]JUL 2024'!F173</f>
        <v>0</v>
      </c>
      <c r="G2657" s="4">
        <f>'[1]JUL 2024'!G173</f>
        <v>0</v>
      </c>
      <c r="H2657" s="6">
        <f>'[1]JUL 2024'!H173</f>
        <v>584</v>
      </c>
    </row>
    <row r="2658" spans="1:8" x14ac:dyDescent="0.2">
      <c r="A2658" s="23">
        <f>'[1]JUL 2024'!A174</f>
        <v>45498</v>
      </c>
      <c r="B2658" s="12" t="str">
        <f>'[1]JUL 2024'!B174</f>
        <v>VM</v>
      </c>
      <c r="C2658" s="3">
        <f>'[1]JUL 2024'!C174</f>
        <v>0</v>
      </c>
      <c r="D2658" s="3">
        <f>'[1]JUL 2024'!D174</f>
        <v>0</v>
      </c>
      <c r="E2658" s="4">
        <f>'[1]JUL 2024'!E174</f>
        <v>0</v>
      </c>
      <c r="F2658" s="6">
        <f>'[1]JUL 2024'!F174</f>
        <v>95.7</v>
      </c>
      <c r="G2658" s="4">
        <f>'[1]JUL 2024'!G174</f>
        <v>0</v>
      </c>
      <c r="H2658" s="6">
        <f>'[1]JUL 2024'!H174</f>
        <v>1105</v>
      </c>
    </row>
    <row r="2659" spans="1:8" x14ac:dyDescent="0.2">
      <c r="A2659" s="20">
        <f>'[1]JUL 2024'!A177</f>
        <v>45499</v>
      </c>
      <c r="B2659" s="12" t="str">
        <f>'[1]JUL 2024'!B177</f>
        <v>Frauen</v>
      </c>
      <c r="C2659" s="3">
        <f>'[1]JUL 2024'!C177</f>
        <v>0</v>
      </c>
      <c r="D2659" s="3">
        <f>'[1]JUL 2024'!D177</f>
        <v>0</v>
      </c>
      <c r="E2659" s="4">
        <f>'[1]JUL 2024'!E177</f>
        <v>0</v>
      </c>
      <c r="F2659" s="6">
        <f>'[1]JUL 2024'!F177</f>
        <v>0</v>
      </c>
      <c r="G2659" s="4">
        <f>'[1]JUL 2024'!G177</f>
        <v>0</v>
      </c>
      <c r="H2659" s="6">
        <f>'[1]JUL 2024'!H177</f>
        <v>1000</v>
      </c>
    </row>
    <row r="2660" spans="1:8" x14ac:dyDescent="0.2">
      <c r="A2660" s="23">
        <f>'[1]JUL 2024'!A178</f>
        <v>45499</v>
      </c>
      <c r="B2660" s="12" t="str">
        <f>'[1]JUL 2024'!B178</f>
        <v>Andere</v>
      </c>
      <c r="C2660" s="3">
        <f>'[1]JUL 2024'!C178</f>
        <v>0</v>
      </c>
      <c r="D2660" s="3">
        <f>'[1]JUL 2024'!D178</f>
        <v>0</v>
      </c>
      <c r="E2660" s="4">
        <f>'[1]JUL 2024'!E178</f>
        <v>0</v>
      </c>
      <c r="F2660" s="6">
        <f>'[1]JUL 2024'!F178</f>
        <v>0</v>
      </c>
      <c r="G2660" s="4">
        <f>'[1]JUL 2024'!G178</f>
        <v>0</v>
      </c>
      <c r="H2660" s="6">
        <f>'[1]JUL 2024'!H178</f>
        <v>1660</v>
      </c>
    </row>
    <row r="2661" spans="1:8" x14ac:dyDescent="0.2">
      <c r="A2661" s="20">
        <f>'[1]JUL 2024'!A179</f>
        <v>45499</v>
      </c>
      <c r="B2661" s="12" t="str">
        <f>'[1]JUL 2024'!B179</f>
        <v>LM</v>
      </c>
      <c r="C2661" s="3">
        <f>'[1]JUL 2024'!C179</f>
        <v>0</v>
      </c>
      <c r="D2661" s="3">
        <f>'[1]JUL 2024'!D179</f>
        <v>0</v>
      </c>
      <c r="E2661" s="4">
        <f>'[1]JUL 2024'!E179</f>
        <v>0</v>
      </c>
      <c r="F2661" s="6">
        <f>'[1]JUL 2024'!F179</f>
        <v>0</v>
      </c>
      <c r="G2661" s="4">
        <f>'[1]JUL 2024'!G179</f>
        <v>0</v>
      </c>
      <c r="H2661" s="6">
        <f>'[1]JUL 2024'!H179</f>
        <v>537</v>
      </c>
    </row>
    <row r="2662" spans="1:8" x14ac:dyDescent="0.2">
      <c r="A2662" s="23">
        <f>'[1]JUL 2024'!A180</f>
        <v>45499</v>
      </c>
      <c r="B2662" s="12" t="str">
        <f>'[1]JUL 2024'!B180</f>
        <v>none</v>
      </c>
      <c r="C2662" s="3">
        <f>'[1]JUL 2024'!C180</f>
        <v>2500</v>
      </c>
      <c r="D2662" s="3">
        <f>'[1]JUL 2024'!D180</f>
        <v>3000</v>
      </c>
      <c r="E2662" s="4">
        <f>'[1]JUL 2024'!E180</f>
        <v>0</v>
      </c>
      <c r="F2662" s="6">
        <f>'[1]JUL 2024'!F180</f>
        <v>0</v>
      </c>
      <c r="G2662" s="4">
        <f>'[1]JUL 2024'!G180</f>
        <v>3000</v>
      </c>
      <c r="H2662" s="6">
        <f>'[1]JUL 2024'!H180</f>
        <v>0</v>
      </c>
    </row>
    <row r="2663" spans="1:8" x14ac:dyDescent="0.2">
      <c r="A2663" s="20">
        <f>'[1]JUL 2024'!A181</f>
        <v>45499</v>
      </c>
      <c r="B2663" s="12" t="str">
        <f>'[1]JUL 2024'!B181</f>
        <v>VM</v>
      </c>
      <c r="C2663" s="3">
        <f>'[1]JUL 2024'!C181</f>
        <v>0</v>
      </c>
      <c r="D2663" s="3">
        <f>'[1]JUL 2024'!D181</f>
        <v>0</v>
      </c>
      <c r="E2663" s="4">
        <f>'[1]JUL 2024'!E181</f>
        <v>0</v>
      </c>
      <c r="F2663" s="6">
        <f>'[1]JUL 2024'!F181</f>
        <v>26.4</v>
      </c>
      <c r="G2663" s="4">
        <f>'[1]JUL 2024'!G181</f>
        <v>0</v>
      </c>
      <c r="H2663" s="6">
        <f>'[1]JUL 2024'!H181</f>
        <v>0</v>
      </c>
    </row>
    <row r="2664" spans="1:8" x14ac:dyDescent="0.2">
      <c r="A2664" s="23">
        <f>'[1]JUL 2024'!A184</f>
        <v>45500</v>
      </c>
      <c r="B2664" s="12" t="str">
        <f>'[1]JUL 2024'!B184</f>
        <v>Andere</v>
      </c>
      <c r="C2664" s="3">
        <f>'[1]JUL 2024'!C184</f>
        <v>0</v>
      </c>
      <c r="D2664" s="3">
        <f>'[1]JUL 2024'!D184</f>
        <v>0</v>
      </c>
      <c r="E2664" s="4">
        <f>'[1]JUL 2024'!E184</f>
        <v>0</v>
      </c>
      <c r="F2664" s="6">
        <f>'[1]JUL 2024'!F184</f>
        <v>0</v>
      </c>
      <c r="G2664" s="4">
        <f>'[1]JUL 2024'!G184</f>
        <v>0</v>
      </c>
      <c r="H2664" s="6">
        <f>'[1]JUL 2024'!H184</f>
        <v>7252.52</v>
      </c>
    </row>
    <row r="2665" spans="1:8" x14ac:dyDescent="0.2">
      <c r="A2665" s="20">
        <f>'[1]JUL 2024'!A185</f>
        <v>45500</v>
      </c>
      <c r="B2665" s="12" t="str">
        <f>'[1]JUL 2024'!B185</f>
        <v>none</v>
      </c>
      <c r="C2665" s="3">
        <f>'[1]JUL 2024'!C185</f>
        <v>1000</v>
      </c>
      <c r="D2665" s="3">
        <f>'[1]JUL 2024'!D185</f>
        <v>0</v>
      </c>
      <c r="E2665" s="4">
        <f>'[1]JUL 2024'!E185</f>
        <v>0</v>
      </c>
      <c r="F2665" s="6">
        <f>'[1]JUL 2024'!F185</f>
        <v>0</v>
      </c>
      <c r="G2665" s="4">
        <f>'[1]JUL 2024'!G185</f>
        <v>0</v>
      </c>
      <c r="H2665" s="6">
        <f>'[1]JUL 2024'!H185</f>
        <v>1000</v>
      </c>
    </row>
    <row r="2666" spans="1:8" x14ac:dyDescent="0.2">
      <c r="A2666" s="23">
        <f>'[1]JUL 2024'!A186</f>
        <v>45500</v>
      </c>
      <c r="B2666" s="12" t="str">
        <f>'[1]JUL 2024'!B186</f>
        <v>none</v>
      </c>
      <c r="C2666" s="3">
        <f>'[1]JUL 2024'!C186</f>
        <v>1000</v>
      </c>
      <c r="D2666" s="3">
        <f>'[1]JUL 2024'!D186</f>
        <v>0</v>
      </c>
      <c r="E2666" s="4">
        <f>'[1]JUL 2024'!E186</f>
        <v>0</v>
      </c>
      <c r="F2666" s="6">
        <f>'[1]JUL 2024'!F186</f>
        <v>0</v>
      </c>
      <c r="G2666" s="4">
        <f>'[1]JUL 2024'!G186</f>
        <v>0</v>
      </c>
      <c r="H2666" s="6">
        <f>'[1]JUL 2024'!H186</f>
        <v>1000</v>
      </c>
    </row>
    <row r="2667" spans="1:8" x14ac:dyDescent="0.2">
      <c r="A2667" s="23">
        <f>'[1]JUL 2024'!A192</f>
        <v>45501</v>
      </c>
      <c r="B2667" s="12" t="str">
        <f>'[1]JUL 2024'!B192</f>
        <v>VM</v>
      </c>
      <c r="C2667" s="3">
        <f>'[1]JUL 2024'!C192</f>
        <v>0</v>
      </c>
      <c r="D2667" s="3">
        <f>'[1]JUL 2024'!D192</f>
        <v>0</v>
      </c>
      <c r="E2667" s="4">
        <f>'[1]JUL 2024'!E192</f>
        <v>0</v>
      </c>
      <c r="F2667" s="6">
        <f>'[1]JUL 2024'!F192</f>
        <v>0</v>
      </c>
      <c r="G2667" s="4">
        <f>'[1]JUL 2024'!G192</f>
        <v>0</v>
      </c>
      <c r="H2667" s="6">
        <f>'[1]JUL 2024'!H192</f>
        <v>128</v>
      </c>
    </row>
    <row r="2668" spans="1:8" x14ac:dyDescent="0.2">
      <c r="A2668" s="20">
        <f>'[1]JUL 2024'!A193</f>
        <v>45501</v>
      </c>
      <c r="B2668" s="12" t="str">
        <f>'[1]JUL 2024'!B193</f>
        <v>LM</v>
      </c>
      <c r="C2668" s="3">
        <f>'[1]JUL 2024'!C193</f>
        <v>0</v>
      </c>
      <c r="D2668" s="3">
        <f>'[1]JUL 2024'!D193</f>
        <v>0</v>
      </c>
      <c r="E2668" s="4">
        <f>'[1]JUL 2024'!E193</f>
        <v>0</v>
      </c>
      <c r="F2668" s="6">
        <f>'[1]JUL 2024'!F193</f>
        <v>0</v>
      </c>
      <c r="G2668" s="4">
        <f>'[1]JUL 2024'!G193</f>
        <v>0</v>
      </c>
      <c r="H2668" s="6">
        <f>'[1]JUL 2024'!H193</f>
        <v>3115.6800000000003</v>
      </c>
    </row>
    <row r="2669" spans="1:8" x14ac:dyDescent="0.2">
      <c r="A2669" s="23">
        <f>'[1]JUL 2024'!A194</f>
        <v>45501</v>
      </c>
      <c r="B2669" s="12" t="str">
        <f>'[1]JUL 2024'!B194</f>
        <v>Rauchen</v>
      </c>
      <c r="C2669" s="3">
        <f>'[1]JUL 2024'!C194</f>
        <v>0</v>
      </c>
      <c r="D2669" s="3">
        <f>'[1]JUL 2024'!D194</f>
        <v>0</v>
      </c>
      <c r="E2669" s="4">
        <f>'[1]JUL 2024'!E194</f>
        <v>0</v>
      </c>
      <c r="F2669" s="6">
        <f>'[1]JUL 2024'!F194</f>
        <v>0</v>
      </c>
      <c r="G2669" s="4">
        <f>'[1]JUL 2024'!G194</f>
        <v>0</v>
      </c>
      <c r="H2669" s="6">
        <f>'[1]JUL 2024'!H194</f>
        <v>179.99</v>
      </c>
    </row>
    <row r="2670" spans="1:8" x14ac:dyDescent="0.2">
      <c r="A2670" s="20">
        <f>'[1]JUL 2024'!A195</f>
        <v>45501</v>
      </c>
      <c r="B2670" s="12" t="str">
        <f>'[1]JUL 2024'!B195</f>
        <v>VM</v>
      </c>
      <c r="C2670" s="3">
        <f>'[1]JUL 2024'!C195</f>
        <v>0</v>
      </c>
      <c r="D2670" s="3">
        <f>'[1]JUL 2024'!D195</f>
        <v>0</v>
      </c>
      <c r="E2670" s="4">
        <f>'[1]JUL 2024'!E195</f>
        <v>0</v>
      </c>
      <c r="F2670" s="6">
        <f>'[1]JUL 2024'!F195</f>
        <v>35.200000000000003</v>
      </c>
      <c r="G2670" s="4">
        <f>'[1]JUL 2024'!G195</f>
        <v>0</v>
      </c>
      <c r="H2670" s="6">
        <f>'[1]JUL 2024'!H195</f>
        <v>554</v>
      </c>
    </row>
    <row r="2671" spans="1:8" x14ac:dyDescent="0.2">
      <c r="A2671" s="20">
        <f>'[1]JUL 2024'!A199</f>
        <v>45502</v>
      </c>
      <c r="B2671" s="12" t="str">
        <f>'[1]JUL 2024'!B199</f>
        <v>none</v>
      </c>
      <c r="C2671" s="3">
        <f>'[1]JUL 2024'!C199</f>
        <v>25999.29</v>
      </c>
      <c r="D2671" s="3">
        <f>'[1]JUL 2024'!D199</f>
        <v>0</v>
      </c>
      <c r="E2671" s="4">
        <f>'[1]JUL 2024'!E199</f>
        <v>0</v>
      </c>
      <c r="F2671" s="6">
        <f>'[1]JUL 2024'!F199</f>
        <v>0</v>
      </c>
      <c r="G2671" s="4">
        <f>'[1]JUL 2024'!G199</f>
        <v>0</v>
      </c>
      <c r="H2671" s="6">
        <f>'[1]JUL 2024'!H199</f>
        <v>0</v>
      </c>
    </row>
    <row r="2672" spans="1:8" x14ac:dyDescent="0.2">
      <c r="A2672" s="23">
        <f>'[1]JUL 2024'!A200</f>
        <v>45502</v>
      </c>
      <c r="B2672" s="12" t="str">
        <f>'[1]JUL 2024'!B200</f>
        <v>none</v>
      </c>
      <c r="C2672" s="3">
        <f>'[1]JUL 2024'!C200</f>
        <v>0</v>
      </c>
      <c r="D2672" s="3">
        <f>'[1]JUL 2024'!D200</f>
        <v>27000</v>
      </c>
      <c r="E2672" s="4">
        <f>'[1]JUL 2024'!E200</f>
        <v>0</v>
      </c>
      <c r="F2672" s="6">
        <f>'[1]JUL 2024'!F200</f>
        <v>0</v>
      </c>
      <c r="G2672" s="4">
        <f>'[1]JUL 2024'!G200</f>
        <v>27000</v>
      </c>
      <c r="H2672" s="6">
        <f>'[1]JUL 2024'!H200</f>
        <v>0</v>
      </c>
    </row>
    <row r="2673" spans="1:8" x14ac:dyDescent="0.2">
      <c r="A2673" s="20">
        <f>'[1]JUL 2024'!A201</f>
        <v>45502</v>
      </c>
      <c r="B2673" s="12" t="str">
        <f>'[1]JUL 2024'!B201</f>
        <v>none</v>
      </c>
      <c r="C2673" s="3">
        <f>'[1]JUL 2024'!C201</f>
        <v>0</v>
      </c>
      <c r="D2673" s="3">
        <f>'[1]JUL 2024'!D201</f>
        <v>0</v>
      </c>
      <c r="E2673" s="4">
        <f>'[1]JUL 2024'!E201</f>
        <v>0</v>
      </c>
      <c r="F2673" s="6">
        <f>'[1]JUL 2024'!F201</f>
        <v>15000</v>
      </c>
      <c r="G2673" s="4">
        <f>'[1]JUL 2024'!G201</f>
        <v>15000</v>
      </c>
      <c r="H2673" s="6">
        <f>'[1]JUL 2024'!H201</f>
        <v>0</v>
      </c>
    </row>
    <row r="2674" spans="1:8" x14ac:dyDescent="0.2">
      <c r="A2674" s="20">
        <f>'[1]JUL 2024'!A203</f>
        <v>45502</v>
      </c>
      <c r="B2674" s="12" t="str">
        <f>'[1]JUL 2024'!B203</f>
        <v>LM</v>
      </c>
      <c r="C2674" s="3">
        <f>'[1]JUL 2024'!C203</f>
        <v>0</v>
      </c>
      <c r="D2674" s="3">
        <f>'[1]JUL 2024'!D203</f>
        <v>0</v>
      </c>
      <c r="E2674" s="4">
        <f>'[1]JUL 2024'!E203</f>
        <v>0</v>
      </c>
      <c r="F2674" s="6">
        <f>'[1]JUL 2024'!F203</f>
        <v>0</v>
      </c>
      <c r="G2674" s="4">
        <f>'[1]JUL 2024'!G203</f>
        <v>0</v>
      </c>
      <c r="H2674" s="6">
        <f>'[1]JUL 2024'!H203</f>
        <v>2218</v>
      </c>
    </row>
    <row r="2675" spans="1:8" x14ac:dyDescent="0.2">
      <c r="A2675" s="20">
        <f>'[1]JUL 2024'!A205</f>
        <v>45503</v>
      </c>
      <c r="B2675" s="12" t="str">
        <f>'[1]JUL 2024'!B205</f>
        <v>LM</v>
      </c>
      <c r="C2675" s="3">
        <f>'[1]JUL 2024'!C205</f>
        <v>0</v>
      </c>
      <c r="D2675" s="3">
        <f>'[1]JUL 2024'!D205</f>
        <v>0</v>
      </c>
      <c r="E2675" s="4">
        <f>'[1]JUL 2024'!E205</f>
        <v>0</v>
      </c>
      <c r="F2675" s="6">
        <f>'[1]JUL 2024'!F205</f>
        <v>0</v>
      </c>
      <c r="G2675" s="4">
        <f>'[1]JUL 2024'!G205</f>
        <v>0</v>
      </c>
      <c r="H2675" s="6">
        <f>'[1]JUL 2024'!H205</f>
        <v>1818.07</v>
      </c>
    </row>
    <row r="2676" spans="1:8" x14ac:dyDescent="0.2">
      <c r="A2676" s="23">
        <f>'[1]JUL 2024'!A212</f>
        <v>45504</v>
      </c>
      <c r="B2676" s="12" t="str">
        <f>'[1]JUL 2024'!B212</f>
        <v>none</v>
      </c>
      <c r="C2676" s="3">
        <f>'[1]JUL 2024'!C212</f>
        <v>500</v>
      </c>
      <c r="D2676" s="3">
        <f>'[1]JUL 2024'!D212</f>
        <v>0</v>
      </c>
      <c r="E2676" s="4">
        <f>'[1]JUL 2024'!E212</f>
        <v>0</v>
      </c>
      <c r="F2676" s="6">
        <f>'[1]JUL 2024'!F212</f>
        <v>0</v>
      </c>
      <c r="G2676" s="4">
        <f>'[1]JUL 2024'!G212</f>
        <v>0</v>
      </c>
      <c r="H2676" s="6">
        <f>'[1]JUL 2024'!H212</f>
        <v>0</v>
      </c>
    </row>
    <row r="2677" spans="1:8" x14ac:dyDescent="0.2">
      <c r="A2677" s="20">
        <f>'[1]JUL 2024'!A213</f>
        <v>45504</v>
      </c>
      <c r="B2677" s="12" t="str">
        <f>'[1]JUL 2024'!B213</f>
        <v>Rauchen</v>
      </c>
      <c r="C2677" s="3">
        <f>'[1]JUL 2024'!C213</f>
        <v>0</v>
      </c>
      <c r="D2677" s="3">
        <f>'[1]JUL 2024'!D213</f>
        <v>0</v>
      </c>
      <c r="E2677" s="4">
        <f>'[1]JUL 2024'!E213</f>
        <v>0</v>
      </c>
      <c r="F2677" s="6">
        <f>'[1]JUL 2024'!F213</f>
        <v>0</v>
      </c>
      <c r="G2677" s="4">
        <f>'[1]JUL 2024'!G213</f>
        <v>0</v>
      </c>
      <c r="H2677" s="6">
        <f>'[1]JUL 2024'!H213</f>
        <v>350</v>
      </c>
    </row>
    <row r="2678" spans="1:8" x14ac:dyDescent="0.2">
      <c r="A2678" s="23">
        <f>'[1]JUL 2024'!A214</f>
        <v>45504</v>
      </c>
      <c r="B2678" s="12" t="str">
        <f>'[1]JUL 2024'!B214</f>
        <v>VM</v>
      </c>
      <c r="C2678" s="3">
        <f>'[1]JUL 2024'!C214</f>
        <v>0</v>
      </c>
      <c r="D2678" s="3">
        <f>'[1]JUL 2024'!D214</f>
        <v>0</v>
      </c>
      <c r="E2678" s="4">
        <f>'[1]JUL 2024'!E214</f>
        <v>0</v>
      </c>
      <c r="F2678" s="6">
        <f>'[1]JUL 2024'!F214</f>
        <v>28.5</v>
      </c>
      <c r="G2678" s="4">
        <f>'[1]JUL 2024'!G214</f>
        <v>0</v>
      </c>
      <c r="H2678" s="6">
        <f>'[1]JUL 2024'!H214</f>
        <v>64</v>
      </c>
    </row>
    <row r="2679" spans="1:8" x14ac:dyDescent="0.2">
      <c r="A2679" s="20">
        <f>'[1]JUL 2024'!A215</f>
        <v>45504</v>
      </c>
      <c r="B2679" s="12" t="str">
        <f>'[1]JUL 2024'!B215</f>
        <v>LM</v>
      </c>
      <c r="C2679" s="3">
        <f>'[1]JUL 2024'!C215</f>
        <v>0</v>
      </c>
      <c r="D2679" s="3">
        <f>'[1]JUL 2024'!D215</f>
        <v>0</v>
      </c>
      <c r="E2679" s="4">
        <f>'[1]JUL 2024'!E215</f>
        <v>0</v>
      </c>
      <c r="F2679" s="6">
        <f>'[1]JUL 2024'!F215</f>
        <v>0</v>
      </c>
      <c r="G2679" s="4">
        <f>'[1]JUL 2024'!G215</f>
        <v>0</v>
      </c>
      <c r="H2679" s="6">
        <f>'[1]JUL 2024'!H215</f>
        <v>530</v>
      </c>
    </row>
    <row r="2680" spans="1:8" x14ac:dyDescent="0.2">
      <c r="A2680" s="23">
        <f>'[1]AUG 2024'!A3</f>
        <v>45505</v>
      </c>
      <c r="B2680" s="12" t="str">
        <f>'[1]AUG 2024'!B3</f>
        <v>VM</v>
      </c>
      <c r="C2680" s="3">
        <f>'[1]AUG 2024'!C3</f>
        <v>0</v>
      </c>
      <c r="D2680" s="3">
        <f>'[1]AUG 2024'!D3</f>
        <v>0</v>
      </c>
      <c r="E2680" s="4">
        <f>'[1]AUG 2024'!E3</f>
        <v>0</v>
      </c>
      <c r="F2680" s="6">
        <f>'[1]AUG 2024'!F3</f>
        <v>54.9</v>
      </c>
      <c r="G2680" s="4">
        <f>'[1]AUG 2024'!G3</f>
        <v>0</v>
      </c>
      <c r="H2680" s="4">
        <f>'[1]AUG 2024'!H3</f>
        <v>128</v>
      </c>
    </row>
    <row r="2681" spans="1:8" x14ac:dyDescent="0.2">
      <c r="A2681" s="20">
        <f>'[1]AUG 2024'!A4</f>
        <v>45505</v>
      </c>
      <c r="B2681" s="12" t="str">
        <f>'[1]AUG 2024'!B4</f>
        <v>Andere</v>
      </c>
      <c r="C2681" s="3">
        <f>'[1]AUG 2024'!C4</f>
        <v>0</v>
      </c>
      <c r="D2681" s="3">
        <f>'[1]AUG 2024'!D4</f>
        <v>0</v>
      </c>
      <c r="E2681" s="4">
        <f>'[1]AUG 2024'!E4</f>
        <v>0</v>
      </c>
      <c r="F2681" s="6">
        <f>'[1]AUG 2024'!F4</f>
        <v>0</v>
      </c>
      <c r="G2681" s="4">
        <f>'[1]AUG 2024'!G4</f>
        <v>0</v>
      </c>
      <c r="H2681" s="4">
        <f>'[1]AUG 2024'!H4</f>
        <v>3145</v>
      </c>
    </row>
    <row r="2682" spans="1:8" x14ac:dyDescent="0.2">
      <c r="A2682" s="20">
        <f>'[1]AUG 2024'!A6</f>
        <v>45505</v>
      </c>
      <c r="B2682" s="12" t="str">
        <f>'[1]AUG 2024'!B6</f>
        <v>Party</v>
      </c>
      <c r="C2682" s="3">
        <f>'[1]AUG 2024'!C6</f>
        <v>0</v>
      </c>
      <c r="D2682" s="3">
        <f>'[1]AUG 2024'!D6</f>
        <v>0</v>
      </c>
      <c r="E2682" s="4">
        <f>'[1]AUG 2024'!E6</f>
        <v>0</v>
      </c>
      <c r="F2682" s="6">
        <f>'[1]AUG 2024'!F6</f>
        <v>0</v>
      </c>
      <c r="G2682" s="4">
        <f>'[1]AUG 2024'!G6</f>
        <v>0</v>
      </c>
      <c r="H2682" s="4">
        <f>'[1]AUG 2024'!H6</f>
        <v>5700</v>
      </c>
    </row>
    <row r="2683" spans="1:8" x14ac:dyDescent="0.2">
      <c r="A2683" s="23">
        <f>'[1]AUG 2024'!A9</f>
        <v>45506</v>
      </c>
      <c r="B2683" s="12" t="str">
        <f>'[1]AUG 2024'!B9</f>
        <v>VM</v>
      </c>
      <c r="C2683" s="3">
        <f>'[1]AUG 2024'!C9</f>
        <v>0</v>
      </c>
      <c r="D2683" s="3">
        <f>'[1]AUG 2024'!D9</f>
        <v>0</v>
      </c>
      <c r="E2683" s="4">
        <f>'[1]AUG 2024'!E9</f>
        <v>0</v>
      </c>
      <c r="F2683" s="6">
        <f>'[1]AUG 2024'!F9</f>
        <v>0</v>
      </c>
      <c r="G2683" s="4">
        <f>'[1]AUG 2024'!G9</f>
        <v>0</v>
      </c>
      <c r="H2683" s="4">
        <f>'[1]AUG 2024'!H9</f>
        <v>504</v>
      </c>
    </row>
    <row r="2684" spans="1:8" x14ac:dyDescent="0.2">
      <c r="A2684" s="20">
        <f>'[1]AUG 2024'!A10</f>
        <v>45506</v>
      </c>
      <c r="B2684" s="12" t="str">
        <f>'[1]AUG 2024'!B10</f>
        <v>Frauen</v>
      </c>
      <c r="C2684" s="3">
        <f>'[1]AUG 2024'!C10</f>
        <v>0</v>
      </c>
      <c r="D2684" s="3">
        <f>'[1]AUG 2024'!D10</f>
        <v>0</v>
      </c>
      <c r="E2684" s="4">
        <f>'[1]AUG 2024'!E10</f>
        <v>0</v>
      </c>
      <c r="F2684" s="6">
        <f>'[1]AUG 2024'!F10</f>
        <v>0</v>
      </c>
      <c r="G2684" s="4">
        <f>'[1]AUG 2024'!G10</f>
        <v>0</v>
      </c>
      <c r="H2684" s="4">
        <f>'[1]AUG 2024'!H10</f>
        <v>600</v>
      </c>
    </row>
    <row r="2685" spans="1:8" x14ac:dyDescent="0.2">
      <c r="A2685" s="23">
        <f>'[1]AUG 2024'!A11</f>
        <v>45506</v>
      </c>
      <c r="B2685" s="12" t="str">
        <f>'[1]AUG 2024'!B11</f>
        <v>LM</v>
      </c>
      <c r="C2685" s="3">
        <f>'[1]AUG 2024'!C11</f>
        <v>0</v>
      </c>
      <c r="D2685" s="3">
        <f>'[1]AUG 2024'!D11</f>
        <v>0</v>
      </c>
      <c r="E2685" s="4">
        <f>'[1]AUG 2024'!E11</f>
        <v>0</v>
      </c>
      <c r="F2685" s="6">
        <f>'[1]AUG 2024'!F11</f>
        <v>0</v>
      </c>
      <c r="G2685" s="4">
        <f>'[1]AUG 2024'!G11</f>
        <v>0</v>
      </c>
      <c r="H2685" s="4">
        <f>'[1]AUG 2024'!H11</f>
        <v>1257</v>
      </c>
    </row>
    <row r="2686" spans="1:8" x14ac:dyDescent="0.2">
      <c r="A2686" s="20">
        <f>'[1]AUG 2024'!A16</f>
        <v>45507</v>
      </c>
      <c r="B2686" s="12" t="str">
        <f>'[1]AUG 2024'!B16</f>
        <v>VM</v>
      </c>
      <c r="C2686" s="3">
        <f>'[1]AUG 2024'!C16</f>
        <v>0</v>
      </c>
      <c r="D2686" s="3">
        <f>'[1]AUG 2024'!D16</f>
        <v>0</v>
      </c>
      <c r="E2686" s="4">
        <f>'[1]AUG 2024'!E16</f>
        <v>0</v>
      </c>
      <c r="F2686" s="6">
        <f>'[1]AUG 2024'!F16</f>
        <v>27.6</v>
      </c>
      <c r="G2686" s="4">
        <f>'[1]AUG 2024'!G16</f>
        <v>0</v>
      </c>
      <c r="H2686" s="4">
        <f>'[1]AUG 2024'!H16</f>
        <v>839</v>
      </c>
    </row>
    <row r="2687" spans="1:8" x14ac:dyDescent="0.2">
      <c r="A2687" s="23">
        <f>'[1]AUG 2024'!A17</f>
        <v>45507</v>
      </c>
      <c r="B2687" s="12" t="str">
        <f>'[1]AUG 2024'!B17</f>
        <v>LM</v>
      </c>
      <c r="C2687" s="3">
        <f>'[1]AUG 2024'!C17</f>
        <v>0</v>
      </c>
      <c r="D2687" s="3">
        <f>'[1]AUG 2024'!D17</f>
        <v>0</v>
      </c>
      <c r="E2687" s="4">
        <f>'[1]AUG 2024'!E17</f>
        <v>0</v>
      </c>
      <c r="F2687" s="6">
        <f>'[1]AUG 2024'!F17</f>
        <v>0</v>
      </c>
      <c r="G2687" s="4">
        <f>'[1]AUG 2024'!G17</f>
        <v>0</v>
      </c>
      <c r="H2687" s="4">
        <f>'[1]AUG 2024'!H17</f>
        <v>1455.99</v>
      </c>
    </row>
    <row r="2688" spans="1:8" x14ac:dyDescent="0.2">
      <c r="A2688" s="20">
        <f>'[1]AUG 2024'!A18</f>
        <v>45507</v>
      </c>
      <c r="B2688" s="12" t="str">
        <f>'[1]AUG 2024'!B18</f>
        <v>Frauen</v>
      </c>
      <c r="C2688" s="3">
        <f>'[1]AUG 2024'!C18</f>
        <v>0</v>
      </c>
      <c r="D2688" s="3">
        <f>'[1]AUG 2024'!D18</f>
        <v>0</v>
      </c>
      <c r="E2688" s="4">
        <f>'[1]AUG 2024'!E18</f>
        <v>0</v>
      </c>
      <c r="F2688" s="6">
        <f>'[1]AUG 2024'!F18</f>
        <v>0</v>
      </c>
      <c r="G2688" s="4">
        <f>'[1]AUG 2024'!G18</f>
        <v>0</v>
      </c>
      <c r="H2688" s="4">
        <f>'[1]AUG 2024'!H18</f>
        <v>3172</v>
      </c>
    </row>
    <row r="2689" spans="1:8" x14ac:dyDescent="0.2">
      <c r="A2689" s="23">
        <f>'[1]AUG 2024'!A19</f>
        <v>45507</v>
      </c>
      <c r="B2689" s="12" t="str">
        <f>'[1]AUG 2024'!B19</f>
        <v>Rauchen</v>
      </c>
      <c r="C2689" s="3">
        <f>'[1]AUG 2024'!C19</f>
        <v>0</v>
      </c>
      <c r="D2689" s="3">
        <f>'[1]AUG 2024'!D19</f>
        <v>0</v>
      </c>
      <c r="E2689" s="4">
        <f>'[1]AUG 2024'!E19</f>
        <v>0</v>
      </c>
      <c r="F2689" s="6">
        <f>'[1]AUG 2024'!F19</f>
        <v>0</v>
      </c>
      <c r="G2689" s="4">
        <f>'[1]AUG 2024'!G19</f>
        <v>0</v>
      </c>
      <c r="H2689" s="4">
        <f>'[1]AUG 2024'!H19</f>
        <v>180</v>
      </c>
    </row>
    <row r="2690" spans="1:8" x14ac:dyDescent="0.2">
      <c r="A2690" s="20">
        <f>'[1]AUG 2024'!A20</f>
        <v>45507</v>
      </c>
      <c r="B2690" s="12" t="str">
        <f>'[1]AUG 2024'!B20</f>
        <v>none</v>
      </c>
      <c r="C2690" s="3">
        <f>'[1]AUG 2024'!C20</f>
        <v>0</v>
      </c>
      <c r="D2690" s="3">
        <f>'[1]AUG 2024'!D20</f>
        <v>3000</v>
      </c>
      <c r="E2690" s="4">
        <f>'[1]AUG 2024'!E20</f>
        <v>0</v>
      </c>
      <c r="F2690" s="6">
        <f>'[1]AUG 2024'!F20</f>
        <v>0</v>
      </c>
      <c r="G2690" s="4">
        <f>'[1]AUG 2024'!G20</f>
        <v>3000</v>
      </c>
      <c r="H2690" s="4">
        <f>'[1]AUG 2024'!H20</f>
        <v>0</v>
      </c>
    </row>
    <row r="2691" spans="1:8" x14ac:dyDescent="0.2">
      <c r="A2691" s="23">
        <f>'[1]AUG 2024'!A23</f>
        <v>45508</v>
      </c>
      <c r="B2691" s="12" t="str">
        <f>'[1]AUG 2024'!B23</f>
        <v>for me</v>
      </c>
      <c r="C2691" s="3">
        <f>'[1]AUG 2024'!C23</f>
        <v>0</v>
      </c>
      <c r="D2691" s="3">
        <f>'[1]AUG 2024'!D23</f>
        <v>0</v>
      </c>
      <c r="E2691" s="4">
        <f>'[1]AUG 2024'!E23</f>
        <v>0</v>
      </c>
      <c r="F2691" s="6">
        <f>'[1]AUG 2024'!F23</f>
        <v>0</v>
      </c>
      <c r="G2691" s="4">
        <f>'[1]AUG 2024'!G23</f>
        <v>0</v>
      </c>
      <c r="H2691" s="4">
        <f>'[1]AUG 2024'!H23</f>
        <v>1290</v>
      </c>
    </row>
    <row r="2692" spans="1:8" x14ac:dyDescent="0.2">
      <c r="A2692" s="20">
        <f>'[1]AUG 2024'!A24</f>
        <v>45508</v>
      </c>
      <c r="B2692" s="12" t="str">
        <f>'[1]AUG 2024'!B24</f>
        <v>Rauchen</v>
      </c>
      <c r="C2692" s="3">
        <f>'[1]AUG 2024'!C24</f>
        <v>0</v>
      </c>
      <c r="D2692" s="3">
        <f>'[1]AUG 2024'!D24</f>
        <v>0</v>
      </c>
      <c r="E2692" s="4">
        <f>'[1]AUG 2024'!E24</f>
        <v>0</v>
      </c>
      <c r="F2692" s="6">
        <f>'[1]AUG 2024'!F24</f>
        <v>0</v>
      </c>
      <c r="G2692" s="4">
        <f>'[1]AUG 2024'!G24</f>
        <v>0</v>
      </c>
      <c r="H2692" s="4">
        <f>'[1]AUG 2024'!H24</f>
        <v>254</v>
      </c>
    </row>
    <row r="2693" spans="1:8" x14ac:dyDescent="0.2">
      <c r="A2693" s="23">
        <f>'[1]AUG 2024'!A25</f>
        <v>45508</v>
      </c>
      <c r="B2693" s="12" t="str">
        <f>'[1]AUG 2024'!B25</f>
        <v>LM</v>
      </c>
      <c r="C2693" s="3">
        <f>'[1]AUG 2024'!C25</f>
        <v>0</v>
      </c>
      <c r="D2693" s="3">
        <f>'[1]AUG 2024'!D25</f>
        <v>0</v>
      </c>
      <c r="E2693" s="4">
        <f>'[1]AUG 2024'!E25</f>
        <v>0</v>
      </c>
      <c r="F2693" s="6">
        <f>'[1]AUG 2024'!F25</f>
        <v>0</v>
      </c>
      <c r="G2693" s="4">
        <f>'[1]AUG 2024'!G25</f>
        <v>0</v>
      </c>
      <c r="H2693" s="4">
        <f>'[1]AUG 2024'!H25</f>
        <v>357.98</v>
      </c>
    </row>
    <row r="2694" spans="1:8" x14ac:dyDescent="0.2">
      <c r="A2694" s="20">
        <f>'[1]AUG 2024'!A26</f>
        <v>45508</v>
      </c>
      <c r="B2694" s="12" t="str">
        <f>'[1]AUG 2024'!B26</f>
        <v>VM</v>
      </c>
      <c r="C2694" s="3">
        <f>'[1]AUG 2024'!C26</f>
        <v>0</v>
      </c>
      <c r="D2694" s="3">
        <f>'[1]AUG 2024'!D26</f>
        <v>0</v>
      </c>
      <c r="E2694" s="4">
        <f>'[1]AUG 2024'!E26</f>
        <v>0</v>
      </c>
      <c r="F2694" s="6">
        <f>'[1]AUG 2024'!F26</f>
        <v>27.9</v>
      </c>
      <c r="G2694" s="4">
        <f>'[1]AUG 2024'!G26</f>
        <v>0</v>
      </c>
      <c r="H2694" s="4">
        <f>'[1]AUG 2024'!H26</f>
        <v>0</v>
      </c>
    </row>
    <row r="2695" spans="1:8" x14ac:dyDescent="0.2">
      <c r="A2695" s="20">
        <f>'[1]AUG 2024'!A30</f>
        <v>45509</v>
      </c>
      <c r="B2695" s="12" t="str">
        <f>'[1]AUG 2024'!B30</f>
        <v>Andere</v>
      </c>
      <c r="C2695" s="3">
        <f>'[1]AUG 2024'!C30</f>
        <v>0</v>
      </c>
      <c r="D2695" s="3">
        <f>'[1]AUG 2024'!D30</f>
        <v>0</v>
      </c>
      <c r="E2695" s="4">
        <f>'[1]AUG 2024'!E30</f>
        <v>0</v>
      </c>
      <c r="F2695" s="6">
        <f>'[1]AUG 2024'!F30</f>
        <v>0</v>
      </c>
      <c r="G2695" s="4">
        <f>'[1]AUG 2024'!G30</f>
        <v>0</v>
      </c>
      <c r="H2695" s="4">
        <f>'[1]AUG 2024'!H30</f>
        <v>1000</v>
      </c>
    </row>
    <row r="2696" spans="1:8" x14ac:dyDescent="0.2">
      <c r="A2696" s="23">
        <f>'[1]AUG 2024'!A31</f>
        <v>45509</v>
      </c>
      <c r="B2696" s="12" t="str">
        <f>'[1]AUG 2024'!B31</f>
        <v>none</v>
      </c>
      <c r="C2696" s="3">
        <f>'[1]AUG 2024'!C31</f>
        <v>0</v>
      </c>
      <c r="D2696" s="3">
        <f>'[1]AUG 2024'!D31</f>
        <v>0</v>
      </c>
      <c r="E2696" s="4">
        <f>'[1]AUG 2024'!E31</f>
        <v>0</v>
      </c>
      <c r="F2696" s="6">
        <f>'[1]AUG 2024'!F31</f>
        <v>0</v>
      </c>
      <c r="G2696" s="4">
        <f>'[1]AUG 2024'!G31</f>
        <v>0</v>
      </c>
      <c r="H2696" s="4">
        <f>'[1]AUG 2024'!H31</f>
        <v>500</v>
      </c>
    </row>
    <row r="2697" spans="1:8" x14ac:dyDescent="0.2">
      <c r="A2697" s="20">
        <f>'[1]AUG 2024'!A58</f>
        <v>45513</v>
      </c>
      <c r="B2697" s="12" t="str">
        <f>'[1]AUG 2024'!B58</f>
        <v>Party</v>
      </c>
      <c r="C2697" s="3">
        <f>'[1]AUG 2024'!C58</f>
        <v>0</v>
      </c>
      <c r="D2697" s="3">
        <f>'[1]AUG 2024'!D58</f>
        <v>0</v>
      </c>
      <c r="E2697" s="4">
        <f>'[1]AUG 2024'!E58</f>
        <v>0</v>
      </c>
      <c r="F2697" s="6">
        <f>'[1]AUG 2024'!F58</f>
        <v>0</v>
      </c>
      <c r="G2697" s="4">
        <f>'[1]AUG 2024'!G58</f>
        <v>0</v>
      </c>
      <c r="H2697" s="4">
        <f>'[1]AUG 2024'!H58</f>
        <v>2000</v>
      </c>
    </row>
    <row r="2698" spans="1:8" x14ac:dyDescent="0.2">
      <c r="A2698" s="23">
        <f>'[1]AUG 2024'!A59</f>
        <v>45513</v>
      </c>
      <c r="B2698" s="12" t="str">
        <f>'[1]AUG 2024'!B59</f>
        <v>Refill</v>
      </c>
      <c r="C2698" s="3">
        <f>'[1]AUG 2024'!C59</f>
        <v>220110</v>
      </c>
      <c r="D2698" s="3">
        <f>'[1]AUG 2024'!D59</f>
        <v>0</v>
      </c>
      <c r="E2698" s="4">
        <f>'[1]AUG 2024'!E59</f>
        <v>0</v>
      </c>
      <c r="F2698" s="6">
        <f>'[1]AUG 2024'!F59</f>
        <v>0</v>
      </c>
      <c r="G2698" s="4">
        <f>'[1]AUG 2024'!G59</f>
        <v>0</v>
      </c>
      <c r="H2698" s="4">
        <f>'[1]AUG 2024'!H59</f>
        <v>0</v>
      </c>
    </row>
    <row r="2699" spans="1:8" x14ac:dyDescent="0.2">
      <c r="A2699" s="20">
        <f>'[1]AUG 2024'!A72</f>
        <v>45515</v>
      </c>
      <c r="B2699" s="12" t="str">
        <f>'[1]AUG 2024'!B72</f>
        <v>LM</v>
      </c>
      <c r="C2699" s="3">
        <f>'[1]AUG 2024'!C72</f>
        <v>0</v>
      </c>
      <c r="D2699" s="3">
        <f>'[1]AUG 2024'!D72</f>
        <v>0</v>
      </c>
      <c r="E2699" s="4">
        <f>'[1]AUG 2024'!E72</f>
        <v>0</v>
      </c>
      <c r="F2699" s="6">
        <f>'[1]AUG 2024'!F72</f>
        <v>0</v>
      </c>
      <c r="G2699" s="4">
        <f>'[1]AUG 2024'!G72</f>
        <v>0</v>
      </c>
      <c r="H2699" s="4">
        <f>'[1]AUG 2024'!H72</f>
        <v>1000</v>
      </c>
    </row>
    <row r="2700" spans="1:8" x14ac:dyDescent="0.2">
      <c r="A2700" s="23">
        <f>'[1]AUG 2024'!A73</f>
        <v>45515</v>
      </c>
      <c r="B2700" s="12" t="str">
        <f>'[1]AUG 2024'!B73</f>
        <v>Andere</v>
      </c>
      <c r="C2700" s="3">
        <f>'[1]AUG 2024'!C73</f>
        <v>0</v>
      </c>
      <c r="D2700" s="3">
        <f>'[1]AUG 2024'!D73</f>
        <v>100</v>
      </c>
      <c r="E2700" s="4">
        <f>'[1]AUG 2024'!E73</f>
        <v>0</v>
      </c>
      <c r="F2700" s="6">
        <f>'[1]AUG 2024'!F73</f>
        <v>0</v>
      </c>
      <c r="G2700" s="4">
        <f>'[1]AUG 2024'!G73</f>
        <v>0</v>
      </c>
      <c r="H2700" s="4">
        <f>'[1]AUG 2024'!H73</f>
        <v>0</v>
      </c>
    </row>
    <row r="2701" spans="1:8" x14ac:dyDescent="0.2">
      <c r="A2701" s="23">
        <f>'[1]AUG 2024'!A79</f>
        <v>45516</v>
      </c>
      <c r="B2701" s="12" t="str">
        <f>'[1]AUG 2024'!B79</f>
        <v>none</v>
      </c>
      <c r="C2701" s="3">
        <f>'[1]AUG 2024'!C79</f>
        <v>0</v>
      </c>
      <c r="D2701" s="3">
        <f>'[1]AUG 2024'!D79</f>
        <v>220000</v>
      </c>
      <c r="E2701" s="4">
        <f>'[1]AUG 2024'!E79</f>
        <v>0</v>
      </c>
      <c r="F2701" s="6">
        <f>'[1]AUG 2024'!F79</f>
        <v>0</v>
      </c>
      <c r="G2701" s="4">
        <f>'[1]AUG 2024'!G79</f>
        <v>220000</v>
      </c>
      <c r="H2701" s="4">
        <f>'[1]AUG 2024'!H79</f>
        <v>0</v>
      </c>
    </row>
    <row r="2702" spans="1:8" x14ac:dyDescent="0.2">
      <c r="A2702" s="23">
        <f>'[1]AUG 2024'!A81</f>
        <v>45516</v>
      </c>
      <c r="B2702" s="12" t="str">
        <f>'[1]AUG 2024'!B81</f>
        <v>Andere</v>
      </c>
      <c r="C2702" s="3">
        <f>'[1]AUG 2024'!C81</f>
        <v>0</v>
      </c>
      <c r="D2702" s="3">
        <f>'[1]AUG 2024'!D81</f>
        <v>0</v>
      </c>
      <c r="E2702" s="4">
        <f>'[1]AUG 2024'!E81</f>
        <v>0</v>
      </c>
      <c r="F2702" s="6">
        <f>'[1]AUG 2024'!F81</f>
        <v>0</v>
      </c>
      <c r="G2702" s="4">
        <f>'[1]AUG 2024'!G81</f>
        <v>0</v>
      </c>
      <c r="H2702" s="4">
        <f>'[1]AUG 2024'!H81</f>
        <v>303</v>
      </c>
    </row>
    <row r="2703" spans="1:8" x14ac:dyDescent="0.2">
      <c r="A2703" s="20">
        <f>'[1]AUG 2024'!A86</f>
        <v>45517</v>
      </c>
      <c r="B2703" s="12" t="str">
        <f>'[1]AUG 2024'!B86</f>
        <v>Andere</v>
      </c>
      <c r="C2703" s="3">
        <f>'[1]AUG 2024'!C86</f>
        <v>0</v>
      </c>
      <c r="D2703" s="3">
        <f>'[1]AUG 2024'!D86</f>
        <v>0</v>
      </c>
      <c r="E2703" s="4">
        <f>'[1]AUG 2024'!E86</f>
        <v>0</v>
      </c>
      <c r="F2703" s="6">
        <f>'[1]AUG 2024'!F86</f>
        <v>0</v>
      </c>
      <c r="G2703" s="4">
        <f>'[1]AUG 2024'!G86</f>
        <v>0</v>
      </c>
      <c r="H2703" s="4">
        <f>'[1]AUG 2024'!H86</f>
        <v>25783</v>
      </c>
    </row>
    <row r="2704" spans="1:8" x14ac:dyDescent="0.2">
      <c r="A2704" s="23">
        <f>'[1]AUG 2024'!A107</f>
        <v>45520</v>
      </c>
      <c r="B2704" s="12" t="str">
        <f>'[1]AUG 2024'!B107</f>
        <v>LM</v>
      </c>
      <c r="C2704" s="3">
        <f>'[1]AUG 2024'!C107</f>
        <v>0</v>
      </c>
      <c r="D2704" s="3">
        <f>'[1]AUG 2024'!D107</f>
        <v>0</v>
      </c>
      <c r="E2704" s="4">
        <f>'[1]AUG 2024'!E107</f>
        <v>0</v>
      </c>
      <c r="F2704" s="6">
        <f>'[1]AUG 2024'!F107</f>
        <v>0</v>
      </c>
      <c r="G2704" s="4">
        <f>'[1]AUG 2024'!G107</f>
        <v>0</v>
      </c>
      <c r="H2704" s="4">
        <f>'[1]AUG 2024'!H107</f>
        <v>2000</v>
      </c>
    </row>
    <row r="2705" spans="1:8" x14ac:dyDescent="0.2">
      <c r="A2705" s="20">
        <f>'[1]AUG 2024'!A108</f>
        <v>45520</v>
      </c>
      <c r="B2705" s="12" t="str">
        <f>'[1]AUG 2024'!B108</f>
        <v>Frauen</v>
      </c>
      <c r="C2705" s="3">
        <f>'[1]AUG 2024'!C108</f>
        <v>0</v>
      </c>
      <c r="D2705" s="3">
        <f>'[1]AUG 2024'!D108</f>
        <v>0</v>
      </c>
      <c r="E2705" s="4">
        <f>'[1]AUG 2024'!E108</f>
        <v>0</v>
      </c>
      <c r="F2705" s="6">
        <f>'[1]AUG 2024'!F108</f>
        <v>0</v>
      </c>
      <c r="G2705" s="4">
        <f>'[1]AUG 2024'!G108</f>
        <v>0</v>
      </c>
      <c r="H2705" s="4">
        <f>'[1]AUG 2024'!H108</f>
        <v>4000</v>
      </c>
    </row>
    <row r="2706" spans="1:8" x14ac:dyDescent="0.2">
      <c r="A2706" s="23">
        <f>'[1]AUG 2024'!A109</f>
        <v>45520</v>
      </c>
      <c r="B2706" s="12" t="str">
        <f>'[1]AUG 2024'!B109</f>
        <v>for me</v>
      </c>
      <c r="C2706" s="3">
        <f>'[1]AUG 2024'!C109</f>
        <v>0</v>
      </c>
      <c r="D2706" s="3">
        <f>'[1]AUG 2024'!D109</f>
        <v>0</v>
      </c>
      <c r="E2706" s="4">
        <f>'[1]AUG 2024'!E109</f>
        <v>0</v>
      </c>
      <c r="F2706" s="6">
        <f>'[1]AUG 2024'!F109</f>
        <v>0</v>
      </c>
      <c r="G2706" s="4">
        <f>'[1]AUG 2024'!G109</f>
        <v>0</v>
      </c>
      <c r="H2706" s="4">
        <f>'[1]AUG 2024'!H109</f>
        <v>2856.0200000000004</v>
      </c>
    </row>
    <row r="2707" spans="1:8" x14ac:dyDescent="0.2">
      <c r="A2707" s="20">
        <f>'[1]AUG 2024'!A110</f>
        <v>45520</v>
      </c>
      <c r="B2707" s="12" t="str">
        <f>'[1]AUG 2024'!B110</f>
        <v>LM</v>
      </c>
      <c r="C2707" s="3">
        <f>'[1]AUG 2024'!C110</f>
        <v>0</v>
      </c>
      <c r="D2707" s="3">
        <f>'[1]AUG 2024'!D110</f>
        <v>0</v>
      </c>
      <c r="E2707" s="4">
        <f>'[1]AUG 2024'!E110</f>
        <v>0</v>
      </c>
      <c r="F2707" s="6">
        <f>'[1]AUG 2024'!F110</f>
        <v>0</v>
      </c>
      <c r="G2707" s="4">
        <f>'[1]AUG 2024'!G110</f>
        <v>0</v>
      </c>
      <c r="H2707" s="4">
        <f>'[1]AUG 2024'!H110</f>
        <v>971</v>
      </c>
    </row>
    <row r="2708" spans="1:8" x14ac:dyDescent="0.2">
      <c r="A2708" s="23">
        <f>'[1]AUG 2024'!A111</f>
        <v>45520</v>
      </c>
      <c r="B2708" s="12" t="str">
        <f>'[1]AUG 2024'!B111</f>
        <v>VM</v>
      </c>
      <c r="C2708" s="3">
        <f>'[1]AUG 2024'!C111</f>
        <v>0</v>
      </c>
      <c r="D2708" s="3">
        <f>'[1]AUG 2024'!D111</f>
        <v>0</v>
      </c>
      <c r="E2708" s="4">
        <f>'[1]AUG 2024'!E111</f>
        <v>0</v>
      </c>
      <c r="F2708" s="6">
        <f>'[1]AUG 2024'!F111</f>
        <v>28.8</v>
      </c>
      <c r="G2708" s="4">
        <f>'[1]AUG 2024'!G111</f>
        <v>0</v>
      </c>
      <c r="H2708" s="4">
        <f>'[1]AUG 2024'!H111</f>
        <v>0</v>
      </c>
    </row>
    <row r="2709" spans="1:8" x14ac:dyDescent="0.2">
      <c r="A2709" s="20">
        <f>'[1]AUG 2024'!A114</f>
        <v>45521</v>
      </c>
      <c r="B2709" s="12" t="str">
        <f>'[1]AUG 2024'!B114</f>
        <v>none</v>
      </c>
      <c r="C2709" s="3">
        <f>'[1]AUG 2024'!C114</f>
        <v>0</v>
      </c>
      <c r="D2709" s="3">
        <f>'[1]AUG 2024'!D114</f>
        <v>0</v>
      </c>
      <c r="E2709" s="4">
        <f>'[1]AUG 2024'!E114</f>
        <v>55000</v>
      </c>
      <c r="F2709" s="6">
        <f>'[1]AUG 2024'!F114</f>
        <v>0</v>
      </c>
      <c r="G2709" s="4">
        <f>'[1]AUG 2024'!G114</f>
        <v>0</v>
      </c>
      <c r="H2709" s="4">
        <f>'[1]AUG 2024'!H114</f>
        <v>55000</v>
      </c>
    </row>
    <row r="2710" spans="1:8" x14ac:dyDescent="0.2">
      <c r="A2710" s="23">
        <f>'[1]AUG 2024'!A115</f>
        <v>45521</v>
      </c>
      <c r="B2710" s="12" t="str">
        <f>'[1]AUG 2024'!B115</f>
        <v>LM</v>
      </c>
      <c r="C2710" s="3">
        <f>'[1]AUG 2024'!C115</f>
        <v>0</v>
      </c>
      <c r="D2710" s="3">
        <f>'[1]AUG 2024'!D115</f>
        <v>0</v>
      </c>
      <c r="E2710" s="4">
        <f>'[1]AUG 2024'!E115</f>
        <v>0</v>
      </c>
      <c r="F2710" s="6">
        <f>'[1]AUG 2024'!F115</f>
        <v>0</v>
      </c>
      <c r="G2710" s="4">
        <f>'[1]AUG 2024'!G115</f>
        <v>0</v>
      </c>
      <c r="H2710" s="4">
        <f>'[1]AUG 2024'!H115</f>
        <v>1355</v>
      </c>
    </row>
    <row r="2711" spans="1:8" x14ac:dyDescent="0.2">
      <c r="A2711" s="20">
        <f>'[1]AUG 2024'!A116</f>
        <v>45521</v>
      </c>
      <c r="B2711" s="12" t="str">
        <f>'[1]AUG 2024'!B116</f>
        <v>Andere</v>
      </c>
      <c r="C2711" s="3">
        <f>'[1]AUG 2024'!C116</f>
        <v>0</v>
      </c>
      <c r="D2711" s="3">
        <f>'[1]AUG 2024'!D116</f>
        <v>0</v>
      </c>
      <c r="E2711" s="4">
        <f>'[1]AUG 2024'!E116</f>
        <v>0</v>
      </c>
      <c r="F2711" s="6">
        <f>'[1]AUG 2024'!F116</f>
        <v>0</v>
      </c>
      <c r="G2711" s="4">
        <f>'[1]AUG 2024'!G116</f>
        <v>0</v>
      </c>
      <c r="H2711" s="4">
        <f>'[1]AUG 2024'!H116</f>
        <v>1974</v>
      </c>
    </row>
    <row r="2712" spans="1:8" x14ac:dyDescent="0.2">
      <c r="A2712" s="23">
        <f>'[1]AUG 2024'!A117</f>
        <v>45521</v>
      </c>
      <c r="B2712" s="12" t="str">
        <f>'[1]AUG 2024'!B117</f>
        <v>rent</v>
      </c>
      <c r="C2712" s="3">
        <f>'[1]AUG 2024'!C117</f>
        <v>0</v>
      </c>
      <c r="D2712" s="3">
        <f>'[1]AUG 2024'!D117</f>
        <v>0</v>
      </c>
      <c r="E2712" s="4">
        <f>'[1]AUG 2024'!E117</f>
        <v>0</v>
      </c>
      <c r="F2712" s="6">
        <f>'[1]AUG 2024'!F117</f>
        <v>59183.93</v>
      </c>
      <c r="G2712" s="4">
        <f>'[1]AUG 2024'!G117</f>
        <v>0</v>
      </c>
      <c r="H2712" s="4">
        <f>'[1]AUG 2024'!H117</f>
        <v>0</v>
      </c>
    </row>
    <row r="2713" spans="1:8" x14ac:dyDescent="0.2">
      <c r="A2713" s="20">
        <f>'[1]AUG 2024'!A118</f>
        <v>45521</v>
      </c>
      <c r="B2713" s="12" t="str">
        <f>'[1]AUG 2024'!B118</f>
        <v>VM</v>
      </c>
      <c r="C2713" s="3">
        <f>'[1]AUG 2024'!C118</f>
        <v>0</v>
      </c>
      <c r="D2713" s="3">
        <f>'[1]AUG 2024'!D118</f>
        <v>0</v>
      </c>
      <c r="E2713" s="4">
        <f>'[1]AUG 2024'!E118</f>
        <v>0</v>
      </c>
      <c r="F2713" s="6">
        <f>'[1]AUG 2024'!F118</f>
        <v>18</v>
      </c>
      <c r="G2713" s="4">
        <f>'[1]AUG 2024'!G118</f>
        <v>0</v>
      </c>
      <c r="H2713" s="4">
        <f>'[1]AUG 2024'!H118</f>
        <v>0</v>
      </c>
    </row>
    <row r="2714" spans="1:8" x14ac:dyDescent="0.2">
      <c r="A2714" s="23">
        <f>'[1]AUG 2024'!A121</f>
        <v>45522</v>
      </c>
      <c r="B2714" s="12" t="str">
        <f>'[1]AUG 2024'!B121</f>
        <v>Andere</v>
      </c>
      <c r="C2714" s="3">
        <f>'[1]AUG 2024'!C121</f>
        <v>0</v>
      </c>
      <c r="D2714" s="3">
        <f>'[1]AUG 2024'!D121</f>
        <v>100</v>
      </c>
      <c r="E2714" s="4">
        <f>'[1]AUG 2024'!E121</f>
        <v>0</v>
      </c>
      <c r="F2714" s="6">
        <f>'[1]AUG 2024'!F121</f>
        <v>0</v>
      </c>
      <c r="G2714" s="4">
        <f>'[1]AUG 2024'!G121</f>
        <v>0</v>
      </c>
      <c r="H2714" s="4">
        <f>'[1]AUG 2024'!H121</f>
        <v>0</v>
      </c>
    </row>
    <row r="2715" spans="1:8" x14ac:dyDescent="0.2">
      <c r="A2715" s="20">
        <f>'[1]AUG 2024'!A122</f>
        <v>45522</v>
      </c>
      <c r="B2715" s="12" t="str">
        <f>'[1]AUG 2024'!B122</f>
        <v>Kleidung</v>
      </c>
      <c r="C2715" s="3">
        <f>'[1]AUG 2024'!C122</f>
        <v>0</v>
      </c>
      <c r="D2715" s="3">
        <f>'[1]AUG 2024'!D122</f>
        <v>0</v>
      </c>
      <c r="E2715" s="4">
        <f>'[1]AUG 2024'!E122</f>
        <v>0</v>
      </c>
      <c r="F2715" s="6">
        <f>'[1]AUG 2024'!F122</f>
        <v>0</v>
      </c>
      <c r="G2715" s="4">
        <f>'[1]AUG 2024'!G122</f>
        <v>0</v>
      </c>
      <c r="H2715" s="4">
        <f>'[1]AUG 2024'!H122</f>
        <v>15924</v>
      </c>
    </row>
    <row r="2716" spans="1:8" x14ac:dyDescent="0.2">
      <c r="A2716" s="23">
        <f>'[1]AUG 2024'!A123</f>
        <v>45522</v>
      </c>
      <c r="B2716" s="12" t="str">
        <f>'[1]AUG 2024'!B123</f>
        <v>LM</v>
      </c>
      <c r="C2716" s="3">
        <f>'[1]AUG 2024'!C123</f>
        <v>0</v>
      </c>
      <c r="D2716" s="3">
        <f>'[1]AUG 2024'!D123</f>
        <v>0</v>
      </c>
      <c r="E2716" s="4">
        <f>'[1]AUG 2024'!E123</f>
        <v>0</v>
      </c>
      <c r="F2716" s="6">
        <f>'[1]AUG 2024'!F123</f>
        <v>0</v>
      </c>
      <c r="G2716" s="4">
        <f>'[1]AUG 2024'!G123</f>
        <v>0</v>
      </c>
      <c r="H2716" s="4">
        <f>'[1]AUG 2024'!H123</f>
        <v>1155</v>
      </c>
    </row>
    <row r="2717" spans="1:8" x14ac:dyDescent="0.2">
      <c r="A2717" s="20">
        <f>'[1]AUG 2024'!A124</f>
        <v>45522</v>
      </c>
      <c r="B2717" s="12" t="str">
        <f>'[1]AUG 2024'!B124</f>
        <v>VM</v>
      </c>
      <c r="C2717" s="3">
        <f>'[1]AUG 2024'!C124</f>
        <v>0</v>
      </c>
      <c r="D2717" s="3">
        <f>'[1]AUG 2024'!D124</f>
        <v>0</v>
      </c>
      <c r="E2717" s="4">
        <f>'[1]AUG 2024'!E124</f>
        <v>0</v>
      </c>
      <c r="F2717" s="6">
        <f>'[1]AUG 2024'!F124</f>
        <v>64.5</v>
      </c>
      <c r="G2717" s="4">
        <f>'[1]AUG 2024'!G124</f>
        <v>0</v>
      </c>
      <c r="H2717" s="4">
        <f>'[1]AUG 2024'!H124</f>
        <v>0</v>
      </c>
    </row>
    <row r="2718" spans="1:8" x14ac:dyDescent="0.2">
      <c r="A2718" s="20">
        <f>'[1]AUG 2024'!A128</f>
        <v>45523</v>
      </c>
      <c r="B2718" s="12" t="str">
        <f>'[1]AUG 2024'!B128</f>
        <v>VM</v>
      </c>
      <c r="C2718" s="3">
        <f>'[1]AUG 2024'!C128</f>
        <v>0</v>
      </c>
      <c r="D2718" s="3">
        <f>'[1]AUG 2024'!D128</f>
        <v>0</v>
      </c>
      <c r="E2718" s="4">
        <f>'[1]AUG 2024'!E128</f>
        <v>0</v>
      </c>
      <c r="F2718" s="6">
        <f>'[1]AUG 2024'!F128</f>
        <v>198.76</v>
      </c>
      <c r="G2718" s="4">
        <f>'[1]AUG 2024'!G128</f>
        <v>0</v>
      </c>
      <c r="H2718" s="4">
        <f>'[1]AUG 2024'!H128</f>
        <v>1458</v>
      </c>
    </row>
    <row r="2719" spans="1:8" x14ac:dyDescent="0.2">
      <c r="A2719" s="23">
        <f>'[1]AUG 2024'!A129</f>
        <v>45523</v>
      </c>
      <c r="B2719" s="12" t="str">
        <f>'[1]AUG 2024'!B129</f>
        <v>LM</v>
      </c>
      <c r="C2719" s="3">
        <f>'[1]AUG 2024'!C129</f>
        <v>0</v>
      </c>
      <c r="D2719" s="3">
        <f>'[1]AUG 2024'!D129</f>
        <v>0</v>
      </c>
      <c r="E2719" s="4">
        <f>'[1]AUG 2024'!E129</f>
        <v>0</v>
      </c>
      <c r="F2719" s="6">
        <f>'[1]AUG 2024'!F129</f>
        <v>0</v>
      </c>
      <c r="G2719" s="4">
        <f>'[1]AUG 2024'!G129</f>
        <v>0</v>
      </c>
      <c r="H2719" s="4">
        <f>'[1]AUG 2024'!H129</f>
        <v>1296.8600000000001</v>
      </c>
    </row>
    <row r="2720" spans="1:8" x14ac:dyDescent="0.2">
      <c r="A2720" s="23">
        <f>'[1]AUG 2024'!A135</f>
        <v>45524</v>
      </c>
      <c r="B2720" s="12" t="str">
        <f>'[1]AUG 2024'!B135</f>
        <v>VM</v>
      </c>
      <c r="C2720" s="3">
        <f>'[1]AUG 2024'!C135</f>
        <v>0</v>
      </c>
      <c r="D2720" s="3">
        <f>'[1]AUG 2024'!D135</f>
        <v>0</v>
      </c>
      <c r="E2720" s="4">
        <f>'[1]AUG 2024'!E135</f>
        <v>0</v>
      </c>
      <c r="F2720" s="6">
        <f>'[1]AUG 2024'!F135</f>
        <v>26.1</v>
      </c>
      <c r="G2720" s="4">
        <f>'[1]AUG 2024'!G135</f>
        <v>0</v>
      </c>
      <c r="H2720" s="4">
        <f>'[1]AUG 2024'!H135</f>
        <v>383</v>
      </c>
    </row>
    <row r="2721" spans="1:8" x14ac:dyDescent="0.2">
      <c r="A2721" s="20">
        <f>'[1]AUG 2024'!A136</f>
        <v>45524</v>
      </c>
      <c r="B2721" s="12" t="str">
        <f>'[1]AUG 2024'!B136</f>
        <v>LM</v>
      </c>
      <c r="C2721" s="3">
        <f>'[1]AUG 2024'!C136</f>
        <v>0</v>
      </c>
      <c r="D2721" s="3">
        <f>'[1]AUG 2024'!D136</f>
        <v>0</v>
      </c>
      <c r="E2721" s="4">
        <f>'[1]AUG 2024'!E136</f>
        <v>0</v>
      </c>
      <c r="F2721" s="6">
        <f>'[1]AUG 2024'!F136</f>
        <v>0</v>
      </c>
      <c r="G2721" s="4">
        <f>'[1]AUG 2024'!G136</f>
        <v>0</v>
      </c>
      <c r="H2721" s="4">
        <f>'[1]AUG 2024'!H136</f>
        <v>269.97000000000003</v>
      </c>
    </row>
    <row r="2722" spans="1:8" x14ac:dyDescent="0.2">
      <c r="A2722" s="20">
        <f>'[1]AUG 2024'!A142</f>
        <v>45525</v>
      </c>
      <c r="B2722" s="12" t="str">
        <f>'[1]AUG 2024'!B142</f>
        <v>VM</v>
      </c>
      <c r="C2722" s="3">
        <f>'[1]AUG 2024'!C142</f>
        <v>0</v>
      </c>
      <c r="D2722" s="3">
        <f>'[1]AUG 2024'!D142</f>
        <v>0</v>
      </c>
      <c r="E2722" s="4">
        <f>'[1]AUG 2024'!E142</f>
        <v>0</v>
      </c>
      <c r="F2722" s="6">
        <f>'[1]AUG 2024'!F142</f>
        <v>83.4</v>
      </c>
      <c r="G2722" s="4">
        <f>'[1]AUG 2024'!G142</f>
        <v>0</v>
      </c>
      <c r="H2722" s="4">
        <f>'[1]AUG 2024'!H142</f>
        <v>978</v>
      </c>
    </row>
    <row r="2723" spans="1:8" x14ac:dyDescent="0.2">
      <c r="A2723" s="23">
        <f>'[1]AUG 2024'!A143</f>
        <v>45525</v>
      </c>
      <c r="B2723" s="12" t="str">
        <f>'[1]AUG 2024'!B143</f>
        <v>LM</v>
      </c>
      <c r="C2723" s="3">
        <f>'[1]AUG 2024'!C143</f>
        <v>0</v>
      </c>
      <c r="D2723" s="3">
        <f>'[1]AUG 2024'!D143</f>
        <v>0</v>
      </c>
      <c r="E2723" s="4">
        <f>'[1]AUG 2024'!E143</f>
        <v>0</v>
      </c>
      <c r="F2723" s="6">
        <f>'[1]AUG 2024'!F143</f>
        <v>0</v>
      </c>
      <c r="G2723" s="4">
        <f>'[1]AUG 2024'!G143</f>
        <v>0</v>
      </c>
      <c r="H2723" s="4">
        <f>'[1]AUG 2024'!H143</f>
        <v>824.97</v>
      </c>
    </row>
    <row r="2724" spans="1:8" x14ac:dyDescent="0.2">
      <c r="A2724" s="23">
        <f>'[1]AUG 2024'!A149</f>
        <v>45526</v>
      </c>
      <c r="B2724" s="12" t="str">
        <f>'[1]AUG 2024'!B149</f>
        <v>LM</v>
      </c>
      <c r="C2724" s="3">
        <f>'[1]AUG 2024'!C149</f>
        <v>0</v>
      </c>
      <c r="D2724" s="3">
        <f>'[1]AUG 2024'!D149</f>
        <v>0</v>
      </c>
      <c r="E2724" s="4">
        <f>'[1]AUG 2024'!E149</f>
        <v>0</v>
      </c>
      <c r="F2724" s="6">
        <f>'[1]AUG 2024'!F149</f>
        <v>0</v>
      </c>
      <c r="G2724" s="4">
        <f>'[1]AUG 2024'!G149</f>
        <v>0</v>
      </c>
      <c r="H2724" s="4">
        <f>'[1]AUG 2024'!H149</f>
        <v>284</v>
      </c>
    </row>
    <row r="2725" spans="1:8" x14ac:dyDescent="0.2">
      <c r="A2725" s="20">
        <f>'[1]AUG 2024'!A150</f>
        <v>45526</v>
      </c>
      <c r="B2725" s="12" t="str">
        <f>'[1]AUG 2024'!B150</f>
        <v>VM</v>
      </c>
      <c r="C2725" s="3">
        <f>'[1]AUG 2024'!C150</f>
        <v>0</v>
      </c>
      <c r="D2725" s="3">
        <f>'[1]AUG 2024'!D150</f>
        <v>0</v>
      </c>
      <c r="E2725" s="4">
        <f>'[1]AUG 2024'!E150</f>
        <v>0</v>
      </c>
      <c r="F2725" s="6">
        <f>'[1]AUG 2024'!F150</f>
        <v>27</v>
      </c>
      <c r="G2725" s="4">
        <f>'[1]AUG 2024'!G150</f>
        <v>0</v>
      </c>
      <c r="H2725" s="4">
        <f>'[1]AUG 2024'!H150</f>
        <v>1000</v>
      </c>
    </row>
    <row r="2726" spans="1:8" x14ac:dyDescent="0.2">
      <c r="A2726" s="23">
        <f>'[1]AUG 2024'!A151</f>
        <v>45526</v>
      </c>
      <c r="B2726" s="12" t="str">
        <f>'[1]AUG 2024'!B151</f>
        <v>VM</v>
      </c>
      <c r="C2726" s="3">
        <f>'[1]AUG 2024'!C151</f>
        <v>0</v>
      </c>
      <c r="D2726" s="3">
        <f>'[1]AUG 2024'!D151</f>
        <v>0</v>
      </c>
      <c r="E2726" s="4">
        <f>'[1]AUG 2024'!E151</f>
        <v>0</v>
      </c>
      <c r="F2726" s="6">
        <f>'[1]AUG 2024'!F151</f>
        <v>0</v>
      </c>
      <c r="G2726" s="4">
        <f>'[1]AUG 2024'!G151</f>
        <v>0</v>
      </c>
      <c r="H2726" s="4">
        <f>'[1]AUG 2024'!H151</f>
        <v>932</v>
      </c>
    </row>
    <row r="2727" spans="1:8" x14ac:dyDescent="0.2">
      <c r="A2727" s="20">
        <f>'[1]AUG 2024'!A152</f>
        <v>45526</v>
      </c>
      <c r="B2727" s="12" t="str">
        <f>'[1]AUG 2024'!B152</f>
        <v>Frauen</v>
      </c>
      <c r="C2727" s="3">
        <f>'[1]AUG 2024'!C152</f>
        <v>0</v>
      </c>
      <c r="D2727" s="3">
        <f>'[1]AUG 2024'!D152</f>
        <v>0</v>
      </c>
      <c r="E2727" s="4">
        <f>'[1]AUG 2024'!E152</f>
        <v>0</v>
      </c>
      <c r="F2727" s="6">
        <f>'[1]AUG 2024'!F152</f>
        <v>0</v>
      </c>
      <c r="G2727" s="4">
        <f>'[1]AUG 2024'!G152</f>
        <v>0</v>
      </c>
      <c r="H2727" s="4">
        <f>'[1]AUG 2024'!H152</f>
        <v>3870</v>
      </c>
    </row>
    <row r="2728" spans="1:8" x14ac:dyDescent="0.2">
      <c r="A2728" s="20">
        <f>'[1]AUG 2024'!A156</f>
        <v>45527</v>
      </c>
      <c r="B2728" s="12" t="str">
        <f>'[1]AUG 2024'!B156</f>
        <v>Rauchen</v>
      </c>
      <c r="C2728" s="3">
        <f>'[1]AUG 2024'!C156</f>
        <v>0</v>
      </c>
      <c r="D2728" s="3">
        <f>'[1]AUG 2024'!D156</f>
        <v>0</v>
      </c>
      <c r="E2728" s="4">
        <f>'[1]AUG 2024'!E156</f>
        <v>0</v>
      </c>
      <c r="F2728" s="6">
        <f>'[1]AUG 2024'!F156</f>
        <v>0</v>
      </c>
      <c r="G2728" s="4">
        <f>'[1]AUG 2024'!G156</f>
        <v>0</v>
      </c>
      <c r="H2728" s="4">
        <f>'[1]AUG 2024'!H156</f>
        <v>190</v>
      </c>
    </row>
    <row r="2729" spans="1:8" x14ac:dyDescent="0.2">
      <c r="A2729" s="23">
        <f>'[1]AUG 2024'!A157</f>
        <v>45527</v>
      </c>
      <c r="B2729" s="12" t="str">
        <f>'[1]AUG 2024'!B157</f>
        <v>LM</v>
      </c>
      <c r="C2729" s="3">
        <f>'[1]AUG 2024'!C157</f>
        <v>0</v>
      </c>
      <c r="D2729" s="3">
        <f>'[1]AUG 2024'!D157</f>
        <v>0</v>
      </c>
      <c r="E2729" s="4">
        <f>'[1]AUG 2024'!E157</f>
        <v>0</v>
      </c>
      <c r="F2729" s="6">
        <f>'[1]AUG 2024'!F157</f>
        <v>0</v>
      </c>
      <c r="G2729" s="4">
        <f>'[1]AUG 2024'!G157</f>
        <v>0</v>
      </c>
      <c r="H2729" s="4">
        <f>'[1]AUG 2024'!H157</f>
        <v>499.98</v>
      </c>
    </row>
    <row r="2730" spans="1:8" x14ac:dyDescent="0.2">
      <c r="A2730" s="20">
        <f>'[1]AUG 2024'!A158</f>
        <v>45527</v>
      </c>
      <c r="B2730" s="12" t="str">
        <f>'[1]AUG 2024'!B158</f>
        <v>VM</v>
      </c>
      <c r="C2730" s="3">
        <f>'[1]AUG 2024'!C158</f>
        <v>0</v>
      </c>
      <c r="D2730" s="3">
        <f>'[1]AUG 2024'!D158</f>
        <v>0</v>
      </c>
      <c r="E2730" s="4">
        <f>'[1]AUG 2024'!E158</f>
        <v>0</v>
      </c>
      <c r="F2730" s="6">
        <f>'[1]AUG 2024'!F158</f>
        <v>0</v>
      </c>
      <c r="G2730" s="4">
        <f>'[1]AUG 2024'!G158</f>
        <v>0</v>
      </c>
      <c r="H2730" s="4">
        <f>'[1]AUG 2024'!H158</f>
        <v>64</v>
      </c>
    </row>
    <row r="2731" spans="1:8" x14ac:dyDescent="0.2">
      <c r="A2731" s="23">
        <f>'[1]AUG 2024'!A159</f>
        <v>45527</v>
      </c>
      <c r="B2731" s="12" t="str">
        <f>'[1]AUG 2024'!B159</f>
        <v>Refill</v>
      </c>
      <c r="C2731" s="3">
        <f>'[1]AUG 2024'!C159</f>
        <v>0</v>
      </c>
      <c r="D2731" s="3">
        <f>'[1]AUG 2024'!D159</f>
        <v>0</v>
      </c>
      <c r="E2731" s="4">
        <f>'[1]AUG 2024'!E159</f>
        <v>0</v>
      </c>
      <c r="F2731" s="6">
        <f>'[1]AUG 2024'!F159</f>
        <v>0</v>
      </c>
      <c r="G2731" s="4">
        <f>'[1]AUG 2024'!G159</f>
        <v>26400</v>
      </c>
      <c r="H2731" s="4">
        <f>'[1]AUG 2024'!H159</f>
        <v>0</v>
      </c>
    </row>
    <row r="2732" spans="1:8" x14ac:dyDescent="0.2">
      <c r="A2732" s="23">
        <f>'[1]AUG 2024'!A163</f>
        <v>45528</v>
      </c>
      <c r="B2732" s="12" t="str">
        <f>'[1]AUG 2024'!B163</f>
        <v>LM</v>
      </c>
      <c r="C2732" s="3">
        <f>'[1]AUG 2024'!C163</f>
        <v>0</v>
      </c>
      <c r="D2732" s="3">
        <f>'[1]AUG 2024'!D163</f>
        <v>0</v>
      </c>
      <c r="E2732" s="4">
        <f>'[1]AUG 2024'!E163</f>
        <v>0</v>
      </c>
      <c r="F2732" s="6">
        <f>'[1]AUG 2024'!F163</f>
        <v>0</v>
      </c>
      <c r="G2732" s="4">
        <f>'[1]AUG 2024'!G163</f>
        <v>0</v>
      </c>
      <c r="H2732" s="4">
        <f>'[1]AUG 2024'!H163</f>
        <v>139.99</v>
      </c>
    </row>
    <row r="2733" spans="1:8" x14ac:dyDescent="0.2">
      <c r="A2733" s="20">
        <f>'[1]AUG 2024'!A164</f>
        <v>45528</v>
      </c>
      <c r="B2733" s="12" t="str">
        <f>'[1]AUG 2024'!B164</f>
        <v>Andere</v>
      </c>
      <c r="C2733" s="3">
        <f>'[1]AUG 2024'!C164</f>
        <v>0</v>
      </c>
      <c r="D2733" s="3">
        <f>'[1]AUG 2024'!D164</f>
        <v>0</v>
      </c>
      <c r="E2733" s="4">
        <f>'[1]AUG 2024'!E164</f>
        <v>0</v>
      </c>
      <c r="F2733" s="6">
        <f>'[1]AUG 2024'!F164</f>
        <v>0</v>
      </c>
      <c r="G2733" s="4">
        <f>'[1]AUG 2024'!G164</f>
        <v>0</v>
      </c>
      <c r="H2733" s="4">
        <f>'[1]AUG 2024'!H164</f>
        <v>10000</v>
      </c>
    </row>
    <row r="2734" spans="1:8" x14ac:dyDescent="0.2">
      <c r="A2734" s="23">
        <f>'[1]AUG 2024'!A165</f>
        <v>45528</v>
      </c>
      <c r="B2734" s="12" t="str">
        <f>'[1]AUG 2024'!B165</f>
        <v>VM</v>
      </c>
      <c r="C2734" s="3">
        <f>'[1]AUG 2024'!C165</f>
        <v>0</v>
      </c>
      <c r="D2734" s="3">
        <f>'[1]AUG 2024'!D165</f>
        <v>0</v>
      </c>
      <c r="E2734" s="4">
        <f>'[1]AUG 2024'!E165</f>
        <v>0</v>
      </c>
      <c r="F2734" s="6">
        <f>'[1]AUG 2024'!F165</f>
        <v>149</v>
      </c>
      <c r="G2734" s="4">
        <f>'[1]AUG 2024'!G165</f>
        <v>0</v>
      </c>
      <c r="H2734" s="4">
        <f>'[1]AUG 2024'!H165</f>
        <v>0</v>
      </c>
    </row>
    <row r="2735" spans="1:8" x14ac:dyDescent="0.2">
      <c r="A2735" s="20">
        <f>'[1]AUG 2024'!A170</f>
        <v>45529</v>
      </c>
      <c r="B2735" s="12" t="str">
        <f>'[1]AUG 2024'!B170</f>
        <v>LM</v>
      </c>
      <c r="C2735" s="3">
        <f>'[1]AUG 2024'!C170</f>
        <v>0</v>
      </c>
      <c r="D2735" s="3">
        <f>'[1]AUG 2024'!D170</f>
        <v>0</v>
      </c>
      <c r="E2735" s="4">
        <f>'[1]AUG 2024'!E170</f>
        <v>0</v>
      </c>
      <c r="F2735" s="6">
        <f>'[1]AUG 2024'!F170</f>
        <v>0</v>
      </c>
      <c r="G2735" s="4">
        <f>'[1]AUG 2024'!G170</f>
        <v>0</v>
      </c>
      <c r="H2735" s="4">
        <f>'[1]AUG 2024'!H170</f>
        <v>1095</v>
      </c>
    </row>
    <row r="2736" spans="1:8" x14ac:dyDescent="0.2">
      <c r="A2736" s="23">
        <f>'[1]AUG 2024'!A171</f>
        <v>45529</v>
      </c>
      <c r="B2736" s="12" t="str">
        <f>'[1]AUG 2024'!B171</f>
        <v>VM</v>
      </c>
      <c r="C2736" s="3">
        <f>'[1]AUG 2024'!C171</f>
        <v>0</v>
      </c>
      <c r="D2736" s="3">
        <f>'[1]AUG 2024'!D171</f>
        <v>0</v>
      </c>
      <c r="E2736" s="4">
        <f>'[1]AUG 2024'!E171</f>
        <v>0</v>
      </c>
      <c r="F2736" s="6">
        <f>'[1]AUG 2024'!F171</f>
        <v>0</v>
      </c>
      <c r="G2736" s="4">
        <f>'[1]AUG 2024'!G171</f>
        <v>0</v>
      </c>
      <c r="H2736" s="4">
        <f>'[1]AUG 2024'!H171</f>
        <v>1308</v>
      </c>
    </row>
    <row r="2737" spans="1:8" x14ac:dyDescent="0.2">
      <c r="A2737" s="23">
        <f>'[1]AUG 2024'!A177</f>
        <v>45530</v>
      </c>
      <c r="B2737" s="12" t="str">
        <f>'[1]AUG 2024'!B177</f>
        <v>Rauchen</v>
      </c>
      <c r="C2737" s="3">
        <f>'[1]AUG 2024'!C177</f>
        <v>0</v>
      </c>
      <c r="D2737" s="3">
        <f>'[1]AUG 2024'!D177</f>
        <v>0</v>
      </c>
      <c r="E2737" s="4">
        <f>'[1]AUG 2024'!E177</f>
        <v>0</v>
      </c>
      <c r="F2737" s="6">
        <f>'[1]AUG 2024'!F177</f>
        <v>0</v>
      </c>
      <c r="G2737" s="4">
        <f>'[1]AUG 2024'!G177</f>
        <v>0</v>
      </c>
      <c r="H2737" s="4">
        <f>'[1]AUG 2024'!H177</f>
        <v>180</v>
      </c>
    </row>
    <row r="2738" spans="1:8" x14ac:dyDescent="0.2">
      <c r="A2738" s="20">
        <f>'[1]AUG 2024'!A178</f>
        <v>45530</v>
      </c>
      <c r="B2738" s="12" t="str">
        <f>'[1]AUG 2024'!B178</f>
        <v>Andere</v>
      </c>
      <c r="C2738" s="3">
        <f>'[1]AUG 2024'!C178</f>
        <v>0</v>
      </c>
      <c r="D2738" s="3">
        <f>'[1]AUG 2024'!D178</f>
        <v>0</v>
      </c>
      <c r="E2738" s="4">
        <f>'[1]AUG 2024'!E178</f>
        <v>0</v>
      </c>
      <c r="F2738" s="6">
        <f>'[1]AUG 2024'!F178</f>
        <v>0</v>
      </c>
      <c r="G2738" s="4">
        <f>'[1]AUG 2024'!G178</f>
        <v>0</v>
      </c>
      <c r="H2738" s="4">
        <f>'[1]AUG 2024'!H178</f>
        <v>2000</v>
      </c>
    </row>
    <row r="2739" spans="1:8" x14ac:dyDescent="0.2">
      <c r="A2739" s="23">
        <f>'[1]AUG 2024'!A179</f>
        <v>45530</v>
      </c>
      <c r="B2739" s="12" t="str">
        <f>'[1]AUG 2024'!B179</f>
        <v>Refill</v>
      </c>
      <c r="C2739" s="3">
        <f>'[1]AUG 2024'!C179</f>
        <v>0</v>
      </c>
      <c r="D2739" s="3">
        <f>'[1]AUG 2024'!D179</f>
        <v>0</v>
      </c>
      <c r="E2739" s="4">
        <f>'[1]AUG 2024'!E179</f>
        <v>0</v>
      </c>
      <c r="F2739" s="6">
        <f>'[1]AUG 2024'!F179</f>
        <v>0</v>
      </c>
      <c r="G2739" s="4">
        <f>'[1]AUG 2024'!G179</f>
        <v>5417.23</v>
      </c>
      <c r="H2739" s="4">
        <f>'[1]AUG 2024'!H179</f>
        <v>0</v>
      </c>
    </row>
    <row r="2740" spans="1:8" x14ac:dyDescent="0.2">
      <c r="A2740" s="20">
        <f>'[1]AUG 2024'!A180</f>
        <v>45530</v>
      </c>
      <c r="B2740" s="12" t="str">
        <f>'[1]AUG 2024'!B180</f>
        <v>LM</v>
      </c>
      <c r="C2740" s="3">
        <f>'[1]AUG 2024'!C180</f>
        <v>0</v>
      </c>
      <c r="D2740" s="3">
        <f>'[1]AUG 2024'!D180</f>
        <v>0</v>
      </c>
      <c r="E2740" s="4">
        <f>'[1]AUG 2024'!E180</f>
        <v>0</v>
      </c>
      <c r="F2740" s="6">
        <f>'[1]AUG 2024'!F180</f>
        <v>0</v>
      </c>
      <c r="G2740" s="4">
        <f>'[1]AUG 2024'!G180</f>
        <v>0</v>
      </c>
      <c r="H2740" s="4">
        <f>'[1]AUG 2024'!H180</f>
        <v>742</v>
      </c>
    </row>
    <row r="2741" spans="1:8" x14ac:dyDescent="0.2">
      <c r="A2741" s="20">
        <f>'[1]AUG 2024'!A184</f>
        <v>45531</v>
      </c>
      <c r="B2741" s="12" t="str">
        <f>'[1]AUG 2024'!B184</f>
        <v>for me</v>
      </c>
      <c r="C2741" s="3">
        <f>'[1]AUG 2024'!C184</f>
        <v>0</v>
      </c>
      <c r="D2741" s="3">
        <f>'[1]AUG 2024'!D184</f>
        <v>0</v>
      </c>
      <c r="E2741" s="4">
        <f>'[1]AUG 2024'!E184</f>
        <v>0</v>
      </c>
      <c r="F2741" s="6">
        <f>'[1]AUG 2024'!F184</f>
        <v>0</v>
      </c>
      <c r="G2741" s="4">
        <f>'[1]AUG 2024'!G184</f>
        <v>0</v>
      </c>
      <c r="H2741" s="4">
        <f>'[1]AUG 2024'!H184</f>
        <v>1290</v>
      </c>
    </row>
    <row r="2742" spans="1:8" x14ac:dyDescent="0.2">
      <c r="A2742" s="23">
        <f>'[1]AUG 2024'!A185</f>
        <v>45531</v>
      </c>
      <c r="B2742" s="12" t="str">
        <f>'[1]AUG 2024'!B185</f>
        <v>LM</v>
      </c>
      <c r="C2742" s="3">
        <f>'[1]AUG 2024'!C185</f>
        <v>0</v>
      </c>
      <c r="D2742" s="3">
        <f>'[1]AUG 2024'!D185</f>
        <v>0</v>
      </c>
      <c r="E2742" s="4">
        <f>'[1]AUG 2024'!E185</f>
        <v>0</v>
      </c>
      <c r="F2742" s="6">
        <f>'[1]AUG 2024'!F185</f>
        <v>0</v>
      </c>
      <c r="G2742" s="4">
        <f>'[1]AUG 2024'!G185</f>
        <v>0</v>
      </c>
      <c r="H2742" s="4">
        <f>'[1]AUG 2024'!H185</f>
        <v>560.86</v>
      </c>
    </row>
    <row r="2743" spans="1:8" x14ac:dyDescent="0.2">
      <c r="A2743" s="20">
        <f>'[1]AUG 2024'!A186</f>
        <v>45531</v>
      </c>
      <c r="B2743" s="12" t="str">
        <f>'[1]AUG 2024'!B186</f>
        <v>VM</v>
      </c>
      <c r="C2743" s="3">
        <f>'[1]AUG 2024'!C186</f>
        <v>0</v>
      </c>
      <c r="D2743" s="3">
        <f>'[1]AUG 2024'!D186</f>
        <v>0</v>
      </c>
      <c r="E2743" s="4">
        <f>'[1]AUG 2024'!E186</f>
        <v>0</v>
      </c>
      <c r="F2743" s="6">
        <f>'[1]AUG 2024'!F186</f>
        <v>51.6</v>
      </c>
      <c r="G2743" s="4">
        <f>'[1]AUG 2024'!G186</f>
        <v>0</v>
      </c>
      <c r="H2743" s="4">
        <f>'[1]AUG 2024'!H186</f>
        <v>768</v>
      </c>
    </row>
    <row r="2744" spans="1:8" x14ac:dyDescent="0.2">
      <c r="A2744" s="23">
        <f>'[1]AUG 2024'!A187</f>
        <v>45531</v>
      </c>
      <c r="B2744" s="12" t="str">
        <f>'[1]AUG 2024'!B187</f>
        <v>Frauen</v>
      </c>
      <c r="C2744" s="3">
        <f>'[1]AUG 2024'!C187</f>
        <v>0</v>
      </c>
      <c r="D2744" s="3">
        <f>'[1]AUG 2024'!D187</f>
        <v>0</v>
      </c>
      <c r="E2744" s="4">
        <f>'[1]AUG 2024'!E187</f>
        <v>0</v>
      </c>
      <c r="F2744" s="6">
        <f>'[1]AUG 2024'!F187</f>
        <v>0</v>
      </c>
      <c r="G2744" s="4">
        <f>'[1]AUG 2024'!G187</f>
        <v>0</v>
      </c>
      <c r="H2744" s="4">
        <f>'[1]AUG 2024'!H187</f>
        <v>2100</v>
      </c>
    </row>
    <row r="2745" spans="1:8" x14ac:dyDescent="0.2">
      <c r="A2745" s="20">
        <f>'[1]AUG 2024'!A188</f>
        <v>45531</v>
      </c>
      <c r="B2745" s="12" t="str">
        <f>'[1]AUG 2024'!B188</f>
        <v>VM</v>
      </c>
      <c r="C2745" s="3">
        <f>'[1]AUG 2024'!C188</f>
        <v>0</v>
      </c>
      <c r="D2745" s="3">
        <f>'[1]AUG 2024'!D188</f>
        <v>0</v>
      </c>
      <c r="E2745" s="4">
        <f>'[1]AUG 2024'!E188</f>
        <v>0</v>
      </c>
      <c r="F2745" s="6">
        <f>'[1]AUG 2024'!F188</f>
        <v>0</v>
      </c>
      <c r="G2745" s="4">
        <f>'[1]AUG 2024'!G188</f>
        <v>0</v>
      </c>
      <c r="H2745" s="4">
        <f>'[1]AUG 2024'!H188</f>
        <v>64</v>
      </c>
    </row>
    <row r="2746" spans="1:8" x14ac:dyDescent="0.2">
      <c r="A2746" s="23">
        <f>'[1]AUG 2024'!A191</f>
        <v>45532</v>
      </c>
      <c r="B2746" s="12" t="str">
        <f>'[1]AUG 2024'!B191</f>
        <v>LM</v>
      </c>
      <c r="C2746" s="3">
        <f>'[1]AUG 2024'!C191</f>
        <v>0</v>
      </c>
      <c r="D2746" s="3">
        <f>'[1]AUG 2024'!D191</f>
        <v>0</v>
      </c>
      <c r="E2746" s="4">
        <f>'[1]AUG 2024'!E191</f>
        <v>0</v>
      </c>
      <c r="F2746" s="6">
        <f>'[1]AUG 2024'!F191</f>
        <v>0</v>
      </c>
      <c r="G2746" s="4">
        <f>'[1]AUG 2024'!G191</f>
        <v>0</v>
      </c>
      <c r="H2746" s="4">
        <f>'[1]AUG 2024'!H191</f>
        <v>1750.93</v>
      </c>
    </row>
    <row r="2747" spans="1:8" x14ac:dyDescent="0.2">
      <c r="A2747" s="20">
        <f>'[1]AUG 2024'!A198</f>
        <v>45533</v>
      </c>
      <c r="B2747" s="12" t="str">
        <f>'[1]AUG 2024'!B198</f>
        <v>LM</v>
      </c>
      <c r="C2747" s="3">
        <f>'[1]AUG 2024'!C198</f>
        <v>0</v>
      </c>
      <c r="D2747" s="3">
        <f>'[1]AUG 2024'!D198</f>
        <v>0</v>
      </c>
      <c r="E2747" s="4">
        <f>'[1]AUG 2024'!E198</f>
        <v>0</v>
      </c>
      <c r="F2747" s="6">
        <f>'[1]AUG 2024'!F198</f>
        <v>0</v>
      </c>
      <c r="G2747" s="4">
        <f>'[1]AUG 2024'!G198</f>
        <v>0</v>
      </c>
      <c r="H2747" s="4">
        <f>'[1]AUG 2024'!H198</f>
        <v>780.86</v>
      </c>
    </row>
    <row r="2748" spans="1:8" x14ac:dyDescent="0.2">
      <c r="A2748" s="23">
        <f>'[1]AUG 2024'!A199</f>
        <v>45533</v>
      </c>
      <c r="B2748" s="12" t="str">
        <f>'[1]AUG 2024'!B199</f>
        <v>VM</v>
      </c>
      <c r="C2748" s="3">
        <f>'[1]AUG 2024'!C199</f>
        <v>0</v>
      </c>
      <c r="D2748" s="3">
        <f>'[1]AUG 2024'!D199</f>
        <v>0</v>
      </c>
      <c r="E2748" s="4">
        <f>'[1]AUG 2024'!E199</f>
        <v>0</v>
      </c>
      <c r="F2748" s="6">
        <f>'[1]AUG 2024'!F199</f>
        <v>56.1</v>
      </c>
      <c r="G2748" s="4">
        <f>'[1]AUG 2024'!G199</f>
        <v>0</v>
      </c>
      <c r="H2748" s="4">
        <f>'[1]AUG 2024'!H199</f>
        <v>128</v>
      </c>
    </row>
    <row r="2749" spans="1:8" x14ac:dyDescent="0.2">
      <c r="A2749" s="23">
        <f>'[1]AUG 2024'!A205</f>
        <v>45534</v>
      </c>
      <c r="B2749" s="12" t="str">
        <f>'[1]AUG 2024'!B205</f>
        <v>Rauchen</v>
      </c>
      <c r="C2749" s="3">
        <f>'[1]AUG 2024'!C205</f>
        <v>0</v>
      </c>
      <c r="D2749" s="3">
        <f>'[1]AUG 2024'!D205</f>
        <v>0</v>
      </c>
      <c r="E2749" s="4">
        <f>'[1]AUG 2024'!E205</f>
        <v>0</v>
      </c>
      <c r="F2749" s="6">
        <f>'[1]AUG 2024'!F205</f>
        <v>0</v>
      </c>
      <c r="G2749" s="4">
        <f>'[1]AUG 2024'!G205</f>
        <v>0</v>
      </c>
      <c r="H2749" s="4">
        <f>'[1]AUG 2024'!H205</f>
        <v>1499</v>
      </c>
    </row>
    <row r="2750" spans="1:8" x14ac:dyDescent="0.2">
      <c r="A2750" s="20">
        <f>'[1]AUG 2024'!A206</f>
        <v>45534</v>
      </c>
      <c r="B2750" s="12" t="str">
        <f>'[1]AUG 2024'!B206</f>
        <v>VM</v>
      </c>
      <c r="C2750" s="3">
        <f>'[1]AUG 2024'!C206</f>
        <v>0</v>
      </c>
      <c r="D2750" s="3">
        <f>'[1]AUG 2024'!D206</f>
        <v>0</v>
      </c>
      <c r="E2750" s="4">
        <f>'[1]AUG 2024'!E206</f>
        <v>0</v>
      </c>
      <c r="F2750" s="6">
        <f>'[1]AUG 2024'!F206</f>
        <v>22.5</v>
      </c>
      <c r="G2750" s="4">
        <f>'[1]AUG 2024'!G206</f>
        <v>0</v>
      </c>
      <c r="H2750" s="4">
        <f>'[1]AUG 2024'!H206</f>
        <v>64</v>
      </c>
    </row>
    <row r="2751" spans="1:8" x14ac:dyDescent="0.2">
      <c r="A2751" s="23">
        <f>'[1]AUG 2024'!A207</f>
        <v>45534</v>
      </c>
      <c r="B2751" s="12" t="str">
        <f>'[1]AUG 2024'!B207</f>
        <v>LM</v>
      </c>
      <c r="C2751" s="3">
        <f>'[1]AUG 2024'!C207</f>
        <v>0</v>
      </c>
      <c r="D2751" s="3">
        <f>'[1]AUG 2024'!D207</f>
        <v>0</v>
      </c>
      <c r="E2751" s="4">
        <f>'[1]AUG 2024'!E207</f>
        <v>0</v>
      </c>
      <c r="F2751" s="6">
        <f>'[1]AUG 2024'!F207</f>
        <v>0</v>
      </c>
      <c r="G2751" s="4">
        <f>'[1]AUG 2024'!G207</f>
        <v>0</v>
      </c>
      <c r="H2751" s="4">
        <f>'[1]AUG 2024'!H207</f>
        <v>2130</v>
      </c>
    </row>
    <row r="2752" spans="1:8" x14ac:dyDescent="0.2">
      <c r="A2752" s="20">
        <f>'[1]AUG 2024'!A212</f>
        <v>45535</v>
      </c>
      <c r="B2752" s="12" t="str">
        <f>'[1]AUG 2024'!B212</f>
        <v>Party</v>
      </c>
      <c r="C2752" s="3">
        <f>'[1]AUG 2024'!C212</f>
        <v>0</v>
      </c>
      <c r="D2752" s="3">
        <f>'[1]AUG 2024'!D212</f>
        <v>0</v>
      </c>
      <c r="E2752" s="4">
        <f>'[1]AUG 2024'!E212</f>
        <v>0</v>
      </c>
      <c r="F2752" s="6">
        <f>'[1]AUG 2024'!F212</f>
        <v>0</v>
      </c>
      <c r="G2752" s="4">
        <f>'[1]AUG 2024'!G212</f>
        <v>0</v>
      </c>
      <c r="H2752" s="4">
        <f>'[1]AUG 2024'!H212</f>
        <v>3990</v>
      </c>
    </row>
    <row r="2753" spans="1:8" x14ac:dyDescent="0.2">
      <c r="A2753" s="23">
        <f>'[1]AUG 2024'!A213</f>
        <v>45535</v>
      </c>
      <c r="B2753" s="12" t="str">
        <f>'[1]AUG 2024'!B213</f>
        <v>LM</v>
      </c>
      <c r="C2753" s="3">
        <f>'[1]AUG 2024'!C213</f>
        <v>0</v>
      </c>
      <c r="D2753" s="3">
        <f>'[1]AUG 2024'!D213</f>
        <v>0</v>
      </c>
      <c r="E2753" s="4">
        <f>'[1]AUG 2024'!E213</f>
        <v>0</v>
      </c>
      <c r="F2753" s="6">
        <f>'[1]AUG 2024'!F213</f>
        <v>0</v>
      </c>
      <c r="G2753" s="4">
        <f>'[1]AUG 2024'!G213</f>
        <v>0</v>
      </c>
      <c r="H2753" s="4">
        <f>'[1]AUG 2024'!H213</f>
        <v>643.95000000000005</v>
      </c>
    </row>
    <row r="2754" spans="1:8" x14ac:dyDescent="0.2">
      <c r="A2754" s="20">
        <f>'[1]AUG 2024'!A214</f>
        <v>45535</v>
      </c>
      <c r="B2754" s="12" t="str">
        <f>'[1]AUG 2024'!B214</f>
        <v>LM</v>
      </c>
      <c r="C2754" s="3">
        <f>'[1]AUG 2024'!C214</f>
        <v>0</v>
      </c>
      <c r="D2754" s="3">
        <f>'[1]AUG 2024'!D214</f>
        <v>0</v>
      </c>
      <c r="E2754" s="4">
        <f>'[1]AUG 2024'!E214</f>
        <v>0</v>
      </c>
      <c r="F2754" s="6">
        <f>'[1]AUG 2024'!F214</f>
        <v>0</v>
      </c>
      <c r="G2754" s="4">
        <f>'[1]AUG 2024'!G214</f>
        <v>0</v>
      </c>
      <c r="H2754" s="4">
        <f>'[1]AUG 2024'!H214</f>
        <v>592</v>
      </c>
    </row>
    <row r="2755" spans="1:8" x14ac:dyDescent="0.2">
      <c r="A2755" s="23">
        <f>'[1]AUG 2024'!A215</f>
        <v>45535</v>
      </c>
      <c r="B2755" s="12" t="str">
        <f>'[1]AUG 2024'!B215</f>
        <v>VM</v>
      </c>
      <c r="C2755" s="3">
        <f>'[1]AUG 2024'!C215</f>
        <v>0</v>
      </c>
      <c r="D2755" s="3">
        <f>'[1]AUG 2024'!D215</f>
        <v>0</v>
      </c>
      <c r="E2755" s="4">
        <f>'[1]AUG 2024'!E215</f>
        <v>0</v>
      </c>
      <c r="F2755" s="6">
        <f>'[1]AUG 2024'!F215</f>
        <v>0</v>
      </c>
      <c r="G2755" s="4">
        <f>'[1]AUG 2024'!G215</f>
        <v>0</v>
      </c>
      <c r="H2755" s="4">
        <f>'[1]AUG 2024'!H215</f>
        <v>2300</v>
      </c>
    </row>
    <row r="2756" spans="1:8" x14ac:dyDescent="0.2">
      <c r="A2756" s="20">
        <f>'[1]AUG 2024'!A216</f>
        <v>45535</v>
      </c>
      <c r="B2756" s="12" t="str">
        <f>'[1]AUG 2024'!B216</f>
        <v>Andere</v>
      </c>
      <c r="C2756" s="3">
        <f>'[1]AUG 2024'!C216</f>
        <v>0</v>
      </c>
      <c r="D2756" s="3">
        <f>'[1]AUG 2024'!D216</f>
        <v>0</v>
      </c>
      <c r="E2756" s="4">
        <f>'[1]AUG 2024'!E216</f>
        <v>0</v>
      </c>
      <c r="F2756" s="6">
        <f>'[1]AUG 2024'!F216</f>
        <v>0</v>
      </c>
      <c r="G2756" s="4">
        <f>'[1]AUG 2024'!G216</f>
        <v>0</v>
      </c>
      <c r="H2756" s="4">
        <f>'[1]AUG 2024'!H216</f>
        <v>8000</v>
      </c>
    </row>
    <row r="2757" spans="1:8" x14ac:dyDescent="0.2">
      <c r="A2757" s="23">
        <f>'[1]SEP 2024'!A2</f>
        <v>45536</v>
      </c>
      <c r="B2757" s="12" t="str">
        <f>'[1]SEP 2024'!B2</f>
        <v>LM</v>
      </c>
      <c r="C2757" s="3">
        <f>'[1]SEP 2024'!C2</f>
        <v>0</v>
      </c>
      <c r="D2757" s="3">
        <f>'[1]SEP 2024'!D2</f>
        <v>0</v>
      </c>
      <c r="E2757" s="4">
        <f>'[1]SEP 2024'!E2</f>
        <v>0</v>
      </c>
      <c r="F2757" s="6">
        <f>'[1]SEP 2024'!F2</f>
        <v>0</v>
      </c>
      <c r="G2757" s="4">
        <f>'[1]SEP 2024'!G2</f>
        <v>0</v>
      </c>
      <c r="H2757" s="4">
        <f>'[1]SEP 2024'!H2</f>
        <v>1834.98</v>
      </c>
    </row>
    <row r="2758" spans="1:8" x14ac:dyDescent="0.2">
      <c r="A2758" s="20">
        <f>'[1]SEP 2024'!A3</f>
        <v>45536</v>
      </c>
      <c r="B2758" s="12" t="str">
        <f>'[1]SEP 2024'!B3</f>
        <v>VM</v>
      </c>
      <c r="C2758" s="3">
        <f>'[1]SEP 2024'!C3</f>
        <v>0</v>
      </c>
      <c r="D2758" s="3">
        <f>'[1]SEP 2024'!D3</f>
        <v>0</v>
      </c>
      <c r="E2758" s="4">
        <f>'[1]SEP 2024'!E3</f>
        <v>0</v>
      </c>
      <c r="F2758" s="6">
        <f>'[1]SEP 2024'!F3</f>
        <v>120.2</v>
      </c>
      <c r="G2758" s="4">
        <f>'[1]SEP 2024'!G3</f>
        <v>0</v>
      </c>
      <c r="H2758" s="4">
        <f>'[1]SEP 2024'!H3</f>
        <v>1005</v>
      </c>
    </row>
    <row r="2759" spans="1:8" x14ac:dyDescent="0.2">
      <c r="A2759" s="23">
        <f>'[1]SEP 2024'!A4</f>
        <v>45536</v>
      </c>
      <c r="B2759" s="12" t="str">
        <f>'[1]SEP 2024'!B4</f>
        <v>Andere</v>
      </c>
      <c r="C2759" s="3">
        <f>'[1]SEP 2024'!C4</f>
        <v>0</v>
      </c>
      <c r="D2759" s="3">
        <f>'[1]SEP 2024'!D4</f>
        <v>0</v>
      </c>
      <c r="E2759" s="4">
        <f>'[1]SEP 2024'!E4</f>
        <v>0</v>
      </c>
      <c r="F2759" s="6">
        <f>'[1]SEP 2024'!F4</f>
        <v>0</v>
      </c>
      <c r="G2759" s="4">
        <f>'[1]SEP 2024'!G4</f>
        <v>0</v>
      </c>
      <c r="H2759" s="4">
        <f>'[1]SEP 2024'!H4</f>
        <v>2319</v>
      </c>
    </row>
    <row r="2760" spans="1:8" x14ac:dyDescent="0.2">
      <c r="A2760" s="20">
        <f>'[1]SEP 2024'!A9</f>
        <v>45537</v>
      </c>
      <c r="B2760" s="12" t="str">
        <f>'[1]SEP 2024'!B9</f>
        <v>VM</v>
      </c>
      <c r="C2760" s="3">
        <f>'[1]SEP 2024'!C9</f>
        <v>0</v>
      </c>
      <c r="D2760" s="3">
        <f>'[1]SEP 2024'!D9</f>
        <v>0</v>
      </c>
      <c r="E2760" s="4">
        <f>'[1]SEP 2024'!E9</f>
        <v>0</v>
      </c>
      <c r="F2760" s="6">
        <f>'[1]SEP 2024'!F9</f>
        <v>81</v>
      </c>
      <c r="G2760" s="4">
        <f>'[1]SEP 2024'!G9</f>
        <v>0</v>
      </c>
      <c r="H2760" s="4">
        <f>'[1]SEP 2024'!H9</f>
        <v>2507</v>
      </c>
    </row>
    <row r="2761" spans="1:8" x14ac:dyDescent="0.2">
      <c r="A2761" s="23">
        <f>'[1]SEP 2024'!A10</f>
        <v>45537</v>
      </c>
      <c r="B2761" s="12" t="str">
        <f>'[1]SEP 2024'!B10</f>
        <v>LM</v>
      </c>
      <c r="C2761" s="3">
        <f>'[1]SEP 2024'!C10</f>
        <v>0</v>
      </c>
      <c r="D2761" s="3">
        <f>'[1]SEP 2024'!D10</f>
        <v>0</v>
      </c>
      <c r="E2761" s="4">
        <f>'[1]SEP 2024'!E10</f>
        <v>0</v>
      </c>
      <c r="F2761" s="6">
        <f>'[1]SEP 2024'!F10</f>
        <v>0</v>
      </c>
      <c r="G2761" s="4">
        <f>'[1]SEP 2024'!G10</f>
        <v>0</v>
      </c>
      <c r="H2761" s="4">
        <f>'[1]SEP 2024'!H10</f>
        <v>420</v>
      </c>
    </row>
    <row r="2762" spans="1:8" x14ac:dyDescent="0.2">
      <c r="A2762" s="20">
        <f>'[1]SEP 2024'!A11</f>
        <v>45537</v>
      </c>
      <c r="B2762" s="12" t="str">
        <f>'[1]SEP 2024'!B11</f>
        <v>Andere</v>
      </c>
      <c r="C2762" s="3">
        <f>'[1]SEP 2024'!C11</f>
        <v>0</v>
      </c>
      <c r="D2762" s="3">
        <f>'[1]SEP 2024'!D11</f>
        <v>0</v>
      </c>
      <c r="E2762" s="4">
        <f>'[1]SEP 2024'!E11</f>
        <v>0</v>
      </c>
      <c r="F2762" s="6">
        <f>'[1]SEP 2024'!F11</f>
        <v>250</v>
      </c>
      <c r="G2762" s="4">
        <f>'[1]SEP 2024'!G11</f>
        <v>0</v>
      </c>
      <c r="H2762" s="4">
        <f>'[1]SEP 2024'!H11</f>
        <v>0</v>
      </c>
    </row>
    <row r="2763" spans="1:8" x14ac:dyDescent="0.2">
      <c r="A2763" s="23">
        <f>'[1]SEP 2024'!A12</f>
        <v>45537</v>
      </c>
      <c r="B2763" s="12" t="str">
        <f>'[1]SEP 2024'!B12</f>
        <v>none</v>
      </c>
      <c r="C2763" s="3">
        <f>'[1]SEP 2024'!C12</f>
        <v>0</v>
      </c>
      <c r="D2763" s="3">
        <f>'[1]SEP 2024'!D12</f>
        <v>0</v>
      </c>
      <c r="E2763" s="4">
        <f>'[1]SEP 2024'!E12</f>
        <v>0</v>
      </c>
      <c r="F2763" s="6">
        <f>'[1]SEP 2024'!F12</f>
        <v>0</v>
      </c>
      <c r="G2763" s="4">
        <f>'[1]SEP 2024'!G12</f>
        <v>0</v>
      </c>
      <c r="H2763" s="4">
        <f>'[1]SEP 2024'!H12</f>
        <v>200000</v>
      </c>
    </row>
    <row r="2764" spans="1:8" x14ac:dyDescent="0.2">
      <c r="A2764" s="23">
        <f>'[1]SEP 2024'!A16</f>
        <v>45538</v>
      </c>
      <c r="B2764" s="12" t="str">
        <f>'[1]SEP 2024'!B16</f>
        <v>VM</v>
      </c>
      <c r="C2764" s="3">
        <f>'[1]SEP 2024'!C16</f>
        <v>0</v>
      </c>
      <c r="D2764" s="3">
        <f>'[1]SEP 2024'!D16</f>
        <v>0</v>
      </c>
      <c r="E2764" s="4">
        <f>'[1]SEP 2024'!E16</f>
        <v>0</v>
      </c>
      <c r="F2764" s="6">
        <f>'[1]SEP 2024'!F16</f>
        <v>54</v>
      </c>
      <c r="G2764" s="4">
        <f>'[1]SEP 2024'!G16</f>
        <v>0</v>
      </c>
      <c r="H2764" s="4">
        <f>'[1]SEP 2024'!H16</f>
        <v>64</v>
      </c>
    </row>
    <row r="2765" spans="1:8" x14ac:dyDescent="0.2">
      <c r="A2765" s="20">
        <f>'[1]SEP 2024'!A17</f>
        <v>45538</v>
      </c>
      <c r="B2765" s="12" t="str">
        <f>'[1]SEP 2024'!B17</f>
        <v>Party</v>
      </c>
      <c r="C2765" s="3">
        <f>'[1]SEP 2024'!C17</f>
        <v>0</v>
      </c>
      <c r="D2765" s="3">
        <f>'[1]SEP 2024'!D17</f>
        <v>0</v>
      </c>
      <c r="E2765" s="4">
        <f>'[1]SEP 2024'!E17</f>
        <v>0</v>
      </c>
      <c r="F2765" s="6">
        <f>'[1]SEP 2024'!F17</f>
        <v>0</v>
      </c>
      <c r="G2765" s="4">
        <f>'[1]SEP 2024'!G17</f>
        <v>0</v>
      </c>
      <c r="H2765" s="4">
        <f>'[1]SEP 2024'!H17</f>
        <v>1500</v>
      </c>
    </row>
    <row r="2766" spans="1:8" x14ac:dyDescent="0.2">
      <c r="A2766" s="23">
        <f>'[1]SEP 2024'!A18</f>
        <v>45538</v>
      </c>
      <c r="B2766" s="12" t="str">
        <f>'[1]SEP 2024'!B18</f>
        <v>none</v>
      </c>
      <c r="C2766" s="3">
        <f>'[1]SEP 2024'!C18</f>
        <v>0</v>
      </c>
      <c r="D2766" s="3">
        <f>'[1]SEP 2024'!D18</f>
        <v>0</v>
      </c>
      <c r="E2766" s="4">
        <f>'[1]SEP 2024'!E18</f>
        <v>500</v>
      </c>
      <c r="F2766" s="6">
        <f>'[1]SEP 2024'!F18</f>
        <v>0</v>
      </c>
      <c r="G2766" s="4">
        <f>'[1]SEP 2024'!G18</f>
        <v>0</v>
      </c>
      <c r="H2766" s="4">
        <f>'[1]SEP 2024'!H18</f>
        <v>500</v>
      </c>
    </row>
    <row r="2767" spans="1:8" x14ac:dyDescent="0.2">
      <c r="A2767" s="20">
        <f>'[1]SEP 2024'!A23</f>
        <v>45539</v>
      </c>
      <c r="B2767" s="12" t="str">
        <f>'[1]SEP 2024'!B23</f>
        <v>VM</v>
      </c>
      <c r="C2767" s="3">
        <f>'[1]SEP 2024'!C23</f>
        <v>0</v>
      </c>
      <c r="D2767" s="3">
        <f>'[1]SEP 2024'!D23</f>
        <v>0</v>
      </c>
      <c r="E2767" s="4">
        <f>'[1]SEP 2024'!E23</f>
        <v>0</v>
      </c>
      <c r="F2767" s="6">
        <f>'[1]SEP 2024'!F23</f>
        <v>0</v>
      </c>
      <c r="G2767" s="4">
        <f>'[1]SEP 2024'!G23</f>
        <v>0</v>
      </c>
      <c r="H2767" s="4">
        <f>'[1]SEP 2024'!H23</f>
        <v>1740</v>
      </c>
    </row>
    <row r="2768" spans="1:8" x14ac:dyDescent="0.2">
      <c r="A2768" s="23">
        <f>'[1]SEP 2024'!A24</f>
        <v>45539</v>
      </c>
      <c r="B2768" s="12" t="str">
        <f>'[1]SEP 2024'!B24</f>
        <v>LM</v>
      </c>
      <c r="C2768" s="3">
        <f>'[1]SEP 2024'!C24</f>
        <v>0</v>
      </c>
      <c r="D2768" s="3">
        <f>'[1]SEP 2024'!D24</f>
        <v>0</v>
      </c>
      <c r="E2768" s="4">
        <f>'[1]SEP 2024'!E24</f>
        <v>0</v>
      </c>
      <c r="F2768" s="6">
        <f>'[1]SEP 2024'!F24</f>
        <v>0</v>
      </c>
      <c r="G2768" s="4">
        <f>'[1]SEP 2024'!G24</f>
        <v>0</v>
      </c>
      <c r="H2768" s="4">
        <f>'[1]SEP 2024'!H24</f>
        <v>710</v>
      </c>
    </row>
    <row r="2769" spans="1:8" x14ac:dyDescent="0.2">
      <c r="A2769" s="23">
        <f>'[1]SEP 2024'!A30</f>
        <v>45540</v>
      </c>
      <c r="B2769" s="12" t="str">
        <f>'[1]SEP 2024'!B30</f>
        <v>Andere</v>
      </c>
      <c r="C2769" s="3">
        <f>'[1]SEP 2024'!C30</f>
        <v>0</v>
      </c>
      <c r="D2769" s="3">
        <f>'[1]SEP 2024'!D30</f>
        <v>0</v>
      </c>
      <c r="E2769" s="4">
        <f>'[1]SEP 2024'!E30</f>
        <v>0</v>
      </c>
      <c r="F2769" s="6">
        <f>'[1]SEP 2024'!F30</f>
        <v>0</v>
      </c>
      <c r="G2769" s="4">
        <f>'[1]SEP 2024'!G30</f>
        <v>0</v>
      </c>
      <c r="H2769" s="4">
        <f>'[1]SEP 2024'!H30</f>
        <v>200</v>
      </c>
    </row>
    <row r="2770" spans="1:8" x14ac:dyDescent="0.2">
      <c r="A2770" s="20">
        <f>'[1]SEP 2024'!A31</f>
        <v>45540</v>
      </c>
      <c r="B2770" s="12" t="str">
        <f>'[1]SEP 2024'!B31</f>
        <v>LM</v>
      </c>
      <c r="C2770" s="3">
        <f>'[1]SEP 2024'!C31</f>
        <v>0</v>
      </c>
      <c r="D2770" s="3">
        <f>'[1]SEP 2024'!D31</f>
        <v>0</v>
      </c>
      <c r="E2770" s="4">
        <f>'[1]SEP 2024'!E31</f>
        <v>0</v>
      </c>
      <c r="F2770" s="6">
        <f>'[1]SEP 2024'!F31</f>
        <v>0</v>
      </c>
      <c r="G2770" s="4">
        <f>'[1]SEP 2024'!G31</f>
        <v>0</v>
      </c>
      <c r="H2770" s="4">
        <f>'[1]SEP 2024'!H31</f>
        <v>549.99</v>
      </c>
    </row>
    <row r="2771" spans="1:8" x14ac:dyDescent="0.2">
      <c r="A2771" s="20">
        <f>'[1]SEP 2024'!A33</f>
        <v>45540</v>
      </c>
      <c r="B2771" s="12" t="str">
        <f>'[1]SEP 2024'!B33</f>
        <v>none</v>
      </c>
      <c r="C2771" s="3">
        <f>'[1]SEP 2024'!C33</f>
        <v>0</v>
      </c>
      <c r="D2771" s="3">
        <f>'[1]SEP 2024'!D33</f>
        <v>0</v>
      </c>
      <c r="E2771" s="4">
        <f>'[1]SEP 2024'!E33</f>
        <v>0</v>
      </c>
      <c r="F2771" s="6">
        <f>'[1]SEP 2024'!F33</f>
        <v>0</v>
      </c>
      <c r="G2771" s="4">
        <f>'[1]SEP 2024'!G33</f>
        <v>15000</v>
      </c>
      <c r="H2771" s="4">
        <f>'[1]SEP 2024'!H33</f>
        <v>0</v>
      </c>
    </row>
    <row r="2772" spans="1:8" x14ac:dyDescent="0.2">
      <c r="A2772" s="20">
        <f>'[1]SEP 2024'!A37</f>
        <v>45541</v>
      </c>
      <c r="B2772" s="12" t="str">
        <f>'[1]SEP 2024'!B37</f>
        <v>for me</v>
      </c>
      <c r="C2772" s="3">
        <f>'[1]SEP 2024'!C37</f>
        <v>0</v>
      </c>
      <c r="D2772" s="3">
        <f>'[1]SEP 2024'!D37</f>
        <v>0</v>
      </c>
      <c r="E2772" s="4">
        <f>'[1]SEP 2024'!E37</f>
        <v>0</v>
      </c>
      <c r="F2772" s="6">
        <f>'[1]SEP 2024'!F37</f>
        <v>0</v>
      </c>
      <c r="G2772" s="4">
        <f>'[1]SEP 2024'!G37</f>
        <v>0</v>
      </c>
      <c r="H2772" s="4">
        <f>'[1]SEP 2024'!H37</f>
        <v>5000</v>
      </c>
    </row>
    <row r="2773" spans="1:8" x14ac:dyDescent="0.2">
      <c r="A2773" s="23">
        <f>'[1]SEP 2024'!A38</f>
        <v>45541</v>
      </c>
      <c r="B2773" s="12" t="str">
        <f>'[1]SEP 2024'!B38</f>
        <v>none</v>
      </c>
      <c r="C2773" s="3">
        <f>'[1]SEP 2024'!C38</f>
        <v>0</v>
      </c>
      <c r="D2773" s="3">
        <f>'[1]SEP 2024'!D38</f>
        <v>0</v>
      </c>
      <c r="E2773" s="4">
        <f>'[1]SEP 2024'!E38</f>
        <v>0</v>
      </c>
      <c r="F2773" s="6">
        <f>'[1]SEP 2024'!F38</f>
        <v>0</v>
      </c>
      <c r="G2773" s="4">
        <f>'[1]SEP 2024'!G38</f>
        <v>185000</v>
      </c>
      <c r="H2773" s="4">
        <f>'[1]SEP 2024'!H38</f>
        <v>0</v>
      </c>
    </row>
    <row r="2774" spans="1:8" x14ac:dyDescent="0.2">
      <c r="A2774" s="20">
        <f>'[1]SEP 2024'!A39</f>
        <v>45541</v>
      </c>
      <c r="B2774" s="12" t="str">
        <f>'[1]SEP 2024'!B39</f>
        <v>Andere</v>
      </c>
      <c r="C2774" s="3">
        <f>'[1]SEP 2024'!C39</f>
        <v>0</v>
      </c>
      <c r="D2774" s="3">
        <f>'[1]SEP 2024'!D39</f>
        <v>0</v>
      </c>
      <c r="E2774" s="4">
        <f>'[1]SEP 2024'!E39</f>
        <v>0</v>
      </c>
      <c r="F2774" s="6">
        <f>'[1]SEP 2024'!F39</f>
        <v>0</v>
      </c>
      <c r="G2774" s="4">
        <f>'[1]SEP 2024'!G39</f>
        <v>0</v>
      </c>
      <c r="H2774" s="4">
        <f>'[1]SEP 2024'!H39</f>
        <v>8919</v>
      </c>
    </row>
    <row r="2775" spans="1:8" x14ac:dyDescent="0.2">
      <c r="A2775" s="23">
        <f>'[1]SEP 2024'!A44</f>
        <v>45542</v>
      </c>
      <c r="B2775" s="12" t="str">
        <f>'[1]SEP 2024'!B44</f>
        <v>LM</v>
      </c>
      <c r="C2775" s="3">
        <f>'[1]SEP 2024'!C44</f>
        <v>0</v>
      </c>
      <c r="D2775" s="3">
        <f>'[1]SEP 2024'!D44</f>
        <v>0</v>
      </c>
      <c r="E2775" s="4">
        <f>'[1]SEP 2024'!E44</f>
        <v>0</v>
      </c>
      <c r="F2775" s="6">
        <f>'[1]SEP 2024'!F44</f>
        <v>0</v>
      </c>
      <c r="G2775" s="4">
        <f>'[1]SEP 2024'!G44</f>
        <v>0</v>
      </c>
      <c r="H2775" s="4">
        <f>'[1]SEP 2024'!H44</f>
        <v>409</v>
      </c>
    </row>
    <row r="2776" spans="1:8" x14ac:dyDescent="0.2">
      <c r="A2776" s="20">
        <f>'[1]SEP 2024'!A51</f>
        <v>45543</v>
      </c>
      <c r="B2776" s="12" t="str">
        <f>'[1]SEP 2024'!B51</f>
        <v>LM</v>
      </c>
      <c r="C2776" s="3">
        <f>'[1]SEP 2024'!C51</f>
        <v>0</v>
      </c>
      <c r="D2776" s="3">
        <f>'[1]SEP 2024'!D51</f>
        <v>0</v>
      </c>
      <c r="E2776" s="4">
        <f>'[1]SEP 2024'!E51</f>
        <v>0</v>
      </c>
      <c r="F2776" s="6">
        <f>'[1]SEP 2024'!F51</f>
        <v>0</v>
      </c>
      <c r="G2776" s="4">
        <f>'[1]SEP 2024'!G51</f>
        <v>0</v>
      </c>
      <c r="H2776" s="4">
        <f>'[1]SEP 2024'!H51</f>
        <v>850</v>
      </c>
    </row>
    <row r="2777" spans="1:8" x14ac:dyDescent="0.2">
      <c r="A2777" s="23">
        <f>'[1]SEP 2024'!A52</f>
        <v>45543</v>
      </c>
      <c r="B2777" s="12" t="str">
        <f>'[1]SEP 2024'!B52</f>
        <v>VM</v>
      </c>
      <c r="C2777" s="3">
        <f>'[1]SEP 2024'!C52</f>
        <v>0</v>
      </c>
      <c r="D2777" s="3">
        <f>'[1]SEP 2024'!D52</f>
        <v>0</v>
      </c>
      <c r="E2777" s="4">
        <f>'[1]SEP 2024'!E52</f>
        <v>0</v>
      </c>
      <c r="F2777" s="6">
        <f>'[1]SEP 2024'!F52</f>
        <v>0</v>
      </c>
      <c r="G2777" s="4">
        <f>'[1]SEP 2024'!G52</f>
        <v>0</v>
      </c>
      <c r="H2777" s="4">
        <f>'[1]SEP 2024'!H52</f>
        <v>2362</v>
      </c>
    </row>
    <row r="2778" spans="1:8" x14ac:dyDescent="0.2">
      <c r="A2778" s="23">
        <f>'[1]SEP 2024'!A58</f>
        <v>45544</v>
      </c>
      <c r="B2778" s="12" t="str">
        <f>'[1]SEP 2024'!B58</f>
        <v>LM</v>
      </c>
      <c r="C2778" s="3">
        <f>'[1]SEP 2024'!C58</f>
        <v>0</v>
      </c>
      <c r="D2778" s="3">
        <f>'[1]SEP 2024'!D58</f>
        <v>0</v>
      </c>
      <c r="E2778" s="4">
        <f>'[1]SEP 2024'!E58</f>
        <v>0</v>
      </c>
      <c r="F2778" s="6">
        <f>'[1]SEP 2024'!F58</f>
        <v>0</v>
      </c>
      <c r="G2778" s="4">
        <f>'[1]SEP 2024'!G58</f>
        <v>0</v>
      </c>
      <c r="H2778" s="4">
        <f>'[1]SEP 2024'!H58</f>
        <v>1145</v>
      </c>
    </row>
    <row r="2779" spans="1:8" x14ac:dyDescent="0.2">
      <c r="A2779" s="20">
        <f>'[1]SEP 2024'!A59</f>
        <v>45544</v>
      </c>
      <c r="B2779" s="12" t="str">
        <f>'[1]SEP 2024'!B59</f>
        <v>Frauen</v>
      </c>
      <c r="C2779" s="3">
        <f>'[1]SEP 2024'!C59</f>
        <v>0</v>
      </c>
      <c r="D2779" s="3">
        <f>'[1]SEP 2024'!D59</f>
        <v>0</v>
      </c>
      <c r="E2779" s="4">
        <f>'[1]SEP 2024'!E59</f>
        <v>0</v>
      </c>
      <c r="F2779" s="6">
        <f>'[1]SEP 2024'!F59</f>
        <v>0</v>
      </c>
      <c r="G2779" s="4">
        <f>'[1]SEP 2024'!G59</f>
        <v>0</v>
      </c>
      <c r="H2779" s="4">
        <f>'[1]SEP 2024'!H59</f>
        <v>365</v>
      </c>
    </row>
    <row r="2780" spans="1:8" x14ac:dyDescent="0.2">
      <c r="A2780" s="23">
        <f>'[1]SEP 2024'!A60</f>
        <v>45544</v>
      </c>
      <c r="B2780" s="12" t="str">
        <f>'[1]SEP 2024'!B60</f>
        <v>for me</v>
      </c>
      <c r="C2780" s="3">
        <f>'[1]SEP 2024'!C60</f>
        <v>0</v>
      </c>
      <c r="D2780" s="3">
        <f>'[1]SEP 2024'!D60</f>
        <v>0</v>
      </c>
      <c r="E2780" s="4">
        <f>'[1]SEP 2024'!E60</f>
        <v>0</v>
      </c>
      <c r="F2780" s="6">
        <f>'[1]SEP 2024'!F60</f>
        <v>0</v>
      </c>
      <c r="G2780" s="4">
        <f>'[1]SEP 2024'!G60</f>
        <v>0</v>
      </c>
      <c r="H2780" s="4">
        <f>'[1]SEP 2024'!H60</f>
        <v>615</v>
      </c>
    </row>
    <row r="2781" spans="1:8" x14ac:dyDescent="0.2">
      <c r="A2781" s="20">
        <f>'[1]SEP 2024'!A61</f>
        <v>45544</v>
      </c>
      <c r="B2781" s="12" t="str">
        <f>'[1]SEP 2024'!B61</f>
        <v>VM</v>
      </c>
      <c r="C2781" s="3">
        <f>'[1]SEP 2024'!C61</f>
        <v>0</v>
      </c>
      <c r="D2781" s="3">
        <f>'[1]SEP 2024'!D61</f>
        <v>0</v>
      </c>
      <c r="E2781" s="4">
        <f>'[1]SEP 2024'!E61</f>
        <v>0</v>
      </c>
      <c r="F2781" s="6">
        <f>'[1]SEP 2024'!F61</f>
        <v>8.5</v>
      </c>
      <c r="G2781" s="4">
        <f>'[1]SEP 2024'!G61</f>
        <v>0</v>
      </c>
      <c r="H2781" s="4">
        <f>'[1]SEP 2024'!H61</f>
        <v>0</v>
      </c>
    </row>
    <row r="2782" spans="1:8" x14ac:dyDescent="0.2">
      <c r="A2782" s="20">
        <f>'[1]SEP 2024'!A65</f>
        <v>45545</v>
      </c>
      <c r="B2782" s="12" t="str">
        <f>'[1]SEP 2024'!B65</f>
        <v>Refill</v>
      </c>
      <c r="C2782" s="3">
        <f>'[1]SEP 2024'!C65</f>
        <v>220110</v>
      </c>
      <c r="D2782" s="3">
        <f>'[1]SEP 2024'!D65</f>
        <v>0</v>
      </c>
      <c r="E2782" s="4">
        <f>'[1]SEP 2024'!E65</f>
        <v>0</v>
      </c>
      <c r="F2782" s="6">
        <f>'[1]SEP 2024'!F65</f>
        <v>0</v>
      </c>
      <c r="G2782" s="4">
        <f>'[1]SEP 2024'!G65</f>
        <v>0</v>
      </c>
      <c r="H2782" s="4">
        <f>'[1]SEP 2024'!H65</f>
        <v>0</v>
      </c>
    </row>
    <row r="2783" spans="1:8" x14ac:dyDescent="0.2">
      <c r="A2783" s="23">
        <f>'[1]SEP 2024'!A72</f>
        <v>45546</v>
      </c>
      <c r="B2783" s="12" t="str">
        <f>'[1]SEP 2024'!B72</f>
        <v>none</v>
      </c>
      <c r="C2783" s="3">
        <f>'[1]SEP 2024'!C72</f>
        <v>0</v>
      </c>
      <c r="D2783" s="3">
        <f>'[1]SEP 2024'!D72</f>
        <v>220000</v>
      </c>
      <c r="E2783" s="4">
        <f>'[1]SEP 2024'!E72</f>
        <v>0</v>
      </c>
      <c r="F2783" s="6">
        <f>'[1]SEP 2024'!F72</f>
        <v>0</v>
      </c>
      <c r="G2783" s="4">
        <f>'[1]SEP 2024'!G72</f>
        <v>220000</v>
      </c>
      <c r="H2783" s="4">
        <f>'[1]SEP 2024'!H72</f>
        <v>0</v>
      </c>
    </row>
    <row r="2784" spans="1:8" x14ac:dyDescent="0.2">
      <c r="A2784" s="23">
        <f>'[1]SEP 2024'!A86</f>
        <v>45548</v>
      </c>
      <c r="B2784" s="12" t="str">
        <f>'[1]SEP 2024'!B86</f>
        <v>Andere</v>
      </c>
      <c r="C2784" s="3">
        <f>'[1]SEP 2024'!C86</f>
        <v>0</v>
      </c>
      <c r="D2784" s="3">
        <f>'[1]SEP 2024'!D86</f>
        <v>0</v>
      </c>
      <c r="E2784" s="4">
        <f>'[1]SEP 2024'!E86</f>
        <v>0</v>
      </c>
      <c r="F2784" s="6">
        <f>'[1]SEP 2024'!F86</f>
        <v>0</v>
      </c>
      <c r="G2784" s="4">
        <f>'[1]SEP 2024'!G86</f>
        <v>0</v>
      </c>
      <c r="H2784" s="4">
        <f>'[1]SEP 2024'!H86</f>
        <v>7100</v>
      </c>
    </row>
    <row r="2785" spans="1:8" x14ac:dyDescent="0.2">
      <c r="A2785" s="20">
        <f>'[1]SEP 2024'!A87</f>
        <v>45548</v>
      </c>
      <c r="B2785" s="12" t="str">
        <f>'[1]SEP 2024'!B87</f>
        <v>Andere</v>
      </c>
      <c r="C2785" s="3">
        <f>'[1]SEP 2024'!C87</f>
        <v>0</v>
      </c>
      <c r="D2785" s="3">
        <f>'[1]SEP 2024'!D87</f>
        <v>0</v>
      </c>
      <c r="E2785" s="4">
        <f>'[1]SEP 2024'!E87</f>
        <v>0</v>
      </c>
      <c r="F2785" s="6">
        <f>'[1]SEP 2024'!F87</f>
        <v>0</v>
      </c>
      <c r="G2785" s="4">
        <f>'[1]SEP 2024'!G87</f>
        <v>0</v>
      </c>
      <c r="H2785" s="4">
        <f>'[1]SEP 2024'!H87</f>
        <v>1500</v>
      </c>
    </row>
    <row r="2786" spans="1:8" x14ac:dyDescent="0.2">
      <c r="A2786" s="23">
        <f>'[1]SEP 2024'!A88</f>
        <v>45548</v>
      </c>
      <c r="B2786" s="12" t="str">
        <f>'[1]SEP 2024'!B88</f>
        <v>none</v>
      </c>
      <c r="C2786" s="3">
        <f>'[1]SEP 2024'!C88</f>
        <v>500</v>
      </c>
      <c r="D2786" s="3">
        <f>'[1]SEP 2024'!D88</f>
        <v>0</v>
      </c>
      <c r="E2786" s="4">
        <f>'[1]SEP 2024'!E88</f>
        <v>0</v>
      </c>
      <c r="F2786" s="6">
        <f>'[1]SEP 2024'!F88</f>
        <v>0</v>
      </c>
      <c r="G2786" s="4">
        <f>'[1]SEP 2024'!G88</f>
        <v>0</v>
      </c>
      <c r="H2786" s="4">
        <f>'[1]SEP 2024'!H88</f>
        <v>0</v>
      </c>
    </row>
    <row r="2787" spans="1:8" x14ac:dyDescent="0.2">
      <c r="A2787" s="20">
        <f>'[1]SEP 2024'!A107</f>
        <v>45551</v>
      </c>
      <c r="B2787" s="12" t="str">
        <f>'[1]SEP 2024'!B107</f>
        <v>LM</v>
      </c>
      <c r="C2787" s="3">
        <f>'[1]SEP 2024'!C107</f>
        <v>0</v>
      </c>
      <c r="D2787" s="3">
        <f>'[1]SEP 2024'!D107</f>
        <v>0</v>
      </c>
      <c r="E2787" s="4">
        <f>'[1]SEP 2024'!E107</f>
        <v>0</v>
      </c>
      <c r="F2787" s="6">
        <f>'[1]SEP 2024'!F107</f>
        <v>0</v>
      </c>
      <c r="G2787" s="4">
        <f>'[1]SEP 2024'!G107</f>
        <v>0</v>
      </c>
      <c r="H2787" s="4">
        <f>'[1]SEP 2024'!H107</f>
        <v>10500</v>
      </c>
    </row>
    <row r="2788" spans="1:8" x14ac:dyDescent="0.2">
      <c r="A2788" s="23">
        <f>'[1]SEP 2024'!A114</f>
        <v>45552</v>
      </c>
      <c r="B2788" s="12" t="str">
        <f>'[1]SEP 2024'!B114</f>
        <v>none</v>
      </c>
      <c r="C2788" s="3">
        <f>'[1]SEP 2024'!C114</f>
        <v>0</v>
      </c>
      <c r="D2788" s="3">
        <f>'[1]SEP 2024'!D114</f>
        <v>0</v>
      </c>
      <c r="E2788" s="4">
        <f>'[1]SEP 2024'!E114</f>
        <v>55000</v>
      </c>
      <c r="F2788" s="6">
        <f>'[1]SEP 2024'!F114</f>
        <v>0</v>
      </c>
      <c r="G2788" s="4">
        <f>'[1]SEP 2024'!G114</f>
        <v>0</v>
      </c>
      <c r="H2788" s="4">
        <f>'[1]SEP 2024'!H114</f>
        <v>55000</v>
      </c>
    </row>
    <row r="2789" spans="1:8" x14ac:dyDescent="0.2">
      <c r="A2789" s="20">
        <f>'[1]SEP 2024'!A115</f>
        <v>45552</v>
      </c>
      <c r="B2789" s="12" t="str">
        <f>'[1]SEP 2024'!B115</f>
        <v>rent</v>
      </c>
      <c r="C2789" s="3">
        <f>'[1]SEP 2024'!C115</f>
        <v>0</v>
      </c>
      <c r="D2789" s="3">
        <f>'[1]SEP 2024'!D115</f>
        <v>0</v>
      </c>
      <c r="E2789" s="4">
        <f>'[1]SEP 2024'!E115</f>
        <v>0</v>
      </c>
      <c r="F2789" s="6">
        <f>'[1]SEP 2024'!F115</f>
        <v>55050</v>
      </c>
      <c r="G2789" s="4">
        <f>'[1]SEP 2024'!G115</f>
        <v>0</v>
      </c>
      <c r="H2789" s="4">
        <f>'[1]SEP 2024'!H115</f>
        <v>0</v>
      </c>
    </row>
    <row r="2790" spans="1:8" x14ac:dyDescent="0.2">
      <c r="A2790" s="20">
        <f>'[1]SEP 2024'!A121</f>
        <v>45553</v>
      </c>
      <c r="B2790" s="12" t="str">
        <f>'[1]SEP 2024'!B121</f>
        <v>for me</v>
      </c>
      <c r="C2790" s="3">
        <f>'[1]SEP 2024'!C121</f>
        <v>0</v>
      </c>
      <c r="D2790" s="3">
        <f>'[1]SEP 2024'!D121</f>
        <v>0</v>
      </c>
      <c r="E2790" s="4">
        <f>'[1]SEP 2024'!E121</f>
        <v>0</v>
      </c>
      <c r="F2790" s="6">
        <f>'[1]SEP 2024'!F121</f>
        <v>0</v>
      </c>
      <c r="G2790" s="4">
        <f>'[1]SEP 2024'!G121</f>
        <v>0</v>
      </c>
      <c r="H2790" s="4">
        <f>'[1]SEP 2024'!H121</f>
        <v>3464</v>
      </c>
    </row>
    <row r="2791" spans="1:8" x14ac:dyDescent="0.2">
      <c r="A2791" s="20">
        <f>'[1]SEP 2024'!A135</f>
        <v>45555</v>
      </c>
      <c r="B2791" s="12" t="str">
        <f>'[1]SEP 2024'!B135</f>
        <v>none</v>
      </c>
      <c r="C2791" s="3">
        <f>'[1]SEP 2024'!C135</f>
        <v>0</v>
      </c>
      <c r="D2791" s="3">
        <f>'[1]SEP 2024'!D135</f>
        <v>0</v>
      </c>
      <c r="E2791" s="4">
        <f>'[1]SEP 2024'!E135</f>
        <v>0</v>
      </c>
      <c r="F2791" s="6">
        <f>'[1]SEP 2024'!F135</f>
        <v>0</v>
      </c>
      <c r="G2791" s="4">
        <f>'[1]SEP 2024'!G135</f>
        <v>1</v>
      </c>
      <c r="H2791" s="4">
        <f>'[1]SEP 2024'!H135</f>
        <v>0</v>
      </c>
    </row>
    <row r="2792" spans="1:8" x14ac:dyDescent="0.2">
      <c r="A2792" s="23">
        <f>'[1]SEP 2024'!A136</f>
        <v>45555</v>
      </c>
      <c r="B2792" s="12" t="str">
        <f>'[1]SEP 2024'!B136</f>
        <v>none</v>
      </c>
      <c r="C2792" s="3">
        <f>'[1]SEP 2024'!C136</f>
        <v>0</v>
      </c>
      <c r="D2792" s="3">
        <f>'[1]SEP 2024'!D136</f>
        <v>0</v>
      </c>
      <c r="E2792" s="4">
        <f>'[1]SEP 2024'!E136</f>
        <v>0</v>
      </c>
      <c r="F2792" s="6">
        <f>'[1]SEP 2024'!F136</f>
        <v>0</v>
      </c>
      <c r="G2792" s="4">
        <f>'[1]SEP 2024'!G136</f>
        <v>21031</v>
      </c>
      <c r="H2792" s="4">
        <f>'[1]SEP 2024'!H136</f>
        <v>0</v>
      </c>
    </row>
    <row r="2793" spans="1:8" x14ac:dyDescent="0.2">
      <c r="A2793" s="20">
        <f>'[1]SEP 2024'!A137</f>
        <v>45555</v>
      </c>
      <c r="B2793" s="12" t="str">
        <f>'[1]SEP 2024'!B137</f>
        <v>none</v>
      </c>
      <c r="C2793" s="3">
        <f>'[1]SEP 2024'!C137</f>
        <v>0</v>
      </c>
      <c r="D2793" s="3">
        <f>'[1]SEP 2024'!D137</f>
        <v>0</v>
      </c>
      <c r="E2793" s="4">
        <f>'[1]SEP 2024'!E137</f>
        <v>0</v>
      </c>
      <c r="F2793" s="6">
        <f>'[1]SEP 2024'!F137</f>
        <v>0</v>
      </c>
      <c r="G2793" s="4">
        <f>'[1]SEP 2024'!G137</f>
        <v>11968</v>
      </c>
      <c r="H2793" s="4">
        <f>'[1]SEP 2024'!H137</f>
        <v>0</v>
      </c>
    </row>
    <row r="2794" spans="1:8" x14ac:dyDescent="0.2">
      <c r="A2794" s="23">
        <f>'[1]SEP 2024'!A142</f>
        <v>45556</v>
      </c>
      <c r="B2794" s="12" t="str">
        <f>'[1]SEP 2024'!B142</f>
        <v>VM</v>
      </c>
      <c r="C2794" s="3">
        <f>'[1]SEP 2024'!C142</f>
        <v>0</v>
      </c>
      <c r="D2794" s="3">
        <f>'[1]SEP 2024'!D142</f>
        <v>0</v>
      </c>
      <c r="E2794" s="4">
        <f>'[1]SEP 2024'!E142</f>
        <v>0</v>
      </c>
      <c r="F2794" s="6">
        <f>'[1]SEP 2024'!F142</f>
        <v>0</v>
      </c>
      <c r="G2794" s="4">
        <f>'[1]SEP 2024'!G142</f>
        <v>0</v>
      </c>
      <c r="H2794" s="4">
        <f>'[1]SEP 2024'!H142</f>
        <v>524.32000000000005</v>
      </c>
    </row>
    <row r="2795" spans="1:8" x14ac:dyDescent="0.2">
      <c r="A2795" s="20">
        <f>'[1]SEP 2024'!A143</f>
        <v>45556</v>
      </c>
      <c r="B2795" s="12" t="str">
        <f>'[1]SEP 2024'!B143</f>
        <v>Andere</v>
      </c>
      <c r="C2795" s="3">
        <f>'[1]SEP 2024'!C143</f>
        <v>0</v>
      </c>
      <c r="D2795" s="3">
        <f>'[1]SEP 2024'!D143</f>
        <v>0</v>
      </c>
      <c r="E2795" s="4">
        <f>'[1]SEP 2024'!E143</f>
        <v>0</v>
      </c>
      <c r="F2795" s="6">
        <f>'[1]SEP 2024'!F143</f>
        <v>0</v>
      </c>
      <c r="G2795" s="4">
        <f>'[1]SEP 2024'!G143</f>
        <v>0</v>
      </c>
      <c r="H2795" s="4">
        <f>'[1]SEP 2024'!H143</f>
        <v>5913.2000000000007</v>
      </c>
    </row>
    <row r="2796" spans="1:8" x14ac:dyDescent="0.2">
      <c r="A2796" s="23">
        <f>'[1]SEP 2024'!A144</f>
        <v>45556</v>
      </c>
      <c r="B2796" s="12" t="str">
        <f>'[1]SEP 2024'!B144</f>
        <v>LM</v>
      </c>
      <c r="C2796" s="3">
        <f>'[1]SEP 2024'!C144</f>
        <v>0</v>
      </c>
      <c r="D2796" s="3">
        <f>'[1]SEP 2024'!D144</f>
        <v>0</v>
      </c>
      <c r="E2796" s="4">
        <f>'[1]SEP 2024'!E144</f>
        <v>0</v>
      </c>
      <c r="F2796" s="6">
        <f>'[1]SEP 2024'!F144</f>
        <v>0</v>
      </c>
      <c r="G2796" s="4">
        <f>'[1]SEP 2024'!G144</f>
        <v>0</v>
      </c>
      <c r="H2796" s="4">
        <f>'[1]SEP 2024'!H144</f>
        <v>1408.75</v>
      </c>
    </row>
    <row r="2797" spans="1:8" x14ac:dyDescent="0.2">
      <c r="A2797" s="20">
        <f>'[1]SEP 2024'!A149</f>
        <v>45557</v>
      </c>
      <c r="B2797" s="12" t="str">
        <f>'[1]SEP 2024'!B149</f>
        <v>Andere</v>
      </c>
      <c r="C2797" s="3">
        <f>'[1]SEP 2024'!C149</f>
        <v>0</v>
      </c>
      <c r="D2797" s="3">
        <f>'[1]SEP 2024'!D149</f>
        <v>0</v>
      </c>
      <c r="E2797" s="4">
        <f>'[1]SEP 2024'!E149</f>
        <v>0</v>
      </c>
      <c r="F2797" s="6">
        <f>'[1]SEP 2024'!F149</f>
        <v>0</v>
      </c>
      <c r="G2797" s="4">
        <f>'[1]SEP 2024'!G149</f>
        <v>0</v>
      </c>
      <c r="H2797" s="4">
        <f>'[1]SEP 2024'!H149</f>
        <v>9369.73</v>
      </c>
    </row>
    <row r="2798" spans="1:8" x14ac:dyDescent="0.2">
      <c r="A2798" s="23">
        <f>'[1]SEP 2024'!A150</f>
        <v>45557</v>
      </c>
      <c r="B2798" s="12" t="str">
        <f>'[1]SEP 2024'!B150</f>
        <v>VM</v>
      </c>
      <c r="C2798" s="3">
        <f>'[1]SEP 2024'!C150</f>
        <v>0</v>
      </c>
      <c r="D2798" s="3">
        <f>'[1]SEP 2024'!D150</f>
        <v>209</v>
      </c>
      <c r="E2798" s="4">
        <f>'[1]SEP 2024'!E150</f>
        <v>0</v>
      </c>
      <c r="F2798" s="6">
        <f>'[1]SEP 2024'!F150</f>
        <v>17</v>
      </c>
      <c r="G2798" s="4">
        <f>'[1]SEP 2024'!G150</f>
        <v>0</v>
      </c>
      <c r="H2798" s="4">
        <f>'[1]SEP 2024'!H150</f>
        <v>128</v>
      </c>
    </row>
    <row r="2799" spans="1:8" x14ac:dyDescent="0.2">
      <c r="A2799" s="20">
        <f>'[1]SEP 2024'!A151</f>
        <v>45557</v>
      </c>
      <c r="B2799" s="12" t="str">
        <f>'[1]SEP 2024'!B151</f>
        <v>Andere</v>
      </c>
      <c r="C2799" s="3">
        <f>'[1]SEP 2024'!C151</f>
        <v>0</v>
      </c>
      <c r="D2799" s="3">
        <f>'[1]SEP 2024'!D151</f>
        <v>0</v>
      </c>
      <c r="E2799" s="4">
        <f>'[1]SEP 2024'!E151</f>
        <v>0</v>
      </c>
      <c r="F2799" s="6">
        <f>'[1]SEP 2024'!F151</f>
        <v>0</v>
      </c>
      <c r="G2799" s="4">
        <f>'[1]SEP 2024'!G151</f>
        <v>0</v>
      </c>
      <c r="H2799" s="4">
        <f>'[1]SEP 2024'!H151</f>
        <v>170</v>
      </c>
    </row>
    <row r="2800" spans="1:8" x14ac:dyDescent="0.2">
      <c r="A2800" s="20">
        <f>'[1]SEP 2024'!A155</f>
        <v>45557</v>
      </c>
      <c r="B2800" s="12" t="str">
        <f>'[1]SEP 2024'!B155</f>
        <v>none</v>
      </c>
      <c r="C2800" s="3">
        <f>'[1]SEP 2024'!C155</f>
        <v>0</v>
      </c>
      <c r="D2800" s="3">
        <f>'[1]SEP 2024'!D155</f>
        <v>0</v>
      </c>
      <c r="E2800" s="4">
        <f>'[1]SEP 2024'!E155</f>
        <v>0</v>
      </c>
      <c r="F2800" s="6">
        <f>'[1]SEP 2024'!F155</f>
        <v>149</v>
      </c>
      <c r="G2800" s="4">
        <f>'[1]SEP 2024'!G155</f>
        <v>0</v>
      </c>
      <c r="H2800" s="4">
        <f>'[1]SEP 2024'!H155</f>
        <v>0</v>
      </c>
    </row>
    <row r="2801" spans="1:8" x14ac:dyDescent="0.2">
      <c r="A2801" s="23">
        <f>'[1]SEP 2024'!A156</f>
        <v>45558</v>
      </c>
      <c r="B2801" s="12" t="str">
        <f>'[1]SEP 2024'!B156</f>
        <v>VM</v>
      </c>
      <c r="C2801" s="3">
        <f>'[1]SEP 2024'!C156</f>
        <v>0</v>
      </c>
      <c r="D2801" s="3">
        <f>'[1]SEP 2024'!D156</f>
        <v>0</v>
      </c>
      <c r="E2801" s="4">
        <f>'[1]SEP 2024'!E156</f>
        <v>0</v>
      </c>
      <c r="F2801" s="6">
        <f>'[1]SEP 2024'!F156</f>
        <v>0</v>
      </c>
      <c r="G2801" s="4">
        <f>'[1]SEP 2024'!G156</f>
        <v>0</v>
      </c>
      <c r="H2801" s="4">
        <f>'[1]SEP 2024'!H156</f>
        <v>1146</v>
      </c>
    </row>
    <row r="2802" spans="1:8" x14ac:dyDescent="0.2">
      <c r="A2802" s="20">
        <f>'[1]SEP 2024'!A157</f>
        <v>45558</v>
      </c>
      <c r="B2802" s="12" t="str">
        <f>'[1]SEP 2024'!B157</f>
        <v>LM</v>
      </c>
      <c r="C2802" s="3">
        <f>'[1]SEP 2024'!C157</f>
        <v>0</v>
      </c>
      <c r="D2802" s="3">
        <f>'[1]SEP 2024'!D157</f>
        <v>0</v>
      </c>
      <c r="E2802" s="4">
        <f>'[1]SEP 2024'!E157</f>
        <v>0</v>
      </c>
      <c r="F2802" s="6">
        <f>'[1]SEP 2024'!F157</f>
        <v>0</v>
      </c>
      <c r="G2802" s="4">
        <f>'[1]SEP 2024'!G157</f>
        <v>0</v>
      </c>
      <c r="H2802" s="4">
        <f>'[1]SEP 2024'!H157</f>
        <v>1560</v>
      </c>
    </row>
    <row r="2803" spans="1:8" x14ac:dyDescent="0.2">
      <c r="A2803" s="20">
        <f>'[1]SEP 2024'!A163</f>
        <v>45559</v>
      </c>
      <c r="B2803" s="12" t="str">
        <f>'[1]SEP 2024'!B163</f>
        <v>LM</v>
      </c>
      <c r="C2803" s="3">
        <f>'[1]SEP 2024'!C163</f>
        <v>0</v>
      </c>
      <c r="D2803" s="3">
        <f>'[1]SEP 2024'!D163</f>
        <v>0</v>
      </c>
      <c r="E2803" s="4">
        <f>'[1]SEP 2024'!E163</f>
        <v>0</v>
      </c>
      <c r="F2803" s="6">
        <f>'[1]SEP 2024'!F163</f>
        <v>0</v>
      </c>
      <c r="G2803" s="4">
        <f>'[1]SEP 2024'!G163</f>
        <v>0</v>
      </c>
      <c r="H2803" s="4">
        <f>'[1]SEP 2024'!H163</f>
        <v>2395.9499999999998</v>
      </c>
    </row>
    <row r="2804" spans="1:8" x14ac:dyDescent="0.2">
      <c r="A2804" s="23">
        <f>'[1]SEP 2024'!A164</f>
        <v>45559</v>
      </c>
      <c r="B2804" s="12" t="str">
        <f>'[1]SEP 2024'!B164</f>
        <v>VM</v>
      </c>
      <c r="C2804" s="3">
        <f>'[1]SEP 2024'!C164</f>
        <v>0</v>
      </c>
      <c r="D2804" s="3">
        <f>'[1]SEP 2024'!D164</f>
        <v>0</v>
      </c>
      <c r="E2804" s="4">
        <f>'[1]SEP 2024'!E164</f>
        <v>0</v>
      </c>
      <c r="F2804" s="6">
        <f>'[1]SEP 2024'!F164</f>
        <v>0</v>
      </c>
      <c r="G2804" s="4">
        <f>'[1]SEP 2024'!G164</f>
        <v>0</v>
      </c>
      <c r="H2804" s="4">
        <f>'[1]SEP 2024'!H164</f>
        <v>1348</v>
      </c>
    </row>
    <row r="2805" spans="1:8" x14ac:dyDescent="0.2">
      <c r="A2805" s="23">
        <f>'[1]SEP 2024'!A170</f>
        <v>45560</v>
      </c>
      <c r="B2805" s="12" t="str">
        <f>'[1]SEP 2024'!B170</f>
        <v>VM</v>
      </c>
      <c r="C2805" s="3">
        <f>'[1]SEP 2024'!C170</f>
        <v>0</v>
      </c>
      <c r="D2805" s="3">
        <f>'[1]SEP 2024'!D170</f>
        <v>0</v>
      </c>
      <c r="E2805" s="4">
        <f>'[1]SEP 2024'!E170</f>
        <v>0</v>
      </c>
      <c r="F2805" s="6">
        <f>'[1]SEP 2024'!F170</f>
        <v>0</v>
      </c>
      <c r="G2805" s="4">
        <f>'[1]SEP 2024'!G170</f>
        <v>0</v>
      </c>
      <c r="H2805" s="4">
        <f>'[1]SEP 2024'!H170</f>
        <v>4016.2</v>
      </c>
    </row>
    <row r="2806" spans="1:8" x14ac:dyDescent="0.2">
      <c r="A2806" s="20">
        <f>'[1]SEP 2024'!A171</f>
        <v>45560</v>
      </c>
      <c r="B2806" s="12" t="str">
        <f>'[1]SEP 2024'!B171</f>
        <v>Andere</v>
      </c>
      <c r="C2806" s="3">
        <f>'[1]SEP 2024'!C171</f>
        <v>0</v>
      </c>
      <c r="D2806" s="3">
        <f>'[1]SEP 2024'!D171</f>
        <v>0</v>
      </c>
      <c r="E2806" s="4">
        <f>'[1]SEP 2024'!E171</f>
        <v>0</v>
      </c>
      <c r="F2806" s="6">
        <f>'[1]SEP 2024'!F171</f>
        <v>0</v>
      </c>
      <c r="G2806" s="4">
        <f>'[1]SEP 2024'!G171</f>
        <v>0</v>
      </c>
      <c r="H2806" s="4">
        <f>'[1]SEP 2024'!H171</f>
        <v>8800</v>
      </c>
    </row>
    <row r="2807" spans="1:8" x14ac:dyDescent="0.2">
      <c r="A2807" s="23">
        <f>'[1]SEP 2024'!A172</f>
        <v>45560</v>
      </c>
      <c r="B2807" s="12" t="str">
        <f>'[1]SEP 2024'!B172</f>
        <v>LM</v>
      </c>
      <c r="C2807" s="3">
        <f>'[1]SEP 2024'!C172</f>
        <v>0</v>
      </c>
      <c r="D2807" s="3">
        <f>'[1]SEP 2024'!D172</f>
        <v>0</v>
      </c>
      <c r="E2807" s="4">
        <f>'[1]SEP 2024'!E172</f>
        <v>0</v>
      </c>
      <c r="F2807" s="6">
        <f>'[1]SEP 2024'!F172</f>
        <v>0</v>
      </c>
      <c r="G2807" s="4">
        <f>'[1]SEP 2024'!G172</f>
        <v>0</v>
      </c>
      <c r="H2807" s="4">
        <f>'[1]SEP 2024'!H172</f>
        <v>492.88</v>
      </c>
    </row>
    <row r="2808" spans="1:8" x14ac:dyDescent="0.2">
      <c r="A2808" s="20">
        <f>'[1]SEP 2024'!A173</f>
        <v>45560</v>
      </c>
      <c r="B2808" s="12" t="str">
        <f>'[1]SEP 2024'!B173</f>
        <v>VM</v>
      </c>
      <c r="C2808" s="3">
        <f>'[1]SEP 2024'!C173</f>
        <v>0</v>
      </c>
      <c r="D2808" s="3">
        <f>'[1]SEP 2024'!D173</f>
        <v>0</v>
      </c>
      <c r="E2808" s="4">
        <f>'[1]SEP 2024'!E173</f>
        <v>0</v>
      </c>
      <c r="F2808" s="6">
        <f>'[1]SEP 2024'!F173</f>
        <v>0</v>
      </c>
      <c r="G2808" s="4">
        <f>'[1]SEP 2024'!G173</f>
        <v>0</v>
      </c>
      <c r="H2808" s="4">
        <f>'[1]SEP 2024'!H173</f>
        <v>64</v>
      </c>
    </row>
    <row r="2809" spans="1:8" x14ac:dyDescent="0.2">
      <c r="A2809" s="23">
        <f>'[1]SEP 2024'!A174</f>
        <v>45560</v>
      </c>
      <c r="B2809" s="12" t="str">
        <f>'[1]SEP 2024'!B174</f>
        <v>Refill</v>
      </c>
      <c r="C2809" s="3">
        <f>'[1]SEP 2024'!C174</f>
        <v>0</v>
      </c>
      <c r="D2809" s="3">
        <f>'[1]SEP 2024'!D174</f>
        <v>0</v>
      </c>
      <c r="E2809" s="4">
        <f>'[1]SEP 2024'!E174</f>
        <v>0</v>
      </c>
      <c r="F2809" s="6">
        <f>'[1]SEP 2024'!F174</f>
        <v>0</v>
      </c>
      <c r="G2809" s="4">
        <f>'[1]SEP 2024'!G174</f>
        <v>28583.739999999998</v>
      </c>
      <c r="H2809" s="4">
        <f>'[1]SEP 2024'!H174</f>
        <v>0</v>
      </c>
    </row>
    <row r="2810" spans="1:8" x14ac:dyDescent="0.2">
      <c r="A2810" s="20">
        <f>'[1]SEP 2024'!A177</f>
        <v>45561</v>
      </c>
      <c r="B2810" s="12" t="str">
        <f>'[1]SEP 2024'!B177</f>
        <v>VM</v>
      </c>
      <c r="C2810" s="3">
        <f>'[1]SEP 2024'!C177</f>
        <v>0</v>
      </c>
      <c r="D2810" s="3">
        <f>'[1]SEP 2024'!D177</f>
        <v>0</v>
      </c>
      <c r="E2810" s="4">
        <f>'[1]SEP 2024'!E177</f>
        <v>0</v>
      </c>
      <c r="F2810" s="6">
        <f>'[1]SEP 2024'!F177</f>
        <v>16</v>
      </c>
      <c r="G2810" s="4">
        <f>'[1]SEP 2024'!G177</f>
        <v>0</v>
      </c>
      <c r="H2810" s="4">
        <f>'[1]SEP 2024'!H177</f>
        <v>192</v>
      </c>
    </row>
    <row r="2811" spans="1:8" x14ac:dyDescent="0.2">
      <c r="A2811" s="23">
        <f>'[1]SEP 2024'!A178</f>
        <v>45561</v>
      </c>
      <c r="B2811" s="12" t="str">
        <f>'[1]SEP 2024'!B178</f>
        <v>Andere</v>
      </c>
      <c r="C2811" s="3">
        <f>'[1]SEP 2024'!C178</f>
        <v>0</v>
      </c>
      <c r="D2811" s="3">
        <f>'[1]SEP 2024'!D178</f>
        <v>0</v>
      </c>
      <c r="E2811" s="4">
        <f>'[1]SEP 2024'!E178</f>
        <v>0</v>
      </c>
      <c r="F2811" s="6">
        <f>'[1]SEP 2024'!F178</f>
        <v>0</v>
      </c>
      <c r="G2811" s="4">
        <f>'[1]SEP 2024'!G178</f>
        <v>0</v>
      </c>
      <c r="H2811" s="4">
        <f>'[1]SEP 2024'!H178</f>
        <v>5567</v>
      </c>
    </row>
    <row r="2812" spans="1:8" x14ac:dyDescent="0.2">
      <c r="A2812" s="20">
        <f>'[1]SEP 2024'!A179</f>
        <v>45561</v>
      </c>
      <c r="B2812" s="12" t="str">
        <f>'[1]SEP 2024'!B179</f>
        <v>LM</v>
      </c>
      <c r="C2812" s="3">
        <f>'[1]SEP 2024'!C179</f>
        <v>0</v>
      </c>
      <c r="D2812" s="3">
        <f>'[1]SEP 2024'!D179</f>
        <v>0</v>
      </c>
      <c r="E2812" s="4">
        <f>'[1]SEP 2024'!E179</f>
        <v>0</v>
      </c>
      <c r="F2812" s="6">
        <f>'[1]SEP 2024'!F179</f>
        <v>0</v>
      </c>
      <c r="G2812" s="4">
        <f>'[1]SEP 2024'!G179</f>
        <v>0</v>
      </c>
      <c r="H2812" s="4">
        <f>'[1]SEP 2024'!H179</f>
        <v>1369.9</v>
      </c>
    </row>
    <row r="2813" spans="1:8" x14ac:dyDescent="0.2">
      <c r="A2813" s="23">
        <f>'[1]SEP 2024'!A180</f>
        <v>45561</v>
      </c>
      <c r="B2813" s="12" t="str">
        <f>'[1]SEP 2024'!B180</f>
        <v>Rauchen</v>
      </c>
      <c r="C2813" s="3">
        <f>'[1]SEP 2024'!C180</f>
        <v>0</v>
      </c>
      <c r="D2813" s="3">
        <f>'[1]SEP 2024'!D180</f>
        <v>0</v>
      </c>
      <c r="E2813" s="4">
        <f>'[1]SEP 2024'!E180</f>
        <v>0</v>
      </c>
      <c r="F2813" s="6">
        <f>'[1]SEP 2024'!F180</f>
        <v>0</v>
      </c>
      <c r="G2813" s="4">
        <f>'[1]SEP 2024'!G180</f>
        <v>0</v>
      </c>
      <c r="H2813" s="4">
        <f>'[1]SEP 2024'!H180</f>
        <v>185</v>
      </c>
    </row>
    <row r="2814" spans="1:8" x14ac:dyDescent="0.2">
      <c r="A2814" s="23">
        <f>'[1]SEP 2024'!A184</f>
        <v>45562</v>
      </c>
      <c r="B2814" s="12" t="str">
        <f>'[1]SEP 2024'!B184</f>
        <v>Kleidung</v>
      </c>
      <c r="C2814" s="3">
        <f>'[1]SEP 2024'!C184</f>
        <v>0</v>
      </c>
      <c r="D2814" s="3">
        <f>'[1]SEP 2024'!D184</f>
        <v>0</v>
      </c>
      <c r="E2814" s="4">
        <f>'[1]SEP 2024'!E184</f>
        <v>0</v>
      </c>
      <c r="F2814" s="6">
        <f>'[1]SEP 2024'!F184</f>
        <v>0</v>
      </c>
      <c r="G2814" s="4">
        <f>'[1]SEP 2024'!G184</f>
        <v>0</v>
      </c>
      <c r="H2814" s="4">
        <f>'[1]SEP 2024'!H184</f>
        <v>2964</v>
      </c>
    </row>
    <row r="2815" spans="1:8" x14ac:dyDescent="0.2">
      <c r="A2815" s="20">
        <f>'[1]SEP 2024'!A185</f>
        <v>45562</v>
      </c>
      <c r="B2815" s="12" t="str">
        <f>'[1]SEP 2024'!B185</f>
        <v>VM</v>
      </c>
      <c r="C2815" s="3">
        <f>'[1]SEP 2024'!C185</f>
        <v>0</v>
      </c>
      <c r="D2815" s="3">
        <f>'[1]SEP 2024'!D185</f>
        <v>0</v>
      </c>
      <c r="E2815" s="4">
        <f>'[1]SEP 2024'!E185</f>
        <v>0</v>
      </c>
      <c r="F2815" s="6">
        <f>'[1]SEP 2024'!F185</f>
        <v>0</v>
      </c>
      <c r="G2815" s="4">
        <f>'[1]SEP 2024'!G185</f>
        <v>0</v>
      </c>
      <c r="H2815" s="4">
        <f>'[1]SEP 2024'!H185</f>
        <v>64</v>
      </c>
    </row>
    <row r="2816" spans="1:8" x14ac:dyDescent="0.2">
      <c r="A2816" s="23">
        <f>'[1]SEP 2024'!A186</f>
        <v>45562</v>
      </c>
      <c r="B2816" s="12" t="str">
        <f>'[1]SEP 2024'!B186</f>
        <v>Frauen</v>
      </c>
      <c r="C2816" s="3">
        <f>'[1]SEP 2024'!C186</f>
        <v>0</v>
      </c>
      <c r="D2816" s="3">
        <f>'[1]SEP 2024'!D186</f>
        <v>0</v>
      </c>
      <c r="E2816" s="4">
        <f>'[1]SEP 2024'!E186</f>
        <v>0</v>
      </c>
      <c r="F2816" s="6">
        <f>'[1]SEP 2024'!F186</f>
        <v>0</v>
      </c>
      <c r="G2816" s="4">
        <f>'[1]SEP 2024'!G186</f>
        <v>0</v>
      </c>
      <c r="H2816" s="4">
        <f>'[1]SEP 2024'!H186</f>
        <v>3850</v>
      </c>
    </row>
    <row r="2817" spans="1:8" x14ac:dyDescent="0.2">
      <c r="A2817" s="20">
        <f>'[1]SEP 2024'!A187</f>
        <v>45562</v>
      </c>
      <c r="B2817" s="12" t="str">
        <f>'[1]SEP 2024'!B187</f>
        <v>VM</v>
      </c>
      <c r="C2817" s="3">
        <f>'[1]SEP 2024'!C187</f>
        <v>0</v>
      </c>
      <c r="D2817" s="3">
        <f>'[1]SEP 2024'!D187</f>
        <v>0</v>
      </c>
      <c r="E2817" s="4">
        <f>'[1]SEP 2024'!E187</f>
        <v>0</v>
      </c>
      <c r="F2817" s="6">
        <f>'[1]SEP 2024'!F187</f>
        <v>0</v>
      </c>
      <c r="G2817" s="4">
        <f>'[1]SEP 2024'!G187</f>
        <v>0</v>
      </c>
      <c r="H2817" s="4">
        <f>'[1]SEP 2024'!H187</f>
        <v>1027</v>
      </c>
    </row>
    <row r="2818" spans="1:8" x14ac:dyDescent="0.2">
      <c r="A2818" s="20">
        <f>'[1]SEP 2024'!A191</f>
        <v>45563</v>
      </c>
      <c r="B2818" s="12" t="str">
        <f>'[1]SEP 2024'!B191</f>
        <v>Rauchen</v>
      </c>
      <c r="C2818" s="3">
        <f>'[1]SEP 2024'!C191</f>
        <v>0</v>
      </c>
      <c r="D2818" s="3">
        <f>'[1]SEP 2024'!D191</f>
        <v>0</v>
      </c>
      <c r="E2818" s="4">
        <f>'[1]SEP 2024'!E191</f>
        <v>0</v>
      </c>
      <c r="F2818" s="6">
        <f>'[1]SEP 2024'!F191</f>
        <v>0</v>
      </c>
      <c r="G2818" s="4">
        <f>'[1]SEP 2024'!G191</f>
        <v>0</v>
      </c>
      <c r="H2818" s="4">
        <f>'[1]SEP 2024'!H191</f>
        <v>1899</v>
      </c>
    </row>
    <row r="2819" spans="1:8" x14ac:dyDescent="0.2">
      <c r="A2819" s="23">
        <f>'[1]SEP 2024'!A192</f>
        <v>45563</v>
      </c>
      <c r="B2819" s="12" t="str">
        <f>'[1]SEP 2024'!B192</f>
        <v>VM</v>
      </c>
      <c r="C2819" s="3">
        <f>'[1]SEP 2024'!C192</f>
        <v>0</v>
      </c>
      <c r="D2819" s="3">
        <f>'[1]SEP 2024'!D192</f>
        <v>0</v>
      </c>
      <c r="E2819" s="4">
        <f>'[1]SEP 2024'!E192</f>
        <v>0</v>
      </c>
      <c r="F2819" s="6">
        <f>'[1]SEP 2024'!F192</f>
        <v>0</v>
      </c>
      <c r="G2819" s="4">
        <f>'[1]SEP 2024'!G192</f>
        <v>0</v>
      </c>
      <c r="H2819" s="4">
        <f>'[1]SEP 2024'!H192</f>
        <v>128</v>
      </c>
    </row>
    <row r="2820" spans="1:8" x14ac:dyDescent="0.2">
      <c r="A2820" s="20">
        <f>'[1]SEP 2024'!A193</f>
        <v>45563</v>
      </c>
      <c r="B2820" s="12" t="str">
        <f>'[1]SEP 2024'!B193</f>
        <v>Andere</v>
      </c>
      <c r="C2820" s="3">
        <f>'[1]SEP 2024'!C193</f>
        <v>0</v>
      </c>
      <c r="D2820" s="3">
        <f>'[1]SEP 2024'!D193</f>
        <v>0</v>
      </c>
      <c r="E2820" s="4">
        <f>'[1]SEP 2024'!E193</f>
        <v>0</v>
      </c>
      <c r="F2820" s="6">
        <f>'[1]SEP 2024'!F193</f>
        <v>0</v>
      </c>
      <c r="G2820" s="4">
        <f>'[1]SEP 2024'!G193</f>
        <v>0</v>
      </c>
      <c r="H2820" s="4">
        <f>'[1]SEP 2024'!H193</f>
        <v>2762</v>
      </c>
    </row>
    <row r="2821" spans="1:8" x14ac:dyDescent="0.2">
      <c r="A2821" s="23">
        <f>'[1]SEP 2024'!A194</f>
        <v>45563</v>
      </c>
      <c r="B2821" s="12" t="str">
        <f>'[1]SEP 2024'!B194</f>
        <v>LM</v>
      </c>
      <c r="C2821" s="3">
        <f>'[1]SEP 2024'!C194</f>
        <v>0</v>
      </c>
      <c r="D2821" s="3">
        <f>'[1]SEP 2024'!D194</f>
        <v>0</v>
      </c>
      <c r="E2821" s="4">
        <f>'[1]SEP 2024'!E194</f>
        <v>0</v>
      </c>
      <c r="F2821" s="6">
        <f>'[1]SEP 2024'!F194</f>
        <v>0</v>
      </c>
      <c r="G2821" s="4">
        <f>'[1]SEP 2024'!G194</f>
        <v>0</v>
      </c>
      <c r="H2821" s="4">
        <f>'[1]SEP 2024'!H194</f>
        <v>1309.47</v>
      </c>
    </row>
    <row r="2822" spans="1:8" x14ac:dyDescent="0.2">
      <c r="A2822" s="23">
        <f>'[1]SEP 2024'!A198</f>
        <v>45564</v>
      </c>
      <c r="B2822" s="12" t="str">
        <f>'[1]SEP 2024'!B198</f>
        <v>Andere</v>
      </c>
      <c r="C2822" s="3">
        <f>'[1]SEP 2024'!C198</f>
        <v>0</v>
      </c>
      <c r="D2822" s="3">
        <f>'[1]SEP 2024'!D198</f>
        <v>0</v>
      </c>
      <c r="E2822" s="4">
        <f>'[1]SEP 2024'!E198</f>
        <v>0</v>
      </c>
      <c r="F2822" s="6">
        <f>'[1]SEP 2024'!F198</f>
        <v>0</v>
      </c>
      <c r="G2822" s="4">
        <f>'[1]SEP 2024'!G198</f>
        <v>0</v>
      </c>
      <c r="H2822" s="4">
        <f>'[1]SEP 2024'!H198</f>
        <v>249</v>
      </c>
    </row>
    <row r="2823" spans="1:8" x14ac:dyDescent="0.2">
      <c r="A2823" s="20">
        <f>'[1]SEP 2024'!A199</f>
        <v>45564</v>
      </c>
      <c r="B2823" s="12" t="str">
        <f>'[1]SEP 2024'!B199</f>
        <v>LM</v>
      </c>
      <c r="C2823" s="3">
        <f>'[1]SEP 2024'!C199</f>
        <v>0</v>
      </c>
      <c r="D2823" s="3">
        <f>'[1]SEP 2024'!D199</f>
        <v>0</v>
      </c>
      <c r="E2823" s="4">
        <f>'[1]SEP 2024'!E199</f>
        <v>0</v>
      </c>
      <c r="F2823" s="6">
        <f>'[1]SEP 2024'!F199</f>
        <v>0</v>
      </c>
      <c r="G2823" s="4">
        <f>'[1]SEP 2024'!G199</f>
        <v>0</v>
      </c>
      <c r="H2823" s="4">
        <f>'[1]SEP 2024'!H199</f>
        <v>613.42999999999995</v>
      </c>
    </row>
    <row r="2824" spans="1:8" x14ac:dyDescent="0.2">
      <c r="A2824" s="23">
        <f>'[1]SEP 2024'!A200</f>
        <v>45564</v>
      </c>
      <c r="B2824" s="12" t="str">
        <f>'[1]SEP 2024'!B200</f>
        <v>Party</v>
      </c>
      <c r="C2824" s="3">
        <f>'[1]SEP 2024'!C200</f>
        <v>0</v>
      </c>
      <c r="D2824" s="3">
        <f>'[1]SEP 2024'!D200</f>
        <v>0</v>
      </c>
      <c r="E2824" s="4">
        <f>'[1]SEP 2024'!E200</f>
        <v>0</v>
      </c>
      <c r="F2824" s="6">
        <f>'[1]SEP 2024'!F200</f>
        <v>0</v>
      </c>
      <c r="G2824" s="4">
        <f>'[1]SEP 2024'!G200</f>
        <v>0</v>
      </c>
      <c r="H2824" s="4">
        <f>'[1]SEP 2024'!H200</f>
        <v>1500</v>
      </c>
    </row>
    <row r="2825" spans="1:8" x14ac:dyDescent="0.2">
      <c r="A2825" s="20">
        <f>'[1]SEP 2024'!A201</f>
        <v>45564</v>
      </c>
      <c r="B2825" s="12" t="str">
        <f>'[1]SEP 2024'!B201</f>
        <v>VM</v>
      </c>
      <c r="C2825" s="3">
        <f>'[1]SEP 2024'!C201</f>
        <v>0</v>
      </c>
      <c r="D2825" s="3">
        <f>'[1]SEP 2024'!D201</f>
        <v>0</v>
      </c>
      <c r="E2825" s="4">
        <f>'[1]SEP 2024'!E201</f>
        <v>0</v>
      </c>
      <c r="F2825" s="6">
        <f>'[1]SEP 2024'!F201</f>
        <v>14</v>
      </c>
      <c r="G2825" s="4">
        <f>'[1]SEP 2024'!G201</f>
        <v>0</v>
      </c>
      <c r="H2825" s="4">
        <f>'[1]SEP 2024'!H201</f>
        <v>0</v>
      </c>
    </row>
    <row r="2826" spans="1:8" x14ac:dyDescent="0.2">
      <c r="A2826" s="23">
        <f>'[1]OKT 2024'!A2</f>
        <v>45566</v>
      </c>
      <c r="B2826" s="12" t="str">
        <f>'[1]OKT 2024'!B2</f>
        <v>LM</v>
      </c>
      <c r="C2826" s="3">
        <f>'[1]OKT 2024'!C2</f>
        <v>0</v>
      </c>
      <c r="D2826" s="3">
        <f>'[1]OKT 2024'!D2</f>
        <v>0</v>
      </c>
      <c r="E2826" s="4">
        <f>'[1]OKT 2024'!E2</f>
        <v>0</v>
      </c>
      <c r="F2826" s="6">
        <f>'[1]OKT 2024'!F2</f>
        <v>0</v>
      </c>
      <c r="G2826" s="4">
        <f>'[1]OKT 2024'!G2</f>
        <v>0</v>
      </c>
      <c r="H2826" s="4">
        <f>'[1]OKT 2024'!H2</f>
        <v>981</v>
      </c>
    </row>
    <row r="2827" spans="1:8" x14ac:dyDescent="0.2">
      <c r="A2827" s="20">
        <f>'[1]OKT 2024'!A3</f>
        <v>45566</v>
      </c>
      <c r="B2827" s="12" t="str">
        <f>'[1]OKT 2024'!B3</f>
        <v>VM</v>
      </c>
      <c r="C2827" s="3">
        <f>'[1]OKT 2024'!C3</f>
        <v>0</v>
      </c>
      <c r="D2827" s="3">
        <f>'[1]OKT 2024'!D3</f>
        <v>0</v>
      </c>
      <c r="E2827" s="4">
        <f>'[1]OKT 2024'!E3</f>
        <v>0</v>
      </c>
      <c r="F2827" s="6">
        <f>'[1]OKT 2024'!F3</f>
        <v>75.5</v>
      </c>
      <c r="G2827" s="4">
        <f>'[1]OKT 2024'!G3</f>
        <v>0</v>
      </c>
      <c r="H2827" s="4">
        <f>'[1]OKT 2024'!H3</f>
        <v>1309</v>
      </c>
    </row>
    <row r="2828" spans="1:8" x14ac:dyDescent="0.2">
      <c r="A2828" s="23">
        <f>'[1]OKT 2024'!A4</f>
        <v>45566</v>
      </c>
      <c r="B2828" s="12" t="str">
        <f>'[1]OKT 2024'!B4</f>
        <v>Andere</v>
      </c>
      <c r="C2828" s="3">
        <f>'[1]OKT 2024'!C4</f>
        <v>0</v>
      </c>
      <c r="D2828" s="3">
        <f>'[1]OKT 2024'!D4</f>
        <v>0</v>
      </c>
      <c r="E2828" s="4">
        <f>'[1]OKT 2024'!E4</f>
        <v>0</v>
      </c>
      <c r="F2828" s="6">
        <f>'[1]OKT 2024'!F4</f>
        <v>0</v>
      </c>
      <c r="G2828" s="4">
        <f>'[1]OKT 2024'!G4</f>
        <v>0</v>
      </c>
      <c r="H2828" s="4">
        <f>'[1]OKT 2024'!H4</f>
        <v>1990</v>
      </c>
    </row>
    <row r="2829" spans="1:8" x14ac:dyDescent="0.2">
      <c r="A2829" s="20">
        <f>'[1]OKT 2024'!A5</f>
        <v>45566</v>
      </c>
      <c r="B2829" s="12" t="str">
        <f>'[1]OKT 2024'!B5</f>
        <v>for me</v>
      </c>
      <c r="C2829" s="3">
        <f>'[1]OKT 2024'!C5</f>
        <v>0</v>
      </c>
      <c r="D2829" s="3">
        <f>'[1]OKT 2024'!D5</f>
        <v>0</v>
      </c>
      <c r="E2829" s="4">
        <f>'[1]OKT 2024'!E5</f>
        <v>0</v>
      </c>
      <c r="F2829" s="6">
        <f>'[1]OKT 2024'!F5</f>
        <v>0</v>
      </c>
      <c r="G2829" s="4">
        <f>'[1]OKT 2024'!G5</f>
        <v>0</v>
      </c>
      <c r="H2829" s="4">
        <f>'[1]OKT 2024'!H5</f>
        <v>800</v>
      </c>
    </row>
    <row r="2830" spans="1:8" x14ac:dyDescent="0.2">
      <c r="A2830" s="23">
        <f>'[1]OKT 2024'!A6</f>
        <v>45566</v>
      </c>
      <c r="B2830" s="12" t="str">
        <f>'[1]OKT 2024'!B6</f>
        <v>Party</v>
      </c>
      <c r="C2830" s="3">
        <f>'[1]OKT 2024'!C6</f>
        <v>0</v>
      </c>
      <c r="D2830" s="3">
        <f>'[1]OKT 2024'!D6</f>
        <v>0</v>
      </c>
      <c r="E2830" s="4">
        <f>'[1]OKT 2024'!E6</f>
        <v>0</v>
      </c>
      <c r="F2830" s="6">
        <f>'[1]OKT 2024'!F6</f>
        <v>0</v>
      </c>
      <c r="G2830" s="4">
        <f>'[1]OKT 2024'!G6</f>
        <v>10</v>
      </c>
      <c r="H2830" s="4">
        <f>'[1]OKT 2024'!H6</f>
        <v>0</v>
      </c>
    </row>
    <row r="2831" spans="1:8" x14ac:dyDescent="0.2">
      <c r="A2831" s="20">
        <f>'[1]OKT 2024'!A9</f>
        <v>45567</v>
      </c>
      <c r="B2831" s="12" t="str">
        <f>'[1]OKT 2024'!B9</f>
        <v>LM</v>
      </c>
      <c r="C2831" s="3">
        <f>'[1]OKT 2024'!C9</f>
        <v>0</v>
      </c>
      <c r="D2831" s="3">
        <f>'[1]OKT 2024'!D9</f>
        <v>0</v>
      </c>
      <c r="E2831" s="4">
        <f>'[1]OKT 2024'!E9</f>
        <v>0</v>
      </c>
      <c r="F2831" s="6">
        <f>'[1]OKT 2024'!F9</f>
        <v>0</v>
      </c>
      <c r="G2831" s="4">
        <f>'[1]OKT 2024'!G9</f>
        <v>0</v>
      </c>
      <c r="H2831" s="4">
        <f>'[1]OKT 2024'!H9</f>
        <v>445</v>
      </c>
    </row>
    <row r="2832" spans="1:8" x14ac:dyDescent="0.2">
      <c r="A2832" s="23">
        <f>'[1]OKT 2024'!A10</f>
        <v>45567</v>
      </c>
      <c r="B2832" s="12" t="str">
        <f>'[1]OKT 2024'!B10</f>
        <v>Andere</v>
      </c>
      <c r="C2832" s="3">
        <f>'[1]OKT 2024'!C10</f>
        <v>0</v>
      </c>
      <c r="D2832" s="3">
        <f>'[1]OKT 2024'!D10</f>
        <v>0</v>
      </c>
      <c r="E2832" s="4">
        <f>'[1]OKT 2024'!E10</f>
        <v>0</v>
      </c>
      <c r="F2832" s="6">
        <f>'[1]OKT 2024'!F10</f>
        <v>0</v>
      </c>
      <c r="G2832" s="4">
        <f>'[1]OKT 2024'!G10</f>
        <v>0</v>
      </c>
      <c r="H2832" s="4">
        <f>'[1]OKT 2024'!H10</f>
        <v>2000</v>
      </c>
    </row>
    <row r="2833" spans="1:8" x14ac:dyDescent="0.2">
      <c r="A2833" s="20">
        <f>'[1]OKT 2024'!A11</f>
        <v>45567</v>
      </c>
      <c r="B2833" s="12" t="str">
        <f>'[1]OKT 2024'!B11</f>
        <v>Andere</v>
      </c>
      <c r="C2833" s="3">
        <f>'[1]OKT 2024'!C11</f>
        <v>0</v>
      </c>
      <c r="D2833" s="3">
        <f>'[1]OKT 2024'!D11</f>
        <v>0</v>
      </c>
      <c r="E2833" s="4">
        <f>'[1]OKT 2024'!E11</f>
        <v>0</v>
      </c>
      <c r="F2833" s="6">
        <f>'[1]OKT 2024'!F11</f>
        <v>0</v>
      </c>
      <c r="G2833" s="4">
        <f>'[1]OKT 2024'!G11</f>
        <v>0</v>
      </c>
      <c r="H2833" s="4">
        <f>'[1]OKT 2024'!H11</f>
        <v>3200</v>
      </c>
    </row>
    <row r="2834" spans="1:8" x14ac:dyDescent="0.2">
      <c r="A2834" s="23">
        <f>'[1]OKT 2024'!A12</f>
        <v>45567</v>
      </c>
      <c r="B2834" s="12" t="str">
        <f>'[1]OKT 2024'!B12</f>
        <v>VM</v>
      </c>
      <c r="C2834" s="3">
        <f>'[1]OKT 2024'!C12</f>
        <v>0</v>
      </c>
      <c r="D2834" s="3">
        <f>'[1]OKT 2024'!D12</f>
        <v>0</v>
      </c>
      <c r="E2834" s="4">
        <f>'[1]OKT 2024'!E12</f>
        <v>0</v>
      </c>
      <c r="F2834" s="6">
        <f>'[1]OKT 2024'!F12</f>
        <v>17</v>
      </c>
      <c r="G2834" s="4">
        <f>'[1]OKT 2024'!G12</f>
        <v>0</v>
      </c>
      <c r="H2834" s="4">
        <f>'[1]OKT 2024'!H12</f>
        <v>0</v>
      </c>
    </row>
    <row r="2835" spans="1:8" x14ac:dyDescent="0.2">
      <c r="A2835" s="23">
        <f>'[1]OKT 2024'!A16</f>
        <v>45568</v>
      </c>
      <c r="B2835" s="12" t="str">
        <f>'[1]OKT 2024'!B16</f>
        <v>Refill</v>
      </c>
      <c r="C2835" s="3">
        <f>'[1]OKT 2024'!C16</f>
        <v>0</v>
      </c>
      <c r="D2835" s="3">
        <f>'[1]OKT 2024'!D16</f>
        <v>0</v>
      </c>
      <c r="E2835" s="4">
        <f>'[1]OKT 2024'!E16</f>
        <v>0</v>
      </c>
      <c r="F2835" s="6">
        <f>'[1]OKT 2024'!F16</f>
        <v>0</v>
      </c>
      <c r="G2835" s="4">
        <f>'[1]OKT 2024'!G16</f>
        <v>8477.6200000000008</v>
      </c>
      <c r="H2835" s="4">
        <f>'[1]OKT 2024'!H16</f>
        <v>0</v>
      </c>
    </row>
    <row r="2836" spans="1:8" x14ac:dyDescent="0.2">
      <c r="A2836" s="20">
        <f>'[1]OKT 2024'!A17</f>
        <v>45568</v>
      </c>
      <c r="B2836" s="12" t="str">
        <f>'[1]OKT 2024'!B17</f>
        <v>LM</v>
      </c>
      <c r="C2836" s="3">
        <f>'[1]OKT 2024'!C17</f>
        <v>0</v>
      </c>
      <c r="D2836" s="3">
        <f>'[1]OKT 2024'!D17</f>
        <v>0</v>
      </c>
      <c r="E2836" s="4">
        <f>'[1]OKT 2024'!E17</f>
        <v>0</v>
      </c>
      <c r="F2836" s="6">
        <f>'[1]OKT 2024'!F17</f>
        <v>0</v>
      </c>
      <c r="G2836" s="4">
        <f>'[1]OKT 2024'!G17</f>
        <v>0</v>
      </c>
      <c r="H2836" s="4">
        <f>'[1]OKT 2024'!H17</f>
        <v>957.89</v>
      </c>
    </row>
    <row r="2837" spans="1:8" x14ac:dyDescent="0.2">
      <c r="A2837" s="23">
        <f>'[1]OKT 2024'!A18</f>
        <v>45568</v>
      </c>
      <c r="B2837" s="12" t="str">
        <f>'[1]OKT 2024'!B18</f>
        <v>VM</v>
      </c>
      <c r="C2837" s="3">
        <f>'[1]OKT 2024'!C18</f>
        <v>0</v>
      </c>
      <c r="D2837" s="3">
        <f>'[1]OKT 2024'!D18</f>
        <v>65</v>
      </c>
      <c r="E2837" s="4">
        <f>'[1]OKT 2024'!E18</f>
        <v>0</v>
      </c>
      <c r="F2837" s="6">
        <f>'[1]OKT 2024'!F18</f>
        <v>7</v>
      </c>
      <c r="G2837" s="4">
        <f>'[1]OKT 2024'!G18</f>
        <v>0</v>
      </c>
      <c r="H2837" s="4">
        <f>'[1]OKT 2024'!H18</f>
        <v>1098</v>
      </c>
    </row>
    <row r="2838" spans="1:8" x14ac:dyDescent="0.2">
      <c r="A2838" s="20">
        <f>'[1]OKT 2024'!A23</f>
        <v>45569</v>
      </c>
      <c r="B2838" s="12" t="str">
        <f>'[1]OKT 2024'!B23</f>
        <v>LM</v>
      </c>
      <c r="C2838" s="3">
        <f>'[1]OKT 2024'!C23</f>
        <v>0</v>
      </c>
      <c r="D2838" s="3">
        <f>'[1]OKT 2024'!D23</f>
        <v>0</v>
      </c>
      <c r="E2838" s="4">
        <f>'[1]OKT 2024'!E23</f>
        <v>0</v>
      </c>
      <c r="F2838" s="6">
        <f>'[1]OKT 2024'!F23</f>
        <v>0</v>
      </c>
      <c r="G2838" s="4">
        <f>'[1]OKT 2024'!G23</f>
        <v>0</v>
      </c>
      <c r="H2838" s="4">
        <f>'[1]OKT 2024'!H23</f>
        <v>1136</v>
      </c>
    </row>
    <row r="2839" spans="1:8" x14ac:dyDescent="0.2">
      <c r="A2839" s="23">
        <f>'[1]OKT 2024'!A24</f>
        <v>45569</v>
      </c>
      <c r="B2839" s="12" t="str">
        <f>'[1]OKT 2024'!B24</f>
        <v>VM</v>
      </c>
      <c r="C2839" s="3">
        <f>'[1]OKT 2024'!C24</f>
        <v>0</v>
      </c>
      <c r="D2839" s="3">
        <f>'[1]OKT 2024'!D24</f>
        <v>0</v>
      </c>
      <c r="E2839" s="4">
        <f>'[1]OKT 2024'!E24</f>
        <v>0</v>
      </c>
      <c r="F2839" s="6">
        <f>'[1]OKT 2024'!F24</f>
        <v>0</v>
      </c>
      <c r="G2839" s="4">
        <f>'[1]OKT 2024'!G24</f>
        <v>0</v>
      </c>
      <c r="H2839" s="4">
        <f>'[1]OKT 2024'!H24</f>
        <v>64</v>
      </c>
    </row>
    <row r="2840" spans="1:8" x14ac:dyDescent="0.2">
      <c r="A2840" s="20">
        <f>'[1]OKT 2024'!A25</f>
        <v>45569</v>
      </c>
      <c r="B2840" s="12" t="str">
        <f>'[1]OKT 2024'!B25</f>
        <v>Party</v>
      </c>
      <c r="C2840" s="3">
        <f>'[1]OKT 2024'!C25</f>
        <v>0</v>
      </c>
      <c r="D2840" s="3">
        <f>'[1]OKT 2024'!D25</f>
        <v>0</v>
      </c>
      <c r="E2840" s="4">
        <f>'[1]OKT 2024'!E25</f>
        <v>0</v>
      </c>
      <c r="F2840" s="6">
        <f>'[1]OKT 2024'!F25</f>
        <v>0</v>
      </c>
      <c r="G2840" s="4">
        <f>'[1]OKT 2024'!G25</f>
        <v>0</v>
      </c>
      <c r="H2840" s="4">
        <f>'[1]OKT 2024'!H25</f>
        <v>2800</v>
      </c>
    </row>
    <row r="2841" spans="1:8" x14ac:dyDescent="0.2">
      <c r="A2841" s="23">
        <f>'[1]OKT 2024'!A26</f>
        <v>45569</v>
      </c>
      <c r="B2841" s="12" t="str">
        <f>'[1]OKT 2024'!B26</f>
        <v>VM</v>
      </c>
      <c r="C2841" s="3">
        <f>'[1]OKT 2024'!C26</f>
        <v>0</v>
      </c>
      <c r="D2841" s="3">
        <f>'[1]OKT 2024'!D26</f>
        <v>0</v>
      </c>
      <c r="E2841" s="4">
        <f>'[1]OKT 2024'!E26</f>
        <v>0</v>
      </c>
      <c r="F2841" s="6">
        <f>'[1]OKT 2024'!F26</f>
        <v>0</v>
      </c>
      <c r="G2841" s="4">
        <f>'[1]OKT 2024'!G26</f>
        <v>0</v>
      </c>
      <c r="H2841" s="4">
        <f>'[1]OKT 2024'!H26</f>
        <v>64</v>
      </c>
    </row>
    <row r="2842" spans="1:8" x14ac:dyDescent="0.2">
      <c r="A2842" s="23">
        <f>'[1]OKT 2024'!A30</f>
        <v>45570</v>
      </c>
      <c r="B2842" s="12" t="str">
        <f>'[1]OKT 2024'!B30</f>
        <v>VM</v>
      </c>
      <c r="C2842" s="3">
        <f>'[1]OKT 2024'!C30</f>
        <v>0</v>
      </c>
      <c r="D2842" s="3">
        <f>'[1]OKT 2024'!D30</f>
        <v>0</v>
      </c>
      <c r="E2842" s="4">
        <f>'[1]OKT 2024'!E30</f>
        <v>0</v>
      </c>
      <c r="F2842" s="6">
        <f>'[1]OKT 2024'!F30</f>
        <v>77</v>
      </c>
      <c r="G2842" s="4">
        <f>'[1]OKT 2024'!G30</f>
        <v>0</v>
      </c>
      <c r="H2842" s="4">
        <f>'[1]OKT 2024'!H30</f>
        <v>1518</v>
      </c>
    </row>
    <row r="2843" spans="1:8" x14ac:dyDescent="0.2">
      <c r="A2843" s="20">
        <f>'[1]OKT 2024'!A31</f>
        <v>45570</v>
      </c>
      <c r="B2843" s="12" t="str">
        <f>'[1]OKT 2024'!B31</f>
        <v>Frauen</v>
      </c>
      <c r="C2843" s="3">
        <f>'[1]OKT 2024'!C31</f>
        <v>0</v>
      </c>
      <c r="D2843" s="3">
        <f>'[1]OKT 2024'!D31</f>
        <v>0</v>
      </c>
      <c r="E2843" s="4">
        <f>'[1]OKT 2024'!E31</f>
        <v>0</v>
      </c>
      <c r="F2843" s="6">
        <f>'[1]OKT 2024'!F31</f>
        <v>0</v>
      </c>
      <c r="G2843" s="4">
        <f>'[1]OKT 2024'!G31</f>
        <v>0</v>
      </c>
      <c r="H2843" s="4">
        <f>'[1]OKT 2024'!H31</f>
        <v>1900</v>
      </c>
    </row>
    <row r="2844" spans="1:8" x14ac:dyDescent="0.2">
      <c r="A2844" s="23">
        <f>'[1]OKT 2024'!A32</f>
        <v>45570</v>
      </c>
      <c r="B2844" s="12" t="str">
        <f>'[1]OKT 2024'!B32</f>
        <v>none</v>
      </c>
      <c r="C2844" s="3">
        <f>'[1]OKT 2024'!C32</f>
        <v>1900</v>
      </c>
      <c r="D2844" s="3">
        <f>'[1]OKT 2024'!D32</f>
        <v>0</v>
      </c>
      <c r="E2844" s="4">
        <f>'[1]OKT 2024'!E32</f>
        <v>0</v>
      </c>
      <c r="F2844" s="6">
        <f>'[1]OKT 2024'!F32</f>
        <v>0</v>
      </c>
      <c r="G2844" s="4">
        <f>'[1]OKT 2024'!G32</f>
        <v>0</v>
      </c>
      <c r="H2844" s="4">
        <f>'[1]OKT 2024'!H32</f>
        <v>1900</v>
      </c>
    </row>
    <row r="2845" spans="1:8" x14ac:dyDescent="0.2">
      <c r="A2845" s="20">
        <f>'[1]OKT 2024'!A37</f>
        <v>45571</v>
      </c>
      <c r="B2845" s="12" t="str">
        <f>'[1]OKT 2024'!B37</f>
        <v>LM</v>
      </c>
      <c r="C2845" s="3">
        <f>'[1]OKT 2024'!C37</f>
        <v>0</v>
      </c>
      <c r="D2845" s="3">
        <f>'[1]OKT 2024'!D37</f>
        <v>0</v>
      </c>
      <c r="E2845" s="4">
        <f>'[1]OKT 2024'!E37</f>
        <v>0</v>
      </c>
      <c r="F2845" s="6">
        <f>'[1]OKT 2024'!F37</f>
        <v>0</v>
      </c>
      <c r="G2845" s="4">
        <f>'[1]OKT 2024'!G37</f>
        <v>0</v>
      </c>
      <c r="H2845" s="4">
        <f>'[1]OKT 2024'!H37</f>
        <v>1150</v>
      </c>
    </row>
    <row r="2846" spans="1:8" x14ac:dyDescent="0.2">
      <c r="A2846" s="23">
        <f>'[1]OKT 2024'!A38</f>
        <v>45571</v>
      </c>
      <c r="B2846" s="12" t="str">
        <f>'[1]OKT 2024'!B38</f>
        <v>Andere</v>
      </c>
      <c r="C2846" s="3">
        <f>'[1]OKT 2024'!C38</f>
        <v>0</v>
      </c>
      <c r="D2846" s="3">
        <f>'[1]OKT 2024'!D38</f>
        <v>0</v>
      </c>
      <c r="E2846" s="4">
        <f>'[1]OKT 2024'!E38</f>
        <v>0</v>
      </c>
      <c r="F2846" s="6">
        <f>'[1]OKT 2024'!F38</f>
        <v>0</v>
      </c>
      <c r="G2846" s="4">
        <f>'[1]OKT 2024'!G38</f>
        <v>0</v>
      </c>
      <c r="H2846" s="4">
        <f>'[1]OKT 2024'!H38</f>
        <v>1000</v>
      </c>
    </row>
    <row r="2847" spans="1:8" x14ac:dyDescent="0.2">
      <c r="A2847" s="20">
        <f>'[1]OKT 2024'!A51</f>
        <v>45573</v>
      </c>
      <c r="B2847" s="12" t="str">
        <f>'[1]OKT 2024'!B51</f>
        <v>none</v>
      </c>
      <c r="C2847" s="3">
        <f>'[1]OKT 2024'!C51</f>
        <v>0</v>
      </c>
      <c r="D2847" s="3">
        <f>'[1]OKT 2024'!D51</f>
        <v>0</v>
      </c>
      <c r="E2847" s="4">
        <f>'[1]OKT 2024'!E51</f>
        <v>0</v>
      </c>
      <c r="F2847" s="6">
        <f>'[1]OKT 2024'!F51</f>
        <v>0</v>
      </c>
      <c r="G2847" s="4">
        <f>'[1]OKT 2024'!G51</f>
        <v>400</v>
      </c>
      <c r="H2847" s="4">
        <f>'[1]OKT 2024'!H51</f>
        <v>0</v>
      </c>
    </row>
    <row r="2848" spans="1:8" x14ac:dyDescent="0.2">
      <c r="A2848" s="20">
        <f>'[1]OKT 2024'!A65</f>
        <v>45575</v>
      </c>
      <c r="B2848" s="12" t="str">
        <f>'[1]OKT 2024'!B65</f>
        <v>Refill</v>
      </c>
      <c r="C2848" s="3">
        <f>'[1]OKT 2024'!C65</f>
        <v>0</v>
      </c>
      <c r="D2848" s="3">
        <f>'[1]OKT 2024'!D65</f>
        <v>0</v>
      </c>
      <c r="E2848" s="4">
        <f>'[1]OKT 2024'!E65</f>
        <v>0</v>
      </c>
      <c r="F2848" s="6">
        <f>'[1]OKT 2024'!F65</f>
        <v>0</v>
      </c>
      <c r="G2848" s="4">
        <f>'[1]OKT 2024'!G65</f>
        <v>220110</v>
      </c>
      <c r="H2848" s="4">
        <f>'[1]OKT 2024'!H65</f>
        <v>0</v>
      </c>
    </row>
    <row r="2849" spans="1:8" x14ac:dyDescent="0.2">
      <c r="A2849" s="23">
        <f>'[1]OKT 2024'!A66</f>
        <v>45575</v>
      </c>
      <c r="B2849" s="12" t="str">
        <f>'[1]OKT 2024'!B66</f>
        <v>Andere</v>
      </c>
      <c r="C2849" s="3">
        <f>'[1]OKT 2024'!C66</f>
        <v>0</v>
      </c>
      <c r="D2849" s="3">
        <f>'[1]OKT 2024'!D66</f>
        <v>0</v>
      </c>
      <c r="E2849" s="4">
        <f>'[1]OKT 2024'!E66</f>
        <v>0</v>
      </c>
      <c r="F2849" s="6">
        <f>'[1]OKT 2024'!F66</f>
        <v>0</v>
      </c>
      <c r="G2849" s="4">
        <f>'[1]OKT 2024'!G66</f>
        <v>0</v>
      </c>
      <c r="H2849" s="4">
        <f>'[1]OKT 2024'!H66</f>
        <v>1500</v>
      </c>
    </row>
    <row r="2850" spans="1:8" x14ac:dyDescent="0.2">
      <c r="A2850" s="20">
        <f>'[1]OKT 2024'!A79</f>
        <v>45577</v>
      </c>
      <c r="B2850" s="12" t="str">
        <f>'[1]OKT 2024'!B79</f>
        <v>Frauen</v>
      </c>
      <c r="C2850" s="3">
        <f>'[1]OKT 2024'!C79</f>
        <v>0</v>
      </c>
      <c r="D2850" s="3">
        <f>'[1]OKT 2024'!D79</f>
        <v>0</v>
      </c>
      <c r="E2850" s="4">
        <f>'[1]OKT 2024'!E79</f>
        <v>0</v>
      </c>
      <c r="F2850" s="6">
        <f>'[1]OKT 2024'!F79</f>
        <v>0</v>
      </c>
      <c r="G2850" s="4">
        <f>'[1]OKT 2024'!G79</f>
        <v>0</v>
      </c>
      <c r="H2850" s="4">
        <f>'[1]OKT 2024'!H79</f>
        <v>5096.12</v>
      </c>
    </row>
    <row r="2851" spans="1:8" x14ac:dyDescent="0.2">
      <c r="A2851" s="23">
        <f>'[1]OKT 2024'!A80</f>
        <v>45577</v>
      </c>
      <c r="B2851" s="12" t="str">
        <f>'[1]OKT 2024'!B80</f>
        <v>for me</v>
      </c>
      <c r="C2851" s="3">
        <f>'[1]OKT 2024'!C80</f>
        <v>0</v>
      </c>
      <c r="D2851" s="3">
        <f>'[1]OKT 2024'!D80</f>
        <v>0</v>
      </c>
      <c r="E2851" s="4">
        <f>'[1]OKT 2024'!E80</f>
        <v>0</v>
      </c>
      <c r="F2851" s="6">
        <f>'[1]OKT 2024'!F80</f>
        <v>0</v>
      </c>
      <c r="G2851" s="4">
        <f>'[1]OKT 2024'!G80</f>
        <v>0</v>
      </c>
      <c r="H2851" s="4">
        <f>'[1]OKT 2024'!H80</f>
        <v>2099.48</v>
      </c>
    </row>
    <row r="2852" spans="1:8" x14ac:dyDescent="0.2">
      <c r="A2852" s="20">
        <f>'[1]OKT 2024'!A81</f>
        <v>45577</v>
      </c>
      <c r="B2852" s="12" t="str">
        <f>'[1]OKT 2024'!B81</f>
        <v>Andere</v>
      </c>
      <c r="C2852" s="3">
        <f>'[1]OKT 2024'!C81</f>
        <v>0</v>
      </c>
      <c r="D2852" s="3">
        <f>'[1]OKT 2024'!D81</f>
        <v>0</v>
      </c>
      <c r="E2852" s="4">
        <f>'[1]OKT 2024'!E81</f>
        <v>0</v>
      </c>
      <c r="F2852" s="6">
        <f>'[1]OKT 2024'!F81</f>
        <v>0</v>
      </c>
      <c r="G2852" s="4">
        <f>'[1]OKT 2024'!G81</f>
        <v>0</v>
      </c>
      <c r="H2852" s="4">
        <f>'[1]OKT 2024'!H81</f>
        <v>1850</v>
      </c>
    </row>
    <row r="2853" spans="1:8" x14ac:dyDescent="0.2">
      <c r="A2853" s="23">
        <f>'[1]OKT 2024'!A86</f>
        <v>45578</v>
      </c>
      <c r="B2853" s="12" t="str">
        <f>'[1]OKT 2024'!B86</f>
        <v>Party</v>
      </c>
      <c r="C2853" s="3">
        <f>'[1]OKT 2024'!C86</f>
        <v>0</v>
      </c>
      <c r="D2853" s="3">
        <f>'[1]OKT 2024'!D86</f>
        <v>0</v>
      </c>
      <c r="E2853" s="4">
        <f>'[1]OKT 2024'!E86</f>
        <v>0</v>
      </c>
      <c r="F2853" s="6">
        <f>'[1]OKT 2024'!F86</f>
        <v>0</v>
      </c>
      <c r="G2853" s="4">
        <f>'[1]OKT 2024'!G86</f>
        <v>0</v>
      </c>
      <c r="H2853" s="4">
        <f>'[1]OKT 2024'!H86</f>
        <v>1200</v>
      </c>
    </row>
    <row r="2854" spans="1:8" x14ac:dyDescent="0.2">
      <c r="A2854" s="20">
        <f>'[1]OKT 2024'!A87</f>
        <v>45578</v>
      </c>
      <c r="B2854" s="12" t="str">
        <f>'[1]OKT 2024'!B87</f>
        <v>VM</v>
      </c>
      <c r="C2854" s="3">
        <f>'[1]OKT 2024'!C87</f>
        <v>0</v>
      </c>
      <c r="D2854" s="3">
        <f>'[1]OKT 2024'!D87</f>
        <v>0</v>
      </c>
      <c r="E2854" s="4">
        <f>'[1]OKT 2024'!E87</f>
        <v>0</v>
      </c>
      <c r="F2854" s="6">
        <f>'[1]OKT 2024'!F87</f>
        <v>0</v>
      </c>
      <c r="G2854" s="4">
        <f>'[1]OKT 2024'!G87</f>
        <v>0</v>
      </c>
      <c r="H2854" s="4">
        <f>'[1]OKT 2024'!H87</f>
        <v>64</v>
      </c>
    </row>
    <row r="2855" spans="1:8" x14ac:dyDescent="0.2">
      <c r="A2855" s="23">
        <f>'[1]OKT 2024'!A88</f>
        <v>45578</v>
      </c>
      <c r="B2855" s="12" t="str">
        <f>'[1]OKT 2024'!B88</f>
        <v>LM</v>
      </c>
      <c r="C2855" s="3">
        <f>'[1]OKT 2024'!C88</f>
        <v>0</v>
      </c>
      <c r="D2855" s="3">
        <f>'[1]OKT 2024'!D88</f>
        <v>0</v>
      </c>
      <c r="E2855" s="4">
        <f>'[1]OKT 2024'!E88</f>
        <v>0</v>
      </c>
      <c r="F2855" s="6">
        <f>'[1]OKT 2024'!F88</f>
        <v>0</v>
      </c>
      <c r="G2855" s="4">
        <f>'[1]OKT 2024'!G88</f>
        <v>0</v>
      </c>
      <c r="H2855" s="4">
        <f>'[1]OKT 2024'!H88</f>
        <v>1060.98</v>
      </c>
    </row>
    <row r="2856" spans="1:8" x14ac:dyDescent="0.2">
      <c r="A2856" s="20">
        <f>'[1]OKT 2024'!A93</f>
        <v>45579</v>
      </c>
      <c r="B2856" s="12" t="str">
        <f>'[1]OKT 2024'!B93</f>
        <v>VM</v>
      </c>
      <c r="C2856" s="3">
        <f>'[1]OKT 2024'!C93</f>
        <v>0</v>
      </c>
      <c r="D2856" s="3">
        <f>'[1]OKT 2024'!D93</f>
        <v>0</v>
      </c>
      <c r="E2856" s="4">
        <f>'[1]OKT 2024'!E93</f>
        <v>0</v>
      </c>
      <c r="F2856" s="6">
        <f>'[1]OKT 2024'!F93</f>
        <v>0</v>
      </c>
      <c r="G2856" s="4">
        <f>'[1]OKT 2024'!G93</f>
        <v>0</v>
      </c>
      <c r="H2856" s="4">
        <f>'[1]OKT 2024'!H93</f>
        <v>832</v>
      </c>
    </row>
    <row r="2857" spans="1:8" x14ac:dyDescent="0.2">
      <c r="A2857" s="23">
        <f>'[1]OKT 2024'!A94</f>
        <v>45579</v>
      </c>
      <c r="B2857" s="12" t="str">
        <f>'[1]OKT 2024'!B94</f>
        <v>LM</v>
      </c>
      <c r="C2857" s="3">
        <f>'[1]OKT 2024'!C94</f>
        <v>0</v>
      </c>
      <c r="D2857" s="3">
        <f>'[1]OKT 2024'!D94</f>
        <v>0</v>
      </c>
      <c r="E2857" s="4">
        <f>'[1]OKT 2024'!E94</f>
        <v>0</v>
      </c>
      <c r="F2857" s="6">
        <f>'[1]OKT 2024'!F94</f>
        <v>0</v>
      </c>
      <c r="G2857" s="4">
        <f>'[1]OKT 2024'!G94</f>
        <v>0</v>
      </c>
      <c r="H2857" s="4">
        <f>'[1]OKT 2024'!H94</f>
        <v>1358.1</v>
      </c>
    </row>
    <row r="2858" spans="1:8" x14ac:dyDescent="0.2">
      <c r="A2858" s="23">
        <f>'[1]OKT 2024'!A100</f>
        <v>45580</v>
      </c>
      <c r="B2858" s="12" t="str">
        <f>'[1]OKT 2024'!B100</f>
        <v>LM</v>
      </c>
      <c r="C2858" s="3">
        <f>'[1]OKT 2024'!C100</f>
        <v>0</v>
      </c>
      <c r="D2858" s="3">
        <f>'[1]OKT 2024'!D100</f>
        <v>0</v>
      </c>
      <c r="E2858" s="4">
        <f>'[1]OKT 2024'!E100</f>
        <v>0</v>
      </c>
      <c r="F2858" s="6">
        <f>'[1]OKT 2024'!F100</f>
        <v>0</v>
      </c>
      <c r="G2858" s="4">
        <f>'[1]OKT 2024'!G100</f>
        <v>0</v>
      </c>
      <c r="H2858" s="4">
        <f>'[1]OKT 2024'!H100</f>
        <v>379.98</v>
      </c>
    </row>
    <row r="2859" spans="1:8" x14ac:dyDescent="0.2">
      <c r="A2859" s="20">
        <f>'[1]OKT 2024'!A107</f>
        <v>45581</v>
      </c>
      <c r="B2859" s="12" t="str">
        <f>'[1]OKT 2024'!B107</f>
        <v>VM</v>
      </c>
      <c r="C2859" s="3">
        <f>'[1]OKT 2024'!C107</f>
        <v>0</v>
      </c>
      <c r="D2859" s="3">
        <f>'[1]OKT 2024'!D107</f>
        <v>0</v>
      </c>
      <c r="E2859" s="4">
        <f>'[1]OKT 2024'!E107</f>
        <v>0</v>
      </c>
      <c r="F2859" s="6">
        <f>'[1]OKT 2024'!F107</f>
        <v>0</v>
      </c>
      <c r="G2859" s="4">
        <f>'[1]OKT 2024'!G107</f>
        <v>0</v>
      </c>
      <c r="H2859" s="4">
        <f>'[1]OKT 2024'!H107</f>
        <v>2525</v>
      </c>
    </row>
    <row r="2860" spans="1:8" x14ac:dyDescent="0.2">
      <c r="A2860" s="23">
        <f>'[1]OKT 2024'!A108</f>
        <v>45581</v>
      </c>
      <c r="B2860" s="12" t="str">
        <f>'[1]OKT 2024'!B108</f>
        <v>LM</v>
      </c>
      <c r="C2860" s="3">
        <f>'[1]OKT 2024'!C108</f>
        <v>0</v>
      </c>
      <c r="D2860" s="3">
        <f>'[1]OKT 2024'!D108</f>
        <v>0</v>
      </c>
      <c r="E2860" s="4">
        <f>'[1]OKT 2024'!E108</f>
        <v>0</v>
      </c>
      <c r="F2860" s="6">
        <f>'[1]OKT 2024'!F108</f>
        <v>0</v>
      </c>
      <c r="G2860" s="4">
        <f>'[1]OKT 2024'!G108</f>
        <v>0</v>
      </c>
      <c r="H2860" s="4">
        <f>'[1]OKT 2024'!H108</f>
        <v>489.94</v>
      </c>
    </row>
    <row r="2861" spans="1:8" x14ac:dyDescent="0.2">
      <c r="A2861" s="20">
        <f>'[1]OKT 2024'!A109</f>
        <v>45581</v>
      </c>
      <c r="B2861" s="12" t="str">
        <f>'[1]OKT 2024'!B109</f>
        <v>Andere</v>
      </c>
      <c r="C2861" s="3">
        <f>'[1]OKT 2024'!C109</f>
        <v>0</v>
      </c>
      <c r="D2861" s="3">
        <f>'[1]OKT 2024'!D109</f>
        <v>0</v>
      </c>
      <c r="E2861" s="4">
        <f>'[1]OKT 2024'!E109</f>
        <v>0</v>
      </c>
      <c r="F2861" s="6">
        <f>'[1]OKT 2024'!F109</f>
        <v>0</v>
      </c>
      <c r="G2861" s="4">
        <f>'[1]OKT 2024'!G109</f>
        <v>0</v>
      </c>
      <c r="H2861" s="4">
        <f>'[1]OKT 2024'!H109</f>
        <v>3200</v>
      </c>
    </row>
    <row r="2862" spans="1:8" x14ac:dyDescent="0.2">
      <c r="A2862" s="23">
        <f>'[1]OKT 2024'!A114</f>
        <v>45582</v>
      </c>
      <c r="B2862" s="12" t="str">
        <f>'[1]OKT 2024'!B114</f>
        <v>VM</v>
      </c>
      <c r="C2862" s="3">
        <f>'[1]OKT 2024'!C114</f>
        <v>0</v>
      </c>
      <c r="D2862" s="3">
        <f>'[1]OKT 2024'!D114</f>
        <v>0</v>
      </c>
      <c r="E2862" s="4">
        <f>'[1]OKT 2024'!E114</f>
        <v>0</v>
      </c>
      <c r="F2862" s="6">
        <f>'[1]OKT 2024'!F114</f>
        <v>0</v>
      </c>
      <c r="G2862" s="4">
        <f>'[1]OKT 2024'!G114</f>
        <v>0</v>
      </c>
      <c r="H2862" s="4">
        <f>'[1]OKT 2024'!H114</f>
        <v>1163</v>
      </c>
    </row>
    <row r="2863" spans="1:8" x14ac:dyDescent="0.2">
      <c r="A2863" s="20">
        <f>'[1]OKT 2024'!A115</f>
        <v>45582</v>
      </c>
      <c r="B2863" s="12" t="str">
        <f>'[1]OKT 2024'!B115</f>
        <v>LM</v>
      </c>
      <c r="C2863" s="3">
        <f>'[1]OKT 2024'!C115</f>
        <v>0</v>
      </c>
      <c r="D2863" s="3">
        <f>'[1]OKT 2024'!D115</f>
        <v>0</v>
      </c>
      <c r="E2863" s="4">
        <f>'[1]OKT 2024'!E115</f>
        <v>0</v>
      </c>
      <c r="F2863" s="6">
        <f>'[1]OKT 2024'!F115</f>
        <v>0</v>
      </c>
      <c r="G2863" s="4">
        <f>'[1]OKT 2024'!G115</f>
        <v>0</v>
      </c>
      <c r="H2863" s="4">
        <f>'[1]OKT 2024'!H115</f>
        <v>1843</v>
      </c>
    </row>
    <row r="2864" spans="1:8" x14ac:dyDescent="0.2">
      <c r="A2864" s="23">
        <f>'[1]OKT 2024'!A116</f>
        <v>45582</v>
      </c>
      <c r="B2864" s="12" t="str">
        <f>'[1]OKT 2024'!B116</f>
        <v>none</v>
      </c>
      <c r="C2864" s="3">
        <f>'[1]OKT 2024'!C116</f>
        <v>0</v>
      </c>
      <c r="D2864" s="3">
        <f>'[1]OKT 2024'!D116</f>
        <v>0</v>
      </c>
      <c r="E2864" s="4">
        <f>'[1]OKT 2024'!E116</f>
        <v>55500</v>
      </c>
      <c r="F2864" s="6">
        <f>'[1]OKT 2024'!F116</f>
        <v>0</v>
      </c>
      <c r="G2864" s="4">
        <f>'[1]OKT 2024'!G116</f>
        <v>0</v>
      </c>
      <c r="H2864" s="4">
        <f>'[1]OKT 2024'!H116</f>
        <v>55500</v>
      </c>
    </row>
    <row r="2865" spans="1:8" x14ac:dyDescent="0.2">
      <c r="A2865" s="20">
        <f>'[1]OKT 2024'!A117</f>
        <v>45582</v>
      </c>
      <c r="B2865" s="12" t="str">
        <f>'[1]OKT 2024'!B117</f>
        <v>Refill</v>
      </c>
      <c r="C2865" s="3">
        <f>'[1]OKT 2024'!C117</f>
        <v>0</v>
      </c>
      <c r="D2865" s="3">
        <f>'[1]OKT 2024'!D117</f>
        <v>0</v>
      </c>
      <c r="E2865" s="4">
        <f>'[1]OKT 2024'!E117</f>
        <v>0</v>
      </c>
      <c r="F2865" s="6">
        <f>'[1]OKT 2024'!F117</f>
        <v>0</v>
      </c>
      <c r="G2865" s="4">
        <f>'[1]OKT 2024'!G117</f>
        <v>11400</v>
      </c>
      <c r="H2865" s="4">
        <f>'[1]OKT 2024'!H117</f>
        <v>0</v>
      </c>
    </row>
    <row r="2866" spans="1:8" x14ac:dyDescent="0.2">
      <c r="A2866" s="23">
        <f>'[1]OKT 2024'!A118</f>
        <v>45582</v>
      </c>
      <c r="B2866" s="12" t="str">
        <f>'[1]OKT 2024'!B118</f>
        <v>rent</v>
      </c>
      <c r="C2866" s="3">
        <f>'[1]OKT 2024'!C118</f>
        <v>0</v>
      </c>
      <c r="D2866" s="3">
        <f>'[1]OKT 2024'!D118</f>
        <v>0</v>
      </c>
      <c r="E2866" s="4">
        <f>'[1]OKT 2024'!E118</f>
        <v>0</v>
      </c>
      <c r="F2866" s="6">
        <f>'[1]OKT 2024'!F118</f>
        <v>55050</v>
      </c>
      <c r="G2866" s="4">
        <f>'[1]OKT 2024'!G118</f>
        <v>0</v>
      </c>
      <c r="H2866" s="4">
        <f>'[1]OKT 2024'!H118</f>
        <v>0</v>
      </c>
    </row>
    <row r="2867" spans="1:8" x14ac:dyDescent="0.2">
      <c r="A2867" s="20">
        <f>'[1]OKT 2024'!A121</f>
        <v>45583</v>
      </c>
      <c r="B2867" s="12" t="str">
        <f>'[1]OKT 2024'!B121</f>
        <v>for me</v>
      </c>
      <c r="C2867" s="3">
        <f>'[1]OKT 2024'!C121</f>
        <v>0</v>
      </c>
      <c r="D2867" s="3">
        <f>'[1]OKT 2024'!D121</f>
        <v>0</v>
      </c>
      <c r="E2867" s="4">
        <f>'[1]OKT 2024'!E121</f>
        <v>0</v>
      </c>
      <c r="F2867" s="6">
        <f>'[1]OKT 2024'!F121</f>
        <v>0</v>
      </c>
      <c r="G2867" s="4">
        <f>'[1]OKT 2024'!G121</f>
        <v>0</v>
      </c>
      <c r="H2867" s="4">
        <f>'[1]OKT 2024'!H121</f>
        <v>17000</v>
      </c>
    </row>
    <row r="2868" spans="1:8" x14ac:dyDescent="0.2">
      <c r="A2868" s="23">
        <f>'[1]OKT 2024'!A122</f>
        <v>45583</v>
      </c>
      <c r="B2868" s="12" t="str">
        <f>'[1]OKT 2024'!B122</f>
        <v>LM</v>
      </c>
      <c r="C2868" s="3">
        <f>'[1]OKT 2024'!C122</f>
        <v>0</v>
      </c>
      <c r="D2868" s="3">
        <f>'[1]OKT 2024'!D122</f>
        <v>0</v>
      </c>
      <c r="E2868" s="4">
        <f>'[1]OKT 2024'!E122</f>
        <v>0</v>
      </c>
      <c r="F2868" s="6">
        <f>'[1]OKT 2024'!F122</f>
        <v>0</v>
      </c>
      <c r="G2868" s="4">
        <f>'[1]OKT 2024'!G122</f>
        <v>0</v>
      </c>
      <c r="H2868" s="4">
        <f>'[1]OKT 2024'!H122</f>
        <v>734.94</v>
      </c>
    </row>
    <row r="2869" spans="1:8" x14ac:dyDescent="0.2">
      <c r="A2869" s="23">
        <f>'[1]OKT 2024'!A128</f>
        <v>45584</v>
      </c>
      <c r="B2869" s="12" t="str">
        <f>'[1]OKT 2024'!B128</f>
        <v>LM</v>
      </c>
      <c r="C2869" s="3">
        <f>'[1]OKT 2024'!C128</f>
        <v>0</v>
      </c>
      <c r="D2869" s="3">
        <f>'[1]OKT 2024'!D128</f>
        <v>0</v>
      </c>
      <c r="E2869" s="4">
        <f>'[1]OKT 2024'!E128</f>
        <v>0</v>
      </c>
      <c r="F2869" s="6">
        <f>'[1]OKT 2024'!F128</f>
        <v>0</v>
      </c>
      <c r="G2869" s="4">
        <f>'[1]OKT 2024'!G128</f>
        <v>0</v>
      </c>
      <c r="H2869" s="4">
        <f>'[1]OKT 2024'!H128</f>
        <v>972.94</v>
      </c>
    </row>
    <row r="2870" spans="1:8" x14ac:dyDescent="0.2">
      <c r="A2870" s="20">
        <f>'[1]OKT 2024'!A129</f>
        <v>45584</v>
      </c>
      <c r="B2870" s="12" t="str">
        <f>'[1]OKT 2024'!B129</f>
        <v>Frauen</v>
      </c>
      <c r="C2870" s="3">
        <f>'[1]OKT 2024'!C129</f>
        <v>0</v>
      </c>
      <c r="D2870" s="3">
        <f>'[1]OKT 2024'!D129</f>
        <v>0</v>
      </c>
      <c r="E2870" s="4">
        <f>'[1]OKT 2024'!E129</f>
        <v>0</v>
      </c>
      <c r="F2870" s="6">
        <f>'[1]OKT 2024'!F129</f>
        <v>0</v>
      </c>
      <c r="G2870" s="4">
        <f>'[1]OKT 2024'!G129</f>
        <v>0</v>
      </c>
      <c r="H2870" s="4">
        <f>'[1]OKT 2024'!H129</f>
        <v>1410</v>
      </c>
    </row>
    <row r="2871" spans="1:8" x14ac:dyDescent="0.2">
      <c r="A2871" s="23">
        <f>'[1]OKT 2024'!A130</f>
        <v>45584</v>
      </c>
      <c r="B2871" s="12" t="str">
        <f>'[1]OKT 2024'!B130</f>
        <v>Rauchen</v>
      </c>
      <c r="C2871" s="3">
        <f>'[1]OKT 2024'!C130</f>
        <v>0</v>
      </c>
      <c r="D2871" s="3">
        <f>'[1]OKT 2024'!D130</f>
        <v>0</v>
      </c>
      <c r="E2871" s="4">
        <f>'[1]OKT 2024'!E130</f>
        <v>0</v>
      </c>
      <c r="F2871" s="6">
        <f>'[1]OKT 2024'!F130</f>
        <v>0</v>
      </c>
      <c r="G2871" s="4">
        <f>'[1]OKT 2024'!G130</f>
        <v>0</v>
      </c>
      <c r="H2871" s="4">
        <f>'[1]OKT 2024'!H130</f>
        <v>1499</v>
      </c>
    </row>
    <row r="2872" spans="1:8" x14ac:dyDescent="0.2">
      <c r="A2872" s="20">
        <f>'[1]OKT 2024'!A131</f>
        <v>45584</v>
      </c>
      <c r="B2872" s="12" t="str">
        <f>'[1]OKT 2024'!B131</f>
        <v>VM</v>
      </c>
      <c r="C2872" s="3">
        <f>'[1]OKT 2024'!C131</f>
        <v>0</v>
      </c>
      <c r="D2872" s="3">
        <f>'[1]OKT 2024'!D131</f>
        <v>0</v>
      </c>
      <c r="E2872" s="4">
        <f>'[1]OKT 2024'!E131</f>
        <v>0</v>
      </c>
      <c r="F2872" s="6">
        <f>'[1]OKT 2024'!F131</f>
        <v>0</v>
      </c>
      <c r="G2872" s="4">
        <f>'[1]OKT 2024'!G131</f>
        <v>0</v>
      </c>
      <c r="H2872" s="4">
        <f>'[1]OKT 2024'!H131</f>
        <v>128</v>
      </c>
    </row>
    <row r="2873" spans="1:8" x14ac:dyDescent="0.2">
      <c r="A2873" s="20">
        <f>'[1]OKT 2024'!A135</f>
        <v>45585</v>
      </c>
      <c r="B2873" s="12" t="str">
        <f>'[1]OKT 2024'!B135</f>
        <v>LM</v>
      </c>
      <c r="C2873" s="3">
        <f>'[1]OKT 2024'!C135</f>
        <v>0</v>
      </c>
      <c r="D2873" s="3">
        <f>'[1]OKT 2024'!D135</f>
        <v>0</v>
      </c>
      <c r="E2873" s="4">
        <f>'[1]OKT 2024'!E135</f>
        <v>0</v>
      </c>
      <c r="F2873" s="6">
        <f>'[1]OKT 2024'!F135</f>
        <v>0</v>
      </c>
      <c r="G2873" s="4">
        <f>'[1]OKT 2024'!G135</f>
        <v>0</v>
      </c>
      <c r="H2873" s="4">
        <f>'[1]OKT 2024'!H135</f>
        <v>1139.0899999999999</v>
      </c>
    </row>
    <row r="2874" spans="1:8" x14ac:dyDescent="0.2">
      <c r="A2874" s="23">
        <f>'[1]OKT 2024'!A136</f>
        <v>45585</v>
      </c>
      <c r="B2874" s="12" t="str">
        <f>'[1]OKT 2024'!B136</f>
        <v>VM</v>
      </c>
      <c r="C2874" s="3">
        <f>'[1]OKT 2024'!C136</f>
        <v>0</v>
      </c>
      <c r="D2874" s="3">
        <f>'[1]OKT 2024'!D136</f>
        <v>0</v>
      </c>
      <c r="E2874" s="4">
        <f>'[1]OKT 2024'!E136</f>
        <v>0</v>
      </c>
      <c r="F2874" s="6">
        <f>'[1]OKT 2024'!F136</f>
        <v>74.87</v>
      </c>
      <c r="G2874" s="4">
        <f>'[1]OKT 2024'!G136</f>
        <v>0</v>
      </c>
      <c r="H2874" s="4">
        <f>'[1]OKT 2024'!H136</f>
        <v>192</v>
      </c>
    </row>
    <row r="2875" spans="1:8" x14ac:dyDescent="0.2">
      <c r="A2875" s="20">
        <f>'[1]OKT 2024'!A137</f>
        <v>45585</v>
      </c>
      <c r="B2875" s="12" t="str">
        <f>'[1]OKT 2024'!B137</f>
        <v>Andere</v>
      </c>
      <c r="C2875" s="3">
        <f>'[1]OKT 2024'!C137</f>
        <v>0</v>
      </c>
      <c r="D2875" s="3">
        <f>'[1]OKT 2024'!D137</f>
        <v>0</v>
      </c>
      <c r="E2875" s="4">
        <f>'[1]OKT 2024'!E137</f>
        <v>0</v>
      </c>
      <c r="F2875" s="6">
        <f>'[1]OKT 2024'!F137</f>
        <v>0</v>
      </c>
      <c r="G2875" s="4">
        <f>'[1]OKT 2024'!G137</f>
        <v>0</v>
      </c>
      <c r="H2875" s="4">
        <f>'[1]OKT 2024'!H137</f>
        <v>60</v>
      </c>
    </row>
    <row r="2876" spans="1:8" x14ac:dyDescent="0.2">
      <c r="A2876" s="23">
        <f>'[1]OKT 2024'!A142</f>
        <v>45586</v>
      </c>
      <c r="B2876" s="12" t="str">
        <f>'[1]OKT 2024'!B142</f>
        <v>VM</v>
      </c>
      <c r="C2876" s="3">
        <f>'[1]OKT 2024'!C142</f>
        <v>0</v>
      </c>
      <c r="D2876" s="3">
        <f>'[1]OKT 2024'!D142</f>
        <v>0</v>
      </c>
      <c r="E2876" s="4">
        <f>'[1]OKT 2024'!E142</f>
        <v>0</v>
      </c>
      <c r="F2876" s="6">
        <f>'[1]OKT 2024'!F142</f>
        <v>0</v>
      </c>
      <c r="G2876" s="4">
        <f>'[1]OKT 2024'!G142</f>
        <v>0</v>
      </c>
      <c r="H2876" s="4">
        <f>'[1]OKT 2024'!H142</f>
        <v>1098</v>
      </c>
    </row>
    <row r="2877" spans="1:8" x14ac:dyDescent="0.2">
      <c r="A2877" s="20">
        <f>'[1]OKT 2024'!A143</f>
        <v>45586</v>
      </c>
      <c r="B2877" s="12" t="str">
        <f>'[1]OKT 2024'!B143</f>
        <v>Party</v>
      </c>
      <c r="C2877" s="3">
        <f>'[1]OKT 2024'!C143</f>
        <v>0</v>
      </c>
      <c r="D2877" s="3">
        <f>'[1]OKT 2024'!D143</f>
        <v>0</v>
      </c>
      <c r="E2877" s="4">
        <f>'[1]OKT 2024'!E143</f>
        <v>0</v>
      </c>
      <c r="F2877" s="6">
        <f>'[1]OKT 2024'!F143</f>
        <v>0</v>
      </c>
      <c r="G2877" s="4">
        <f>'[1]OKT 2024'!G143</f>
        <v>0</v>
      </c>
      <c r="H2877" s="4">
        <f>'[1]OKT 2024'!H143</f>
        <v>650</v>
      </c>
    </row>
    <row r="2878" spans="1:8" x14ac:dyDescent="0.2">
      <c r="A2878" s="23">
        <f>'[1]OKT 2024'!A144</f>
        <v>45586</v>
      </c>
      <c r="B2878" s="12" t="str">
        <f>'[1]OKT 2024'!B144</f>
        <v>Andere</v>
      </c>
      <c r="C2878" s="3">
        <f>'[1]OKT 2024'!C144</f>
        <v>0</v>
      </c>
      <c r="D2878" s="3">
        <f>'[1]OKT 2024'!D144</f>
        <v>0</v>
      </c>
      <c r="E2878" s="4">
        <f>'[1]OKT 2024'!E144</f>
        <v>0</v>
      </c>
      <c r="F2878" s="6">
        <f>'[1]OKT 2024'!F144</f>
        <v>0</v>
      </c>
      <c r="G2878" s="4">
        <f>'[1]OKT 2024'!G144</f>
        <v>0</v>
      </c>
      <c r="H2878" s="4">
        <f>'[1]OKT 2024'!H144</f>
        <v>2584</v>
      </c>
    </row>
    <row r="2879" spans="1:8" x14ac:dyDescent="0.2">
      <c r="A2879" s="23">
        <f>'[1]OKT 2024'!A156</f>
        <v>45588</v>
      </c>
      <c r="B2879" s="12" t="str">
        <f>'[1]OKT 2024'!B156</f>
        <v>LM</v>
      </c>
      <c r="C2879" s="3">
        <f>'[1]OKT 2024'!C156</f>
        <v>0</v>
      </c>
      <c r="D2879" s="3">
        <f>'[1]OKT 2024'!D156</f>
        <v>0</v>
      </c>
      <c r="E2879" s="4">
        <f>'[1]OKT 2024'!E156</f>
        <v>0</v>
      </c>
      <c r="F2879" s="6">
        <f>'[1]OKT 2024'!F156</f>
        <v>0</v>
      </c>
      <c r="G2879" s="4">
        <f>'[1]OKT 2024'!G156</f>
        <v>0</v>
      </c>
      <c r="H2879" s="4">
        <f>'[1]OKT 2024'!H156</f>
        <v>1018.96</v>
      </c>
    </row>
    <row r="2880" spans="1:8" x14ac:dyDescent="0.2">
      <c r="A2880" s="20">
        <f>'[1]OKT 2024'!A157</f>
        <v>45588</v>
      </c>
      <c r="B2880" s="12" t="str">
        <f>'[1]OKT 2024'!B157</f>
        <v>Andere</v>
      </c>
      <c r="C2880" s="3">
        <f>'[1]OKT 2024'!C157</f>
        <v>0</v>
      </c>
      <c r="D2880" s="3">
        <f>'[1]OKT 2024'!D157</f>
        <v>0</v>
      </c>
      <c r="E2880" s="4">
        <f>'[1]OKT 2024'!E157</f>
        <v>0</v>
      </c>
      <c r="F2880" s="6">
        <f>'[1]OKT 2024'!F157</f>
        <v>0</v>
      </c>
      <c r="G2880" s="4">
        <f>'[1]OKT 2024'!G157</f>
        <v>0</v>
      </c>
      <c r="H2880" s="4">
        <f>'[1]OKT 2024'!H157</f>
        <v>1139</v>
      </c>
    </row>
    <row r="2881" spans="1:8" x14ac:dyDescent="0.2">
      <c r="A2881" s="23">
        <f>'[1]OKT 2024'!A158</f>
        <v>45588</v>
      </c>
      <c r="B2881" s="12" t="str">
        <f>'[1]OKT 2024'!B158</f>
        <v>VM</v>
      </c>
      <c r="C2881" s="3">
        <f>'[1]OKT 2024'!C158</f>
        <v>0</v>
      </c>
      <c r="D2881" s="3">
        <f>'[1]OKT 2024'!D158</f>
        <v>0</v>
      </c>
      <c r="E2881" s="4">
        <f>'[1]OKT 2024'!E158</f>
        <v>0</v>
      </c>
      <c r="F2881" s="6">
        <f>'[1]OKT 2024'!F158</f>
        <v>0</v>
      </c>
      <c r="G2881" s="4">
        <f>'[1]OKT 2024'!G158</f>
        <v>0</v>
      </c>
      <c r="H2881" s="4">
        <f>'[1]OKT 2024'!H158</f>
        <v>936</v>
      </c>
    </row>
    <row r="2882" spans="1:8" x14ac:dyDescent="0.2">
      <c r="A2882" s="20">
        <f>'[1]OKT 2024'!A159</f>
        <v>45588</v>
      </c>
      <c r="B2882" s="12" t="str">
        <f>'[1]OKT 2024'!B159</f>
        <v>VM</v>
      </c>
      <c r="C2882" s="3">
        <f>'[1]OKT 2024'!C159</f>
        <v>0</v>
      </c>
      <c r="D2882" s="3">
        <f>'[1]OKT 2024'!D159</f>
        <v>0</v>
      </c>
      <c r="E2882" s="4">
        <f>'[1]OKT 2024'!E159</f>
        <v>0</v>
      </c>
      <c r="F2882" s="6">
        <f>'[1]OKT 2024'!F159</f>
        <v>0</v>
      </c>
      <c r="G2882" s="4">
        <f>'[1]OKT 2024'!G159</f>
        <v>0</v>
      </c>
      <c r="H2882" s="4">
        <f>'[1]OKT 2024'!H159</f>
        <v>63</v>
      </c>
    </row>
    <row r="2883" spans="1:8" x14ac:dyDescent="0.2">
      <c r="A2883" s="20">
        <f>'[1]OKT 2024'!A163</f>
        <v>45589</v>
      </c>
      <c r="B2883" s="12" t="str">
        <f>'[1]OKT 2024'!B163</f>
        <v>VM</v>
      </c>
      <c r="C2883" s="3">
        <f>'[1]OKT 2024'!C163</f>
        <v>0</v>
      </c>
      <c r="D2883" s="3">
        <f>'[1]OKT 2024'!D163</f>
        <v>0</v>
      </c>
      <c r="E2883" s="4">
        <f>'[1]OKT 2024'!E163</f>
        <v>0</v>
      </c>
      <c r="F2883" s="6">
        <f>'[1]OKT 2024'!F163</f>
        <v>0</v>
      </c>
      <c r="G2883" s="4">
        <f>'[1]OKT 2024'!G163</f>
        <v>0</v>
      </c>
      <c r="H2883" s="4">
        <f>'[1]OKT 2024'!H163</f>
        <v>2081</v>
      </c>
    </row>
    <row r="2884" spans="1:8" x14ac:dyDescent="0.2">
      <c r="A2884" s="23">
        <f>'[1]OKT 2024'!A164</f>
        <v>45589</v>
      </c>
      <c r="B2884" s="12" t="str">
        <f>'[1]OKT 2024'!B164</f>
        <v>LM</v>
      </c>
      <c r="C2884" s="3">
        <f>'[1]OKT 2024'!C164</f>
        <v>0</v>
      </c>
      <c r="D2884" s="3">
        <f>'[1]OKT 2024'!D164</f>
        <v>0</v>
      </c>
      <c r="E2884" s="4">
        <f>'[1]OKT 2024'!E164</f>
        <v>0</v>
      </c>
      <c r="F2884" s="6">
        <f>'[1]OKT 2024'!F164</f>
        <v>0</v>
      </c>
      <c r="G2884" s="4">
        <f>'[1]OKT 2024'!G164</f>
        <v>0</v>
      </c>
      <c r="H2884" s="4">
        <f>'[1]OKT 2024'!H164</f>
        <v>370</v>
      </c>
    </row>
    <row r="2885" spans="1:8" x14ac:dyDescent="0.2">
      <c r="A2885" s="23">
        <f>'[1]OKT 2024'!A170</f>
        <v>45590</v>
      </c>
      <c r="B2885" s="12" t="str">
        <f>'[1]OKT 2024'!B170</f>
        <v>Andere</v>
      </c>
      <c r="C2885" s="3">
        <f>'[1]OKT 2024'!C170</f>
        <v>0</v>
      </c>
      <c r="D2885" s="3">
        <f>'[1]OKT 2024'!D170</f>
        <v>0</v>
      </c>
      <c r="E2885" s="4">
        <f>'[1]OKT 2024'!E170</f>
        <v>0</v>
      </c>
      <c r="F2885" s="6">
        <f>'[1]OKT 2024'!F170</f>
        <v>0</v>
      </c>
      <c r="G2885" s="4">
        <f>'[1]OKT 2024'!G170</f>
        <v>0</v>
      </c>
      <c r="H2885" s="4">
        <f>'[1]OKT 2024'!H170</f>
        <v>496</v>
      </c>
    </row>
    <row r="2886" spans="1:8" x14ac:dyDescent="0.2">
      <c r="A2886" s="20">
        <f>'[1]OKT 2024'!A171</f>
        <v>45590</v>
      </c>
      <c r="B2886" s="12" t="str">
        <f>'[1]OKT 2024'!B171</f>
        <v>Andere</v>
      </c>
      <c r="C2886" s="3">
        <f>'[1]OKT 2024'!C171</f>
        <v>0</v>
      </c>
      <c r="D2886" s="3">
        <f>'[1]OKT 2024'!D171</f>
        <v>0</v>
      </c>
      <c r="E2886" s="4">
        <f>'[1]OKT 2024'!E171</f>
        <v>0</v>
      </c>
      <c r="F2886" s="6">
        <f>'[1]OKT 2024'!F171</f>
        <v>0</v>
      </c>
      <c r="G2886" s="4">
        <f>'[1]OKT 2024'!G171</f>
        <v>0</v>
      </c>
      <c r="H2886" s="4">
        <f>'[1]OKT 2024'!H171</f>
        <v>5000</v>
      </c>
    </row>
    <row r="2887" spans="1:8" x14ac:dyDescent="0.2">
      <c r="A2887" s="23">
        <f>'[1]OKT 2024'!A172</f>
        <v>45590</v>
      </c>
      <c r="B2887" s="12" t="str">
        <f>'[1]OKT 2024'!B172</f>
        <v>VM</v>
      </c>
      <c r="C2887" s="3">
        <f>'[1]OKT 2024'!C172</f>
        <v>0</v>
      </c>
      <c r="D2887" s="3">
        <f>'[1]OKT 2024'!D172</f>
        <v>0</v>
      </c>
      <c r="E2887" s="4">
        <f>'[1]OKT 2024'!E172</f>
        <v>0</v>
      </c>
      <c r="F2887" s="6">
        <f>'[1]OKT 2024'!F172</f>
        <v>0</v>
      </c>
      <c r="G2887" s="4">
        <f>'[1]OKT 2024'!G172</f>
        <v>0</v>
      </c>
      <c r="H2887" s="4">
        <f>'[1]OKT 2024'!H172</f>
        <v>128</v>
      </c>
    </row>
    <row r="2888" spans="1:8" x14ac:dyDescent="0.2">
      <c r="A2888" s="20">
        <f>'[1]OKT 2024'!A173</f>
        <v>45590</v>
      </c>
      <c r="B2888" s="12" t="str">
        <f>'[1]OKT 2024'!B173</f>
        <v>LM</v>
      </c>
      <c r="C2888" s="3">
        <f>'[1]OKT 2024'!C173</f>
        <v>0</v>
      </c>
      <c r="D2888" s="3">
        <f>'[1]OKT 2024'!D173</f>
        <v>0</v>
      </c>
      <c r="E2888" s="4">
        <f>'[1]OKT 2024'!E173</f>
        <v>0</v>
      </c>
      <c r="F2888" s="6">
        <f>'[1]OKT 2024'!F173</f>
        <v>0</v>
      </c>
      <c r="G2888" s="4">
        <f>'[1]OKT 2024'!G173</f>
        <v>0</v>
      </c>
      <c r="H2888" s="4">
        <f>'[1]OKT 2024'!H173</f>
        <v>1710</v>
      </c>
    </row>
    <row r="2889" spans="1:8" x14ac:dyDescent="0.2">
      <c r="A2889" s="23">
        <f>'[1]OKT 2024'!A174</f>
        <v>45590</v>
      </c>
      <c r="B2889" s="12" t="str">
        <f>'[1]OKT 2024'!B174</f>
        <v>Refill</v>
      </c>
      <c r="C2889" s="3">
        <f>'[1]OKT 2024'!C174</f>
        <v>0</v>
      </c>
      <c r="D2889" s="3">
        <f>'[1]OKT 2024'!D174</f>
        <v>0</v>
      </c>
      <c r="E2889" s="4">
        <f>'[1]OKT 2024'!E174</f>
        <v>0</v>
      </c>
      <c r="F2889" s="6">
        <f>'[1]OKT 2024'!F174</f>
        <v>0</v>
      </c>
      <c r="G2889" s="4">
        <f>'[1]OKT 2024'!G174</f>
        <v>1102.03</v>
      </c>
      <c r="H2889" s="4">
        <f>'[1]OKT 2024'!H174</f>
        <v>0</v>
      </c>
    </row>
    <row r="2890" spans="1:8" x14ac:dyDescent="0.2">
      <c r="A2890" s="20">
        <f>'[1]OKT 2024'!A177</f>
        <v>45591</v>
      </c>
      <c r="B2890" s="12" t="str">
        <f>'[1]OKT 2024'!B177</f>
        <v>Kleidung</v>
      </c>
      <c r="C2890" s="3">
        <f>'[1]OKT 2024'!C177</f>
        <v>0</v>
      </c>
      <c r="D2890" s="3">
        <f>'[1]OKT 2024'!D177</f>
        <v>0</v>
      </c>
      <c r="E2890" s="4">
        <f>'[1]OKT 2024'!E177</f>
        <v>0</v>
      </c>
      <c r="F2890" s="6">
        <f>'[1]OKT 2024'!F177</f>
        <v>0</v>
      </c>
      <c r="G2890" s="4">
        <f>'[1]OKT 2024'!G177</f>
        <v>0</v>
      </c>
      <c r="H2890" s="4">
        <f>'[1]OKT 2024'!H177</f>
        <v>5938</v>
      </c>
    </row>
    <row r="2891" spans="1:8" x14ac:dyDescent="0.2">
      <c r="A2891" s="23">
        <f>'[1]OKT 2024'!A178</f>
        <v>45591</v>
      </c>
      <c r="B2891" s="12" t="str">
        <f>'[1]OKT 2024'!B178</f>
        <v>LM</v>
      </c>
      <c r="C2891" s="3">
        <f>'[1]OKT 2024'!C178</f>
        <v>0</v>
      </c>
      <c r="D2891" s="3">
        <f>'[1]OKT 2024'!D178</f>
        <v>0</v>
      </c>
      <c r="E2891" s="4">
        <f>'[1]OKT 2024'!E178</f>
        <v>0</v>
      </c>
      <c r="F2891" s="6">
        <f>'[1]OKT 2024'!F178</f>
        <v>0</v>
      </c>
      <c r="G2891" s="4">
        <f>'[1]OKT 2024'!G178</f>
        <v>0</v>
      </c>
      <c r="H2891" s="4">
        <f>'[1]OKT 2024'!H178</f>
        <v>1162.9100000000001</v>
      </c>
    </row>
    <row r="2892" spans="1:8" x14ac:dyDescent="0.2">
      <c r="A2892" s="20">
        <f>'[1]OKT 2024'!A179</f>
        <v>45591</v>
      </c>
      <c r="B2892" s="12" t="str">
        <f>'[1]OKT 2024'!B179</f>
        <v>VM</v>
      </c>
      <c r="C2892" s="3">
        <f>'[1]OKT 2024'!C179</f>
        <v>0</v>
      </c>
      <c r="D2892" s="3">
        <f>'[1]OKT 2024'!D179</f>
        <v>0</v>
      </c>
      <c r="E2892" s="4">
        <f>'[1]OKT 2024'!E179</f>
        <v>0</v>
      </c>
      <c r="F2892" s="6">
        <f>'[1]OKT 2024'!F179</f>
        <v>15.8</v>
      </c>
      <c r="G2892" s="4">
        <f>'[1]OKT 2024'!G179</f>
        <v>0</v>
      </c>
      <c r="H2892" s="4">
        <f>'[1]OKT 2024'!H179</f>
        <v>0</v>
      </c>
    </row>
    <row r="2893" spans="1:8" x14ac:dyDescent="0.2">
      <c r="A2893" s="23">
        <f>'[1]OKT 2024'!A184</f>
        <v>45592</v>
      </c>
      <c r="B2893" s="12" t="str">
        <f>'[1]OKT 2024'!B184</f>
        <v>VM</v>
      </c>
      <c r="C2893" s="3">
        <f>'[1]OKT 2024'!C184</f>
        <v>0</v>
      </c>
      <c r="D2893" s="3">
        <f>'[1]OKT 2024'!D184</f>
        <v>0</v>
      </c>
      <c r="E2893" s="4">
        <f>'[1]OKT 2024'!E184</f>
        <v>0</v>
      </c>
      <c r="F2893" s="6">
        <f>'[1]OKT 2024'!F184</f>
        <v>0</v>
      </c>
      <c r="G2893" s="4">
        <f>'[1]OKT 2024'!G184</f>
        <v>0</v>
      </c>
      <c r="H2893" s="4">
        <f>'[1]OKT 2024'!H184</f>
        <v>530</v>
      </c>
    </row>
    <row r="2894" spans="1:8" x14ac:dyDescent="0.2">
      <c r="A2894" s="20">
        <f>'[1]OKT 2024'!A185</f>
        <v>45592</v>
      </c>
      <c r="B2894" s="12" t="str">
        <f>'[1]OKT 2024'!B185</f>
        <v>LM</v>
      </c>
      <c r="C2894" s="3">
        <f>'[1]OKT 2024'!C185</f>
        <v>0</v>
      </c>
      <c r="D2894" s="3">
        <f>'[1]OKT 2024'!D185</f>
        <v>0</v>
      </c>
      <c r="E2894" s="4">
        <f>'[1]OKT 2024'!E185</f>
        <v>0</v>
      </c>
      <c r="F2894" s="6">
        <f>'[1]OKT 2024'!F185</f>
        <v>0</v>
      </c>
      <c r="G2894" s="4">
        <f>'[1]OKT 2024'!G185</f>
        <v>0</v>
      </c>
      <c r="H2894" s="4">
        <f>'[1]OKT 2024'!H185</f>
        <v>835.97</v>
      </c>
    </row>
    <row r="2895" spans="1:8" x14ac:dyDescent="0.2">
      <c r="A2895" s="23">
        <f>'[1]OKT 2024'!A186</f>
        <v>45592</v>
      </c>
      <c r="B2895" s="12" t="str">
        <f>'[1]OKT 2024'!B186</f>
        <v>Andere</v>
      </c>
      <c r="C2895" s="3">
        <f>'[1]OKT 2024'!C186</f>
        <v>0</v>
      </c>
      <c r="D2895" s="3">
        <f>'[1]OKT 2024'!D186</f>
        <v>0</v>
      </c>
      <c r="E2895" s="4">
        <f>'[1]OKT 2024'!E186</f>
        <v>0</v>
      </c>
      <c r="F2895" s="6">
        <f>'[1]OKT 2024'!F186</f>
        <v>0</v>
      </c>
      <c r="G2895" s="4">
        <f>'[1]OKT 2024'!G186</f>
        <v>0</v>
      </c>
      <c r="H2895" s="4">
        <f>'[1]OKT 2024'!H186</f>
        <v>7000</v>
      </c>
    </row>
    <row r="2896" spans="1:8" x14ac:dyDescent="0.2">
      <c r="A2896" s="20">
        <f>'[1]OKT 2024'!A191</f>
        <v>45593</v>
      </c>
      <c r="B2896" s="12" t="str">
        <f>'[1]OKT 2024'!B191</f>
        <v>LM</v>
      </c>
      <c r="C2896" s="3">
        <f>'[1]OKT 2024'!C191</f>
        <v>0</v>
      </c>
      <c r="D2896" s="3">
        <f>'[1]OKT 2024'!D191</f>
        <v>0</v>
      </c>
      <c r="E2896" s="4">
        <f>'[1]OKT 2024'!E191</f>
        <v>0</v>
      </c>
      <c r="F2896" s="6">
        <f>'[1]OKT 2024'!F191</f>
        <v>0</v>
      </c>
      <c r="G2896" s="4">
        <f>'[1]OKT 2024'!G191</f>
        <v>0</v>
      </c>
      <c r="H2896" s="4">
        <f>'[1]OKT 2024'!H191</f>
        <v>631.97</v>
      </c>
    </row>
    <row r="2897" spans="1:8" x14ac:dyDescent="0.2">
      <c r="A2897" s="23">
        <f>'[1]OKT 2024'!A192</f>
        <v>45593</v>
      </c>
      <c r="B2897" s="12" t="str">
        <f>'[1]OKT 2024'!B192</f>
        <v>Andere</v>
      </c>
      <c r="C2897" s="3">
        <f>'[1]OKT 2024'!C192</f>
        <v>0</v>
      </c>
      <c r="D2897" s="3">
        <f>'[1]OKT 2024'!D192</f>
        <v>0</v>
      </c>
      <c r="E2897" s="4">
        <f>'[1]OKT 2024'!E192</f>
        <v>0</v>
      </c>
      <c r="F2897" s="6">
        <f>'[1]OKT 2024'!F192</f>
        <v>0</v>
      </c>
      <c r="G2897" s="4">
        <f>'[1]OKT 2024'!G192</f>
        <v>0</v>
      </c>
      <c r="H2897" s="4">
        <f>'[1]OKT 2024'!H192</f>
        <v>3000</v>
      </c>
    </row>
    <row r="2898" spans="1:8" x14ac:dyDescent="0.2">
      <c r="A2898" s="23">
        <f>'[1]OKT 2024'!A198</f>
        <v>45594</v>
      </c>
      <c r="B2898" s="12" t="str">
        <f>'[1]OKT 2024'!B198</f>
        <v>VM</v>
      </c>
      <c r="C2898" s="3">
        <f>'[1]OKT 2024'!C198</f>
        <v>0</v>
      </c>
      <c r="D2898" s="3">
        <f>'[1]OKT 2024'!D198</f>
        <v>0</v>
      </c>
      <c r="E2898" s="4">
        <f>'[1]OKT 2024'!E198</f>
        <v>0</v>
      </c>
      <c r="F2898" s="6">
        <f>'[1]OKT 2024'!F198</f>
        <v>15.8</v>
      </c>
      <c r="G2898" s="4">
        <f>'[1]OKT 2024'!G198</f>
        <v>0</v>
      </c>
      <c r="H2898" s="4">
        <f>'[1]OKT 2024'!H198</f>
        <v>12941</v>
      </c>
    </row>
    <row r="2899" spans="1:8" x14ac:dyDescent="0.2">
      <c r="A2899" s="20">
        <f>'[1]OKT 2024'!A205</f>
        <v>45595</v>
      </c>
      <c r="B2899" s="12" t="str">
        <f>'[1]OKT 2024'!B205</f>
        <v>VM</v>
      </c>
      <c r="C2899" s="3">
        <f>'[1]OKT 2024'!C205</f>
        <v>0</v>
      </c>
      <c r="D2899" s="3">
        <f>'[1]OKT 2024'!D205</f>
        <v>0</v>
      </c>
      <c r="E2899" s="4">
        <f>'[1]OKT 2024'!E205</f>
        <v>0</v>
      </c>
      <c r="F2899" s="6">
        <f>'[1]OKT 2024'!F205</f>
        <v>16</v>
      </c>
      <c r="G2899" s="4">
        <f>'[1]OKT 2024'!G205</f>
        <v>0</v>
      </c>
      <c r="H2899" s="4">
        <f>'[1]OKT 2024'!H205</f>
        <v>920</v>
      </c>
    </row>
    <row r="2900" spans="1:8" x14ac:dyDescent="0.2">
      <c r="A2900" s="23">
        <f>'[1]OKT 2024'!A206</f>
        <v>45595</v>
      </c>
      <c r="B2900" s="12" t="str">
        <f>'[1]OKT 2024'!B206</f>
        <v>Frauen</v>
      </c>
      <c r="C2900" s="3">
        <f>'[1]OKT 2024'!C206</f>
        <v>0</v>
      </c>
      <c r="D2900" s="3">
        <f>'[1]OKT 2024'!D206</f>
        <v>0</v>
      </c>
      <c r="E2900" s="4">
        <f>'[1]OKT 2024'!E206</f>
        <v>0</v>
      </c>
      <c r="F2900" s="6">
        <f>'[1]OKT 2024'!F206</f>
        <v>0</v>
      </c>
      <c r="G2900" s="4">
        <f>'[1]OKT 2024'!G206</f>
        <v>0</v>
      </c>
      <c r="H2900" s="4">
        <f>'[1]OKT 2024'!H206</f>
        <v>5275</v>
      </c>
    </row>
    <row r="2901" spans="1:8" x14ac:dyDescent="0.2">
      <c r="A2901" s="23">
        <f>'[1]OKT 2024'!A212</f>
        <v>45596</v>
      </c>
      <c r="B2901" s="12" t="str">
        <f>'[1]OKT 2024'!B212</f>
        <v>LM</v>
      </c>
      <c r="C2901" s="3">
        <f>'[1]OKT 2024'!C212</f>
        <v>0</v>
      </c>
      <c r="D2901" s="3">
        <f>'[1]OKT 2024'!D212</f>
        <v>0</v>
      </c>
      <c r="E2901" s="4">
        <f>'[1]OKT 2024'!E212</f>
        <v>0</v>
      </c>
      <c r="F2901" s="6">
        <f>'[1]OKT 2024'!F212</f>
        <v>0</v>
      </c>
      <c r="G2901" s="4">
        <f>'[1]OKT 2024'!G212</f>
        <v>0</v>
      </c>
      <c r="H2901" s="4">
        <f>'[1]OKT 2024'!H212</f>
        <v>1736.85</v>
      </c>
    </row>
    <row r="2902" spans="1:8" x14ac:dyDescent="0.2">
      <c r="A2902" s="20">
        <f>'[1]NOV 2024'!A2</f>
        <v>45597</v>
      </c>
      <c r="B2902" s="12" t="str">
        <f>'[1]NOV 2024'!B2</f>
        <v>LM</v>
      </c>
      <c r="C2902" s="3">
        <f>'[1]NOV 2024'!C2</f>
        <v>0</v>
      </c>
      <c r="D2902" s="3">
        <f>'[1]NOV 2024'!D2</f>
        <v>0</v>
      </c>
      <c r="E2902" s="4">
        <f>'[1]NOV 2024'!E2</f>
        <v>0</v>
      </c>
      <c r="F2902" s="6">
        <f>'[1]NOV 2024'!F2</f>
        <v>0</v>
      </c>
      <c r="G2902" s="4">
        <f>'[1]NOV 2024'!G2</f>
        <v>0</v>
      </c>
      <c r="H2902" s="4">
        <f>'[1]NOV 2024'!H2</f>
        <v>1158</v>
      </c>
    </row>
    <row r="2903" spans="1:8" x14ac:dyDescent="0.2">
      <c r="A2903" s="20">
        <f>'[1]NOV 2024'!A4</f>
        <v>45597</v>
      </c>
      <c r="B2903" s="12" t="str">
        <f>'[1]NOV 2024'!B4</f>
        <v>Andere</v>
      </c>
      <c r="C2903" s="3">
        <f>'[1]NOV 2024'!C4</f>
        <v>0</v>
      </c>
      <c r="D2903" s="3">
        <f>'[1]NOV 2024'!D4</f>
        <v>0</v>
      </c>
      <c r="E2903" s="4">
        <f>'[1]NOV 2024'!E4</f>
        <v>0</v>
      </c>
      <c r="F2903" s="6">
        <f>'[1]NOV 2024'!F4</f>
        <v>0</v>
      </c>
      <c r="G2903" s="4">
        <f>'[1]NOV 2024'!G4</f>
        <v>0</v>
      </c>
      <c r="H2903" s="4">
        <f>'[1]NOV 2024'!H4</f>
        <v>1990</v>
      </c>
    </row>
    <row r="2904" spans="1:8" x14ac:dyDescent="0.2">
      <c r="A2904" s="20">
        <f>'[1]NOV 2024'!A6</f>
        <v>45597</v>
      </c>
      <c r="B2904" s="12" t="str">
        <f>'[1]NOV 2024'!B6</f>
        <v>Party</v>
      </c>
      <c r="C2904" s="3">
        <f>'[1]NOV 2024'!C6</f>
        <v>0</v>
      </c>
      <c r="D2904" s="3">
        <f>'[1]NOV 2024'!D6</f>
        <v>0</v>
      </c>
      <c r="E2904" s="4">
        <f>'[1]NOV 2024'!E6</f>
        <v>0</v>
      </c>
      <c r="F2904" s="6">
        <f>'[1]NOV 2024'!F6</f>
        <v>0</v>
      </c>
      <c r="G2904" s="4">
        <f>'[1]NOV 2024'!G6</f>
        <v>0</v>
      </c>
      <c r="H2904" s="4">
        <f>'[1]NOV 2024'!H6</f>
        <v>1200</v>
      </c>
    </row>
    <row r="2905" spans="1:8" x14ac:dyDescent="0.2">
      <c r="A2905" s="23">
        <f>'[1]NOV 2024'!A9</f>
        <v>45598</v>
      </c>
      <c r="B2905" s="12" t="str">
        <f>'[1]NOV 2024'!B9</f>
        <v>LM</v>
      </c>
      <c r="C2905" s="3">
        <f>'[1]NOV 2024'!C9</f>
        <v>0</v>
      </c>
      <c r="D2905" s="3">
        <f>'[1]NOV 2024'!D9</f>
        <v>0</v>
      </c>
      <c r="E2905" s="4">
        <f>'[1]NOV 2024'!E9</f>
        <v>0</v>
      </c>
      <c r="F2905" s="6">
        <f>'[1]NOV 2024'!F9</f>
        <v>0</v>
      </c>
      <c r="G2905" s="4">
        <f>'[1]NOV 2024'!G9</f>
        <v>0</v>
      </c>
      <c r="H2905" s="4">
        <f>'[1]NOV 2024'!H9</f>
        <v>522.04999999999995</v>
      </c>
    </row>
    <row r="2906" spans="1:8" x14ac:dyDescent="0.2">
      <c r="A2906" s="20">
        <f>'[1]NOV 2024'!A10</f>
        <v>45598</v>
      </c>
      <c r="B2906" s="12" t="str">
        <f>'[1]NOV 2024'!B10</f>
        <v>VM</v>
      </c>
      <c r="C2906" s="3">
        <f>'[1]NOV 2024'!C10</f>
        <v>0</v>
      </c>
      <c r="D2906" s="3">
        <f>'[1]NOV 2024'!D10</f>
        <v>0</v>
      </c>
      <c r="E2906" s="4">
        <f>'[1]NOV 2024'!E10</f>
        <v>0</v>
      </c>
      <c r="F2906" s="6">
        <f>'[1]NOV 2024'!F10</f>
        <v>0</v>
      </c>
      <c r="G2906" s="4">
        <f>'[1]NOV 2024'!G10</f>
        <v>0</v>
      </c>
      <c r="H2906" s="4">
        <f>'[1]NOV 2024'!H10</f>
        <v>64</v>
      </c>
    </row>
    <row r="2907" spans="1:8" x14ac:dyDescent="0.2">
      <c r="A2907" s="20">
        <f>'[1]NOV 2024'!A16</f>
        <v>45599</v>
      </c>
      <c r="B2907" s="12" t="str">
        <f>'[1]NOV 2024'!B16</f>
        <v>Refill</v>
      </c>
      <c r="C2907" s="3">
        <f>'[1]NOV 2024'!C16</f>
        <v>0</v>
      </c>
      <c r="D2907" s="3">
        <f>'[1]NOV 2024'!D16</f>
        <v>0</v>
      </c>
      <c r="E2907" s="4">
        <f>'[1]NOV 2024'!E16</f>
        <v>0</v>
      </c>
      <c r="F2907" s="6">
        <f>'[1]NOV 2024'!F16</f>
        <v>0</v>
      </c>
      <c r="G2907" s="4">
        <f>'[1]NOV 2024'!G16</f>
        <v>9776.9599999999991</v>
      </c>
      <c r="H2907" s="4">
        <f>'[1]NOV 2024'!H16</f>
        <v>0</v>
      </c>
    </row>
    <row r="2908" spans="1:8" x14ac:dyDescent="0.2">
      <c r="A2908" s="23">
        <f>'[1]NOV 2024'!A17</f>
        <v>45599</v>
      </c>
      <c r="B2908" s="12" t="str">
        <f>'[1]NOV 2024'!B17</f>
        <v>VM</v>
      </c>
      <c r="C2908" s="3">
        <f>'[1]NOV 2024'!C17</f>
        <v>0</v>
      </c>
      <c r="D2908" s="3">
        <f>'[1]NOV 2024'!D17</f>
        <v>0</v>
      </c>
      <c r="E2908" s="4">
        <f>'[1]NOV 2024'!E17</f>
        <v>0</v>
      </c>
      <c r="F2908" s="6">
        <f>'[1]NOV 2024'!F17</f>
        <v>0</v>
      </c>
      <c r="G2908" s="4">
        <f>'[1]NOV 2024'!G17</f>
        <v>0</v>
      </c>
      <c r="H2908" s="4">
        <f>'[1]NOV 2024'!H17</f>
        <v>1250</v>
      </c>
    </row>
    <row r="2909" spans="1:8" x14ac:dyDescent="0.2">
      <c r="A2909" s="20">
        <f>'[1]NOV 2024'!A18</f>
        <v>45599</v>
      </c>
      <c r="B2909" s="12" t="str">
        <f>'[1]NOV 2024'!B18</f>
        <v>Andere</v>
      </c>
      <c r="C2909" s="3">
        <f>'[1]NOV 2024'!C18</f>
        <v>0</v>
      </c>
      <c r="D2909" s="3">
        <f>'[1]NOV 2024'!D18</f>
        <v>0</v>
      </c>
      <c r="E2909" s="4">
        <f>'[1]NOV 2024'!E18</f>
        <v>0</v>
      </c>
      <c r="F2909" s="6">
        <f>'[1]NOV 2024'!F18</f>
        <v>0</v>
      </c>
      <c r="G2909" s="4">
        <f>'[1]NOV 2024'!G18</f>
        <v>0</v>
      </c>
      <c r="H2909" s="4">
        <f>'[1]NOV 2024'!H18</f>
        <v>600</v>
      </c>
    </row>
    <row r="2910" spans="1:8" x14ac:dyDescent="0.2">
      <c r="A2910" s="23">
        <f>'[1]NOV 2024'!A19</f>
        <v>45599</v>
      </c>
      <c r="B2910" s="12" t="str">
        <f>'[1]NOV 2024'!B19</f>
        <v>LM</v>
      </c>
      <c r="C2910" s="3">
        <f>'[1]NOV 2024'!C19</f>
        <v>0</v>
      </c>
      <c r="D2910" s="3">
        <f>'[1]NOV 2024'!D19</f>
        <v>0</v>
      </c>
      <c r="E2910" s="4">
        <f>'[1]NOV 2024'!E19</f>
        <v>0</v>
      </c>
      <c r="F2910" s="6">
        <f>'[1]NOV 2024'!F19</f>
        <v>0</v>
      </c>
      <c r="G2910" s="4">
        <f>'[1]NOV 2024'!G19</f>
        <v>0</v>
      </c>
      <c r="H2910" s="4">
        <f>'[1]NOV 2024'!H19</f>
        <v>1216</v>
      </c>
    </row>
    <row r="2911" spans="1:8" x14ac:dyDescent="0.2">
      <c r="A2911" s="23">
        <f>'[1]NOV 2024'!A23</f>
        <v>45600</v>
      </c>
      <c r="B2911" s="12" t="str">
        <f>'[1]NOV 2024'!B23</f>
        <v>Frauen</v>
      </c>
      <c r="C2911" s="3">
        <f>'[1]NOV 2024'!C23</f>
        <v>0</v>
      </c>
      <c r="D2911" s="3">
        <f>'[1]NOV 2024'!D23</f>
        <v>0</v>
      </c>
      <c r="E2911" s="4">
        <f>'[1]NOV 2024'!E23</f>
        <v>0</v>
      </c>
      <c r="F2911" s="6">
        <f>'[1]NOV 2024'!F23</f>
        <v>0</v>
      </c>
      <c r="G2911" s="4">
        <f>'[1]NOV 2024'!G23</f>
        <v>0</v>
      </c>
      <c r="H2911" s="4">
        <f>'[1]NOV 2024'!H23</f>
        <v>2880</v>
      </c>
    </row>
    <row r="2912" spans="1:8" x14ac:dyDescent="0.2">
      <c r="A2912" s="20">
        <f>'[1]NOV 2024'!A24</f>
        <v>45600</v>
      </c>
      <c r="B2912" s="12" t="str">
        <f>'[1]NOV 2024'!B24</f>
        <v>VM</v>
      </c>
      <c r="C2912" s="3">
        <f>'[1]NOV 2024'!C24</f>
        <v>0</v>
      </c>
      <c r="D2912" s="3">
        <f>'[1]NOV 2024'!D24</f>
        <v>0</v>
      </c>
      <c r="E2912" s="4">
        <f>'[1]NOV 2024'!E24</f>
        <v>0</v>
      </c>
      <c r="F2912" s="6">
        <f>'[1]NOV 2024'!F24</f>
        <v>0</v>
      </c>
      <c r="G2912" s="4">
        <f>'[1]NOV 2024'!G24</f>
        <v>0</v>
      </c>
      <c r="H2912" s="4">
        <f>'[1]NOV 2024'!H24</f>
        <v>128</v>
      </c>
    </row>
    <row r="2913" spans="1:8" x14ac:dyDescent="0.2">
      <c r="A2913" s="23">
        <f>'[1]NOV 2024'!A25</f>
        <v>45600</v>
      </c>
      <c r="B2913" s="12" t="str">
        <f>'[1]NOV 2024'!B25</f>
        <v>none</v>
      </c>
      <c r="C2913" s="3">
        <f>'[1]NOV 2024'!C25</f>
        <v>0</v>
      </c>
      <c r="D2913" s="3">
        <f>'[1]NOV 2024'!D25</f>
        <v>0</v>
      </c>
      <c r="E2913" s="4">
        <f>'[1]NOV 2024'!E25</f>
        <v>400</v>
      </c>
      <c r="F2913" s="6">
        <f>'[1]NOV 2024'!F25</f>
        <v>0</v>
      </c>
      <c r="G2913" s="4">
        <f>'[1]NOV 2024'!G25</f>
        <v>0</v>
      </c>
      <c r="H2913" s="4">
        <f>'[1]NOV 2024'!H25</f>
        <v>0</v>
      </c>
    </row>
    <row r="2914" spans="1:8" x14ac:dyDescent="0.2">
      <c r="A2914" s="20">
        <f>'[1]NOV 2024'!A30</f>
        <v>45601</v>
      </c>
      <c r="B2914" s="12" t="str">
        <f>'[1]NOV 2024'!B30</f>
        <v>Andere</v>
      </c>
      <c r="C2914" s="3">
        <f>'[1]NOV 2024'!C30</f>
        <v>0</v>
      </c>
      <c r="D2914" s="3">
        <f>'[1]NOV 2024'!D30</f>
        <v>0</v>
      </c>
      <c r="E2914" s="4">
        <f>'[1]NOV 2024'!E30</f>
        <v>0</v>
      </c>
      <c r="F2914" s="6">
        <f>'[1]NOV 2024'!F30</f>
        <v>0</v>
      </c>
      <c r="G2914" s="4">
        <f>'[1]NOV 2024'!G30</f>
        <v>0</v>
      </c>
      <c r="H2914" s="4">
        <f>'[1]NOV 2024'!H30</f>
        <v>1700</v>
      </c>
    </row>
    <row r="2915" spans="1:8" x14ac:dyDescent="0.2">
      <c r="A2915" s="23">
        <f>'[1]NOV 2024'!A31</f>
        <v>45601</v>
      </c>
      <c r="B2915" s="12" t="str">
        <f>'[1]NOV 2024'!B31</f>
        <v>LM</v>
      </c>
      <c r="C2915" s="3">
        <f>'[1]NOV 2024'!C31</f>
        <v>0</v>
      </c>
      <c r="D2915" s="3">
        <f>'[1]NOV 2024'!D31</f>
        <v>0</v>
      </c>
      <c r="E2915" s="4">
        <f>'[1]NOV 2024'!E31</f>
        <v>0</v>
      </c>
      <c r="F2915" s="6">
        <f>'[1]NOV 2024'!F31</f>
        <v>0</v>
      </c>
      <c r="G2915" s="4">
        <f>'[1]NOV 2024'!G31</f>
        <v>0</v>
      </c>
      <c r="H2915" s="4">
        <f>'[1]NOV 2024'!H31</f>
        <v>826.85</v>
      </c>
    </row>
    <row r="2916" spans="1:8" x14ac:dyDescent="0.2">
      <c r="A2916" s="23">
        <f>'[1]NOV 2024'!A37</f>
        <v>45602</v>
      </c>
      <c r="B2916" s="12" t="str">
        <f>'[1]NOV 2024'!B37</f>
        <v>Andere</v>
      </c>
      <c r="C2916" s="3">
        <f>'[1]NOV 2024'!C37</f>
        <v>0</v>
      </c>
      <c r="D2916" s="3">
        <f>'[1]NOV 2024'!D37</f>
        <v>0</v>
      </c>
      <c r="E2916" s="4">
        <f>'[1]NOV 2024'!E37</f>
        <v>0</v>
      </c>
      <c r="F2916" s="6">
        <f>'[1]NOV 2024'!F37</f>
        <v>0</v>
      </c>
      <c r="G2916" s="4">
        <f>'[1]NOV 2024'!G37</f>
        <v>0</v>
      </c>
      <c r="H2916" s="4">
        <f>'[1]NOV 2024'!H37</f>
        <v>5000</v>
      </c>
    </row>
    <row r="2917" spans="1:8" x14ac:dyDescent="0.2">
      <c r="A2917" s="20">
        <f>'[1]NOV 2024'!A38</f>
        <v>45602</v>
      </c>
      <c r="B2917" s="12" t="str">
        <f>'[1]NOV 2024'!B38</f>
        <v>VM</v>
      </c>
      <c r="C2917" s="3">
        <f>'[1]NOV 2024'!C38</f>
        <v>0</v>
      </c>
      <c r="D2917" s="3">
        <f>'[1]NOV 2024'!D38</f>
        <v>0</v>
      </c>
      <c r="E2917" s="4">
        <f>'[1]NOV 2024'!E38</f>
        <v>0</v>
      </c>
      <c r="F2917" s="6">
        <f>'[1]NOV 2024'!F38</f>
        <v>0</v>
      </c>
      <c r="G2917" s="4">
        <f>'[1]NOV 2024'!G38</f>
        <v>0</v>
      </c>
      <c r="H2917" s="4">
        <f>'[1]NOV 2024'!H38</f>
        <v>128</v>
      </c>
    </row>
    <row r="2918" spans="1:8" x14ac:dyDescent="0.2">
      <c r="A2918" s="23">
        <f>'[1]NOV 2024'!A39</f>
        <v>45602</v>
      </c>
      <c r="B2918" s="12" t="str">
        <f>'[1]NOV 2024'!B39</f>
        <v>Frauen</v>
      </c>
      <c r="C2918" s="3">
        <f>'[1]NOV 2024'!C39</f>
        <v>0</v>
      </c>
      <c r="D2918" s="3">
        <f>'[1]NOV 2024'!D39</f>
        <v>0</v>
      </c>
      <c r="E2918" s="4">
        <f>'[1]NOV 2024'!E39</f>
        <v>0</v>
      </c>
      <c r="F2918" s="6">
        <f>'[1]NOV 2024'!F39</f>
        <v>0</v>
      </c>
      <c r="G2918" s="4">
        <f>'[1]NOV 2024'!G39</f>
        <v>0</v>
      </c>
      <c r="H2918" s="4">
        <f>'[1]NOV 2024'!H39</f>
        <v>1310</v>
      </c>
    </row>
    <row r="2919" spans="1:8" x14ac:dyDescent="0.2">
      <c r="A2919" s="20">
        <f>'[1]NOV 2024'!A40</f>
        <v>45602</v>
      </c>
      <c r="B2919" s="12" t="str">
        <f>'[1]NOV 2024'!B40</f>
        <v>none</v>
      </c>
      <c r="C2919" s="3">
        <f>'[1]NOV 2024'!C40</f>
        <v>0</v>
      </c>
      <c r="D2919" s="3">
        <f>'[1]NOV 2024'!D40</f>
        <v>0</v>
      </c>
      <c r="E2919" s="4">
        <f>'[1]NOV 2024'!E40</f>
        <v>0</v>
      </c>
      <c r="F2919" s="6">
        <f>'[1]NOV 2024'!F40</f>
        <v>0</v>
      </c>
      <c r="G2919" s="4">
        <f>'[1]NOV 2024'!G40</f>
        <v>0</v>
      </c>
      <c r="H2919" s="4">
        <f>'[1]NOV 2024'!H40</f>
        <v>0.99</v>
      </c>
    </row>
    <row r="2920" spans="1:8" x14ac:dyDescent="0.2">
      <c r="A2920" s="23">
        <f>'[1]NOV 2024'!A51</f>
        <v>45604</v>
      </c>
      <c r="B2920" s="12" t="str">
        <f>'[1]NOV 2024'!B51</f>
        <v>Refill</v>
      </c>
      <c r="C2920" s="3">
        <f>'[1]NOV 2024'!C51</f>
        <v>0</v>
      </c>
      <c r="D2920" s="3">
        <f>'[1]NOV 2024'!D51</f>
        <v>0</v>
      </c>
      <c r="E2920" s="4">
        <f>'[1]NOV 2024'!E51</f>
        <v>0</v>
      </c>
      <c r="F2920" s="6">
        <f>'[1]NOV 2024'!F51</f>
        <v>0</v>
      </c>
      <c r="G2920" s="4">
        <f>'[1]NOV 2024'!G51</f>
        <v>220110</v>
      </c>
      <c r="H2920" s="4">
        <f>'[1]NOV 2024'!H51</f>
        <v>0</v>
      </c>
    </row>
    <row r="2921" spans="1:8" x14ac:dyDescent="0.2">
      <c r="A2921" s="20">
        <f>'[1]NOV 2024'!A52</f>
        <v>45604</v>
      </c>
      <c r="B2921" s="12" t="str">
        <f>'[1]NOV 2024'!B52</f>
        <v>VM</v>
      </c>
      <c r="C2921" s="3">
        <f>'[1]NOV 2024'!C52</f>
        <v>0</v>
      </c>
      <c r="D2921" s="3">
        <f>'[1]NOV 2024'!D52</f>
        <v>0</v>
      </c>
      <c r="E2921" s="4">
        <f>'[1]NOV 2024'!E52</f>
        <v>0</v>
      </c>
      <c r="F2921" s="6">
        <f>'[1]NOV 2024'!F52</f>
        <v>0</v>
      </c>
      <c r="G2921" s="4">
        <f>'[1]NOV 2024'!G52</f>
        <v>0</v>
      </c>
      <c r="H2921" s="4">
        <f>'[1]NOV 2024'!H52</f>
        <v>64</v>
      </c>
    </row>
    <row r="2922" spans="1:8" x14ac:dyDescent="0.2">
      <c r="A2922" s="23">
        <f>'[1]NOV 2024'!A53</f>
        <v>45604</v>
      </c>
      <c r="B2922" s="12" t="str">
        <f>'[1]NOV 2024'!B53</f>
        <v>for me</v>
      </c>
      <c r="C2922" s="3">
        <f>'[1]NOV 2024'!C53</f>
        <v>0</v>
      </c>
      <c r="D2922" s="3">
        <f>'[1]NOV 2024'!D53</f>
        <v>0</v>
      </c>
      <c r="E2922" s="4">
        <f>'[1]NOV 2024'!E53</f>
        <v>0</v>
      </c>
      <c r="F2922" s="6">
        <f>'[1]NOV 2024'!F53</f>
        <v>0</v>
      </c>
      <c r="G2922" s="4">
        <f>'[1]NOV 2024'!G53</f>
        <v>0</v>
      </c>
      <c r="H2922" s="4">
        <f>'[1]NOV 2024'!H53</f>
        <v>863</v>
      </c>
    </row>
    <row r="2923" spans="1:8" x14ac:dyDescent="0.2">
      <c r="A2923" s="20">
        <f>'[1]NOV 2024'!A54</f>
        <v>45604</v>
      </c>
      <c r="B2923" s="12" t="str">
        <f>'[1]NOV 2024'!B54</f>
        <v>Party</v>
      </c>
      <c r="C2923" s="3">
        <f>'[1]NOV 2024'!C54</f>
        <v>0</v>
      </c>
      <c r="D2923" s="3">
        <f>'[1]NOV 2024'!D54</f>
        <v>0</v>
      </c>
      <c r="E2923" s="4">
        <f>'[1]NOV 2024'!E54</f>
        <v>0</v>
      </c>
      <c r="F2923" s="6">
        <f>'[1]NOV 2024'!F54</f>
        <v>0</v>
      </c>
      <c r="G2923" s="4">
        <f>'[1]NOV 2024'!G54</f>
        <v>0</v>
      </c>
      <c r="H2923" s="4">
        <f>'[1]NOV 2024'!H54</f>
        <v>3650</v>
      </c>
    </row>
    <row r="2924" spans="1:8" x14ac:dyDescent="0.2">
      <c r="A2924" s="23">
        <f>'[1]NOV 2024'!A55</f>
        <v>45604</v>
      </c>
      <c r="B2924" s="12" t="str">
        <f>'[1]NOV 2024'!B55</f>
        <v>Andere</v>
      </c>
      <c r="C2924" s="3">
        <f>'[1]NOV 2024'!C55</f>
        <v>0</v>
      </c>
      <c r="D2924" s="3">
        <f>'[1]NOV 2024'!D55</f>
        <v>0</v>
      </c>
      <c r="E2924" s="4">
        <f>'[1]NOV 2024'!E55</f>
        <v>0</v>
      </c>
      <c r="F2924" s="6">
        <f>'[1]NOV 2024'!F55</f>
        <v>150</v>
      </c>
      <c r="G2924" s="4">
        <f>'[1]NOV 2024'!G55</f>
        <v>0</v>
      </c>
      <c r="H2924" s="4">
        <f>'[1]NOV 2024'!H55</f>
        <v>423</v>
      </c>
    </row>
    <row r="2925" spans="1:8" x14ac:dyDescent="0.2">
      <c r="A2925" s="20">
        <f>'[1]NOV 2024'!A56</f>
        <v>45604</v>
      </c>
      <c r="B2925" s="12" t="str">
        <f>'[1]NOV 2024'!B56</f>
        <v>VM</v>
      </c>
      <c r="C2925" s="3">
        <f>'[1]NOV 2024'!C56</f>
        <v>0</v>
      </c>
      <c r="D2925" s="3">
        <f>'[1]NOV 2024'!D56</f>
        <v>0</v>
      </c>
      <c r="E2925" s="4">
        <f>'[1]NOV 2024'!E56</f>
        <v>0</v>
      </c>
      <c r="F2925" s="6">
        <f>'[1]NOV 2024'!F56</f>
        <v>0</v>
      </c>
      <c r="G2925" s="4">
        <f>'[1]NOV 2024'!G56</f>
        <v>0</v>
      </c>
      <c r="H2925" s="4">
        <f>'[1]NOV 2024'!H56</f>
        <v>1111</v>
      </c>
    </row>
    <row r="2926" spans="1:8" x14ac:dyDescent="0.2">
      <c r="A2926" s="20">
        <f>'[1]NOV 2024'!A58</f>
        <v>45605</v>
      </c>
      <c r="B2926" s="12" t="str">
        <f>'[1]NOV 2024'!B58</f>
        <v>Frauen</v>
      </c>
      <c r="C2926" s="3">
        <f>'[1]NOV 2024'!C58</f>
        <v>0</v>
      </c>
      <c r="D2926" s="3">
        <f>'[1]NOV 2024'!D58</f>
        <v>0</v>
      </c>
      <c r="E2926" s="4">
        <f>'[1]NOV 2024'!E58</f>
        <v>0</v>
      </c>
      <c r="F2926" s="6">
        <f>'[1]NOV 2024'!F58</f>
        <v>0</v>
      </c>
      <c r="G2926" s="4">
        <f>'[1]NOV 2024'!G58</f>
        <v>0</v>
      </c>
      <c r="H2926" s="4">
        <f>'[1]NOV 2024'!H58</f>
        <v>6000</v>
      </c>
    </row>
    <row r="2927" spans="1:8" x14ac:dyDescent="0.2">
      <c r="A2927" s="23">
        <f>'[1]NOV 2024'!A59</f>
        <v>45605</v>
      </c>
      <c r="B2927" s="12" t="str">
        <f>'[1]NOV 2024'!B59</f>
        <v>Andere</v>
      </c>
      <c r="C2927" s="3">
        <f>'[1]NOV 2024'!C59</f>
        <v>0</v>
      </c>
      <c r="D2927" s="3">
        <f>'[1]NOV 2024'!D59</f>
        <v>0</v>
      </c>
      <c r="E2927" s="4">
        <f>'[1]NOV 2024'!E59</f>
        <v>0</v>
      </c>
      <c r="F2927" s="6">
        <f>'[1]NOV 2024'!F59</f>
        <v>0</v>
      </c>
      <c r="G2927" s="4">
        <f>'[1]NOV 2024'!G59</f>
        <v>0</v>
      </c>
      <c r="H2927" s="4">
        <f>'[1]NOV 2024'!H59</f>
        <v>99000</v>
      </c>
    </row>
    <row r="2928" spans="1:8" x14ac:dyDescent="0.2">
      <c r="A2928" s="20">
        <f>'[1]NOV 2024'!A60</f>
        <v>45605</v>
      </c>
      <c r="B2928" s="12" t="str">
        <f>'[1]NOV 2024'!B60</f>
        <v>VM</v>
      </c>
      <c r="C2928" s="3">
        <f>'[1]NOV 2024'!C60</f>
        <v>0</v>
      </c>
      <c r="D2928" s="3">
        <f>'[1]NOV 2024'!D60</f>
        <v>0</v>
      </c>
      <c r="E2928" s="4">
        <f>'[1]NOV 2024'!E60</f>
        <v>0</v>
      </c>
      <c r="F2928" s="6">
        <f>'[1]NOV 2024'!F60</f>
        <v>65</v>
      </c>
      <c r="G2928" s="4">
        <f>'[1]NOV 2024'!G60</f>
        <v>0</v>
      </c>
      <c r="H2928" s="4">
        <f>'[1]NOV 2024'!H60</f>
        <v>128</v>
      </c>
    </row>
    <row r="2929" spans="1:8" x14ac:dyDescent="0.2">
      <c r="A2929" s="23">
        <f>'[1]NOV 2024'!A61</f>
        <v>45605</v>
      </c>
      <c r="B2929" s="12" t="str">
        <f>'[1]NOV 2024'!B61</f>
        <v>LM</v>
      </c>
      <c r="C2929" s="3">
        <f>'[1]NOV 2024'!C61</f>
        <v>0</v>
      </c>
      <c r="D2929" s="3">
        <f>'[1]NOV 2024'!D61</f>
        <v>0</v>
      </c>
      <c r="E2929" s="4">
        <f>'[1]NOV 2024'!E61</f>
        <v>0</v>
      </c>
      <c r="F2929" s="6">
        <f>'[1]NOV 2024'!F61</f>
        <v>0</v>
      </c>
      <c r="G2929" s="4">
        <f>'[1]NOV 2024'!G61</f>
        <v>0</v>
      </c>
      <c r="H2929" s="4">
        <f>'[1]NOV 2024'!H61</f>
        <v>59.99</v>
      </c>
    </row>
    <row r="2930" spans="1:8" x14ac:dyDescent="0.2">
      <c r="A2930" s="20">
        <f>'[1]NOV 2024'!A62</f>
        <v>45605</v>
      </c>
      <c r="B2930" s="12" t="str">
        <f>'[1]NOV 2024'!B62</f>
        <v>LM</v>
      </c>
      <c r="C2930" s="3">
        <f>'[1]NOV 2024'!C62</f>
        <v>0</v>
      </c>
      <c r="D2930" s="3">
        <f>'[1]NOV 2024'!D62</f>
        <v>0</v>
      </c>
      <c r="E2930" s="4">
        <f>'[1]NOV 2024'!E62</f>
        <v>0</v>
      </c>
      <c r="F2930" s="6">
        <f>'[1]NOV 2024'!F62</f>
        <v>0</v>
      </c>
      <c r="G2930" s="4">
        <f>'[1]NOV 2024'!G62</f>
        <v>0</v>
      </c>
      <c r="H2930" s="4">
        <f>'[1]NOV 2024'!H62</f>
        <v>631</v>
      </c>
    </row>
    <row r="2931" spans="1:8" x14ac:dyDescent="0.2">
      <c r="A2931" s="23">
        <f>'[1]NOV 2024'!A63</f>
        <v>45605</v>
      </c>
      <c r="B2931" s="12" t="str">
        <f>'[1]NOV 2024'!B63</f>
        <v>Andere</v>
      </c>
      <c r="C2931" s="3">
        <f>'[1]NOV 2024'!C63</f>
        <v>0</v>
      </c>
      <c r="D2931" s="3">
        <f>'[1]NOV 2024'!D63</f>
        <v>0</v>
      </c>
      <c r="E2931" s="4">
        <f>'[1]NOV 2024'!E63</f>
        <v>0</v>
      </c>
      <c r="F2931" s="6">
        <f>'[1]NOV 2024'!F63</f>
        <v>0</v>
      </c>
      <c r="G2931" s="4">
        <f>'[1]NOV 2024'!G63</f>
        <v>0</v>
      </c>
      <c r="H2931" s="4">
        <f>'[1]NOV 2024'!H63</f>
        <v>749</v>
      </c>
    </row>
    <row r="2932" spans="1:8" x14ac:dyDescent="0.2">
      <c r="A2932" s="23">
        <f>'[1]NOV 2024'!A65</f>
        <v>45606</v>
      </c>
      <c r="B2932" s="12" t="str">
        <f>'[1]NOV 2024'!B65</f>
        <v>Andere</v>
      </c>
      <c r="C2932" s="3">
        <f>'[1]NOV 2024'!C65</f>
        <v>0</v>
      </c>
      <c r="D2932" s="3">
        <f>'[1]NOV 2024'!D65</f>
        <v>0</v>
      </c>
      <c r="E2932" s="4">
        <f>'[1]NOV 2024'!E65</f>
        <v>0</v>
      </c>
      <c r="F2932" s="6">
        <f>'[1]NOV 2024'!F65</f>
        <v>0</v>
      </c>
      <c r="G2932" s="4">
        <f>'[1]NOV 2024'!G65</f>
        <v>0</v>
      </c>
      <c r="H2932" s="4">
        <f>'[1]NOV 2024'!H65</f>
        <v>24</v>
      </c>
    </row>
    <row r="2933" spans="1:8" x14ac:dyDescent="0.2">
      <c r="A2933" s="20">
        <f>'[1]NOV 2024'!A66</f>
        <v>45606</v>
      </c>
      <c r="B2933" s="12" t="str">
        <f>'[1]NOV 2024'!B66</f>
        <v>VM</v>
      </c>
      <c r="C2933" s="3">
        <f>'[1]NOV 2024'!C66</f>
        <v>0</v>
      </c>
      <c r="D2933" s="3">
        <f>'[1]NOV 2024'!D66</f>
        <v>0</v>
      </c>
      <c r="E2933" s="4">
        <f>'[1]NOV 2024'!E66</f>
        <v>0</v>
      </c>
      <c r="F2933" s="6">
        <f>'[1]NOV 2024'!F66</f>
        <v>0</v>
      </c>
      <c r="G2933" s="4">
        <f>'[1]NOV 2024'!G66</f>
        <v>0</v>
      </c>
      <c r="H2933" s="4">
        <f>'[1]NOV 2024'!H66</f>
        <v>400.1</v>
      </c>
    </row>
    <row r="2934" spans="1:8" x14ac:dyDescent="0.2">
      <c r="A2934" s="23">
        <f>'[1]NOV 2024'!A67</f>
        <v>45606</v>
      </c>
      <c r="B2934" s="12" t="str">
        <f>'[1]NOV 2024'!B67</f>
        <v>Rauchen</v>
      </c>
      <c r="C2934" s="3">
        <f>'[1]NOV 2024'!C67</f>
        <v>0</v>
      </c>
      <c r="D2934" s="3">
        <f>'[1]NOV 2024'!D67</f>
        <v>0</v>
      </c>
      <c r="E2934" s="4">
        <f>'[1]NOV 2024'!E67</f>
        <v>0</v>
      </c>
      <c r="F2934" s="6">
        <f>'[1]NOV 2024'!F67</f>
        <v>0</v>
      </c>
      <c r="G2934" s="4">
        <f>'[1]NOV 2024'!G67</f>
        <v>0</v>
      </c>
      <c r="H2934" s="4">
        <f>'[1]NOV 2024'!H67</f>
        <v>1600</v>
      </c>
    </row>
    <row r="2935" spans="1:8" x14ac:dyDescent="0.2">
      <c r="A2935" s="20">
        <f>'[1]NOV 2024'!A68</f>
        <v>45606</v>
      </c>
      <c r="B2935" s="12" t="str">
        <f>'[1]NOV 2024'!B68</f>
        <v>Frauen</v>
      </c>
      <c r="C2935" s="3">
        <f>'[1]NOV 2024'!C68</f>
        <v>0</v>
      </c>
      <c r="D2935" s="3">
        <f>'[1]NOV 2024'!D68</f>
        <v>0</v>
      </c>
      <c r="E2935" s="4">
        <f>'[1]NOV 2024'!E68</f>
        <v>0</v>
      </c>
      <c r="F2935" s="6">
        <f>'[1]NOV 2024'!F68</f>
        <v>0</v>
      </c>
      <c r="G2935" s="4">
        <f>'[1]NOV 2024'!G68</f>
        <v>0</v>
      </c>
      <c r="H2935" s="4">
        <f>'[1]NOV 2024'!H68</f>
        <v>230</v>
      </c>
    </row>
    <row r="2936" spans="1:8" x14ac:dyDescent="0.2">
      <c r="A2936" s="23">
        <f>'[1]NOV 2024'!A79</f>
        <v>45608</v>
      </c>
      <c r="B2936" s="12" t="str">
        <f>'[1]NOV 2024'!B79</f>
        <v>Andere</v>
      </c>
      <c r="C2936" s="3">
        <f>'[1]NOV 2024'!C79</f>
        <v>0</v>
      </c>
      <c r="D2936" s="3">
        <f>'[1]NOV 2024'!D79</f>
        <v>0</v>
      </c>
      <c r="E2936" s="4">
        <f>'[1]NOV 2024'!E79</f>
        <v>0</v>
      </c>
      <c r="F2936" s="6">
        <f>'[1]NOV 2024'!F79</f>
        <v>0</v>
      </c>
      <c r="G2936" s="4">
        <f>'[1]NOV 2024'!G79</f>
        <v>0</v>
      </c>
      <c r="H2936" s="4">
        <f>'[1]NOV 2024'!H79</f>
        <v>1000</v>
      </c>
    </row>
    <row r="2937" spans="1:8" x14ac:dyDescent="0.2">
      <c r="A2937" s="20">
        <f>'[1]NOV 2024'!A86</f>
        <v>45609</v>
      </c>
      <c r="B2937" s="12" t="str">
        <f>'[1]NOV 2024'!B86</f>
        <v>Andere</v>
      </c>
      <c r="C2937" s="3">
        <f>'[1]NOV 2024'!C86</f>
        <v>0</v>
      </c>
      <c r="D2937" s="3">
        <f>'[1]NOV 2024'!D86</f>
        <v>0</v>
      </c>
      <c r="E2937" s="4">
        <f>'[1]NOV 2024'!E86</f>
        <v>0</v>
      </c>
      <c r="F2937" s="6">
        <f>'[1]NOV 2024'!F86</f>
        <v>0</v>
      </c>
      <c r="G2937" s="4">
        <f>'[1]NOV 2024'!G86</f>
        <v>0</v>
      </c>
      <c r="H2937" s="4">
        <f>'[1]NOV 2024'!H86</f>
        <v>1200</v>
      </c>
    </row>
    <row r="2938" spans="1:8" x14ac:dyDescent="0.2">
      <c r="A2938" s="23">
        <f>'[1]NOV 2024'!A87</f>
        <v>45609</v>
      </c>
      <c r="B2938" s="12" t="str">
        <f>'[1]NOV 2024'!B87</f>
        <v>Frauen</v>
      </c>
      <c r="C2938" s="3">
        <f>'[1]NOV 2024'!C87</f>
        <v>0</v>
      </c>
      <c r="D2938" s="3">
        <f>'[1]NOV 2024'!D87</f>
        <v>0</v>
      </c>
      <c r="E2938" s="4">
        <f>'[1]NOV 2024'!E87</f>
        <v>0</v>
      </c>
      <c r="F2938" s="6">
        <f>'[1]NOV 2024'!F87</f>
        <v>0</v>
      </c>
      <c r="G2938" s="4">
        <f>'[1]NOV 2024'!G87</f>
        <v>0</v>
      </c>
      <c r="H2938" s="4">
        <f>'[1]NOV 2024'!H87</f>
        <v>892</v>
      </c>
    </row>
    <row r="2939" spans="1:8" x14ac:dyDescent="0.2">
      <c r="A2939" s="23">
        <f>'[1]NOV 2024'!A93</f>
        <v>45610</v>
      </c>
      <c r="B2939" s="12" t="str">
        <f>'[1]NOV 2024'!B93</f>
        <v>none</v>
      </c>
      <c r="C2939" s="3">
        <f>'[1]NOV 2024'!C93</f>
        <v>0</v>
      </c>
      <c r="D2939" s="3">
        <f>'[1]NOV 2024'!D93</f>
        <v>0</v>
      </c>
      <c r="E2939" s="4">
        <f>'[1]NOV 2024'!E93</f>
        <v>0</v>
      </c>
      <c r="F2939" s="6">
        <f>'[1]NOV 2024'!F93</f>
        <v>0</v>
      </c>
      <c r="G2939" s="4">
        <f>'[1]NOV 2024'!G93</f>
        <v>0</v>
      </c>
      <c r="H2939" s="4">
        <f>'[1]NOV 2024'!H93</f>
        <v>10130</v>
      </c>
    </row>
    <row r="2940" spans="1:8" x14ac:dyDescent="0.2">
      <c r="A2940" s="20">
        <f>'[1]NOV 2024'!A114</f>
        <v>45613</v>
      </c>
      <c r="B2940" s="12" t="str">
        <f>'[1]NOV 2024'!B114</f>
        <v>rent</v>
      </c>
      <c r="C2940" s="3">
        <f>'[1]NOV 2024'!C114</f>
        <v>0</v>
      </c>
      <c r="D2940" s="3">
        <f>'[1]NOV 2024'!D114</f>
        <v>0</v>
      </c>
      <c r="E2940" s="4">
        <f>'[1]NOV 2024'!E114</f>
        <v>0</v>
      </c>
      <c r="F2940" s="6">
        <f>'[1]NOV 2024'!F114</f>
        <v>55050</v>
      </c>
      <c r="G2940" s="4">
        <f>'[1]NOV 2024'!G114</f>
        <v>0</v>
      </c>
      <c r="H2940" s="4">
        <f>'[1]NOV 2024'!H114</f>
        <v>0</v>
      </c>
    </row>
    <row r="2941" spans="1:8" x14ac:dyDescent="0.2">
      <c r="A2941" s="23">
        <f>'[1]NOV 2024'!A115</f>
        <v>45613</v>
      </c>
      <c r="B2941" s="12" t="str">
        <f>'[1]NOV 2024'!B115</f>
        <v>none</v>
      </c>
      <c r="C2941" s="3">
        <f>'[1]NOV 2024'!C115</f>
        <v>0</v>
      </c>
      <c r="D2941" s="3">
        <f>'[1]NOV 2024'!D115</f>
        <v>0</v>
      </c>
      <c r="E2941" s="4">
        <f>'[1]NOV 2024'!E115</f>
        <v>55000</v>
      </c>
      <c r="F2941" s="6">
        <f>'[1]NOV 2024'!F115</f>
        <v>0</v>
      </c>
      <c r="G2941" s="4">
        <f>'[1]NOV 2024'!G115</f>
        <v>0</v>
      </c>
      <c r="H2941" s="4">
        <f>'[1]NOV 2024'!H115</f>
        <v>55000</v>
      </c>
    </row>
    <row r="2942" spans="1:8" x14ac:dyDescent="0.2">
      <c r="A2942" s="23">
        <f>'[1]NOV 2024'!A149</f>
        <v>45618</v>
      </c>
      <c r="B2942" s="12" t="str">
        <f>'[1]NOV 2024'!B149</f>
        <v>Frauen</v>
      </c>
      <c r="C2942" s="3">
        <f>'[1]NOV 2024'!C149</f>
        <v>0</v>
      </c>
      <c r="D2942" s="3">
        <f>'[1]NOV 2024'!D149</f>
        <v>0</v>
      </c>
      <c r="E2942" s="4">
        <f>'[1]NOV 2024'!E149</f>
        <v>0</v>
      </c>
      <c r="F2942" s="6">
        <f>'[1]NOV 2024'!F149</f>
        <v>0</v>
      </c>
      <c r="G2942" s="4">
        <f>'[1]NOV 2024'!G149</f>
        <v>0</v>
      </c>
      <c r="H2942" s="4">
        <f>'[1]NOV 2024'!H149</f>
        <v>588</v>
      </c>
    </row>
    <row r="2943" spans="1:8" x14ac:dyDescent="0.2">
      <c r="A2943" s="23">
        <f>'[1]NOV 2024'!A157</f>
        <v>45619</v>
      </c>
      <c r="B2943" s="12" t="str">
        <f>'[1]NOV 2024'!B157</f>
        <v>Andere</v>
      </c>
      <c r="C2943" s="3">
        <f>'[1]NOV 2024'!C157</f>
        <v>0</v>
      </c>
      <c r="D2943" s="3">
        <f>'[1]NOV 2024'!D157</f>
        <v>0</v>
      </c>
      <c r="E2943" s="4">
        <f>'[1]NOV 2024'!E157</f>
        <v>0</v>
      </c>
      <c r="F2943" s="6">
        <f>'[1]NOV 2024'!F157</f>
        <v>0</v>
      </c>
      <c r="G2943" s="4">
        <f>'[1]NOV 2024'!G157</f>
        <v>0</v>
      </c>
      <c r="H2943" s="4">
        <f>'[1]NOV 2024'!H157</f>
        <v>8045.11</v>
      </c>
    </row>
    <row r="2944" spans="1:8" x14ac:dyDescent="0.2">
      <c r="A2944" s="20">
        <f>'[1]NOV 2024'!A158</f>
        <v>45619</v>
      </c>
      <c r="B2944" s="12" t="str">
        <f>'[1]NOV 2024'!B158</f>
        <v>VM</v>
      </c>
      <c r="C2944" s="3">
        <f>'[1]NOV 2024'!C158</f>
        <v>0</v>
      </c>
      <c r="D2944" s="3">
        <f>'[1]NOV 2024'!D158</f>
        <v>0</v>
      </c>
      <c r="E2944" s="4">
        <f>'[1]NOV 2024'!E158</f>
        <v>0</v>
      </c>
      <c r="F2944" s="6">
        <f>'[1]NOV 2024'!F158</f>
        <v>0</v>
      </c>
      <c r="G2944" s="4">
        <f>'[1]NOV 2024'!G158</f>
        <v>0</v>
      </c>
      <c r="H2944" s="4">
        <f>'[1]NOV 2024'!H158</f>
        <v>43.85</v>
      </c>
    </row>
    <row r="2945" spans="1:8" x14ac:dyDescent="0.2">
      <c r="A2945" s="20">
        <f>'[1]NOV 2024'!A160</f>
        <v>45619</v>
      </c>
      <c r="B2945" s="12" t="str">
        <f>'[1]NOV 2024'!B160</f>
        <v>LM</v>
      </c>
      <c r="C2945" s="3">
        <f>'[1]NOV 2024'!C160</f>
        <v>0</v>
      </c>
      <c r="D2945" s="3">
        <f>'[1]NOV 2024'!D160</f>
        <v>0</v>
      </c>
      <c r="E2945" s="4">
        <f>'[1]NOV 2024'!E160</f>
        <v>0</v>
      </c>
      <c r="F2945" s="6">
        <f>'[1]NOV 2024'!F160</f>
        <v>0</v>
      </c>
      <c r="G2945" s="4">
        <f>'[1]NOV 2024'!G160</f>
        <v>0</v>
      </c>
      <c r="H2945" s="4">
        <f>'[1]NOV 2024'!H160</f>
        <v>1011</v>
      </c>
    </row>
    <row r="2946" spans="1:8" x14ac:dyDescent="0.2">
      <c r="A2946" s="23">
        <f>'[1]NOV 2024'!A163</f>
        <v>45620</v>
      </c>
      <c r="B2946" s="12" t="str">
        <f>'[1]NOV 2024'!B163</f>
        <v>LM</v>
      </c>
      <c r="C2946" s="3">
        <f>'[1]NOV 2024'!C163</f>
        <v>0</v>
      </c>
      <c r="D2946" s="3">
        <f>'[1]NOV 2024'!D163</f>
        <v>0</v>
      </c>
      <c r="E2946" s="4">
        <f>'[1]NOV 2024'!E163</f>
        <v>0</v>
      </c>
      <c r="F2946" s="6">
        <f>'[1]NOV 2024'!F163</f>
        <v>0</v>
      </c>
      <c r="G2946" s="4">
        <f>'[1]NOV 2024'!G163</f>
        <v>0</v>
      </c>
      <c r="H2946" s="4">
        <f>'[1]NOV 2024'!H163</f>
        <v>2915.58</v>
      </c>
    </row>
    <row r="2947" spans="1:8" x14ac:dyDescent="0.2">
      <c r="A2947" s="20">
        <f>'[1]NOV 2024'!A170</f>
        <v>45621</v>
      </c>
      <c r="B2947" s="12" t="str">
        <f>'[1]NOV 2024'!B170</f>
        <v>Frauen</v>
      </c>
      <c r="C2947" s="3">
        <f>'[1]NOV 2024'!C170</f>
        <v>0</v>
      </c>
      <c r="D2947" s="3">
        <f>'[1]NOV 2024'!D170</f>
        <v>0</v>
      </c>
      <c r="E2947" s="4">
        <f>'[1]NOV 2024'!E170</f>
        <v>0</v>
      </c>
      <c r="F2947" s="6">
        <f>'[1]NOV 2024'!F170</f>
        <v>0</v>
      </c>
      <c r="G2947" s="4">
        <f>'[1]NOV 2024'!G170</f>
        <v>0</v>
      </c>
      <c r="H2947" s="4">
        <f>'[1]NOV 2024'!H170</f>
        <v>2625</v>
      </c>
    </row>
    <row r="2948" spans="1:8" x14ac:dyDescent="0.2">
      <c r="A2948" s="23">
        <f>'[1]NOV 2024'!A171</f>
        <v>45621</v>
      </c>
      <c r="B2948" s="12" t="str">
        <f>'[1]NOV 2024'!B171</f>
        <v>LM</v>
      </c>
      <c r="C2948" s="3">
        <f>'[1]NOV 2024'!C171</f>
        <v>0</v>
      </c>
      <c r="D2948" s="3">
        <f>'[1]NOV 2024'!D171</f>
        <v>0</v>
      </c>
      <c r="E2948" s="4">
        <f>'[1]NOV 2024'!E171</f>
        <v>0</v>
      </c>
      <c r="F2948" s="6">
        <f>'[1]NOV 2024'!F171</f>
        <v>0</v>
      </c>
      <c r="G2948" s="4">
        <f>'[1]NOV 2024'!G171</f>
        <v>0</v>
      </c>
      <c r="H2948" s="4">
        <f>'[1]NOV 2024'!H171</f>
        <v>219.98</v>
      </c>
    </row>
    <row r="2949" spans="1:8" x14ac:dyDescent="0.2">
      <c r="A2949" s="20">
        <f>'[1]NOV 2024'!A172</f>
        <v>45621</v>
      </c>
      <c r="B2949" s="12" t="str">
        <f>'[1]NOV 2024'!B172</f>
        <v>Refill</v>
      </c>
      <c r="C2949" s="3">
        <f>'[1]NOV 2024'!C172</f>
        <v>0</v>
      </c>
      <c r="D2949" s="3">
        <f>'[1]NOV 2024'!D172</f>
        <v>0</v>
      </c>
      <c r="E2949" s="4">
        <f>'[1]NOV 2024'!E172</f>
        <v>0</v>
      </c>
      <c r="F2949" s="6">
        <f>'[1]NOV 2024'!F172</f>
        <v>0</v>
      </c>
      <c r="G2949" s="4">
        <f>'[1]NOV 2024'!G172</f>
        <v>1512.93</v>
      </c>
      <c r="H2949" s="4">
        <f>'[1]NOV 2024'!H172</f>
        <v>0</v>
      </c>
    </row>
    <row r="2950" spans="1:8" x14ac:dyDescent="0.2">
      <c r="A2950" s="23">
        <f>'[1]NOV 2024'!A177</f>
        <v>45622</v>
      </c>
      <c r="B2950" s="12" t="str">
        <f>'[1]NOV 2024'!B177</f>
        <v>LM</v>
      </c>
      <c r="C2950" s="3">
        <f>'[1]NOV 2024'!C177</f>
        <v>0</v>
      </c>
      <c r="D2950" s="3">
        <f>'[1]NOV 2024'!D177</f>
        <v>0</v>
      </c>
      <c r="E2950" s="4">
        <f>'[1]NOV 2024'!E177</f>
        <v>0</v>
      </c>
      <c r="F2950" s="6">
        <f>'[1]NOV 2024'!F177</f>
        <v>0</v>
      </c>
      <c r="G2950" s="4">
        <f>'[1]NOV 2024'!G177</f>
        <v>0</v>
      </c>
      <c r="H2950" s="4">
        <f>'[1]NOV 2024'!H177</f>
        <v>1987.16</v>
      </c>
    </row>
    <row r="2951" spans="1:8" x14ac:dyDescent="0.2">
      <c r="A2951" s="20">
        <f>'[1]NOV 2024'!A178</f>
        <v>45622</v>
      </c>
      <c r="B2951" s="12" t="str">
        <f>'[1]NOV 2024'!B178</f>
        <v>Andere</v>
      </c>
      <c r="C2951" s="3">
        <f>'[1]NOV 2024'!C178</f>
        <v>0</v>
      </c>
      <c r="D2951" s="3">
        <f>'[1]NOV 2024'!D178</f>
        <v>0</v>
      </c>
      <c r="E2951" s="4">
        <f>'[1]NOV 2024'!E178</f>
        <v>0</v>
      </c>
      <c r="F2951" s="6">
        <f>'[1]NOV 2024'!F178</f>
        <v>0</v>
      </c>
      <c r="G2951" s="4">
        <f>'[1]NOV 2024'!G178</f>
        <v>0</v>
      </c>
      <c r="H2951" s="4">
        <f>'[1]NOV 2024'!H178</f>
        <v>756</v>
      </c>
    </row>
    <row r="2952" spans="1:8" x14ac:dyDescent="0.2">
      <c r="A2952" s="20">
        <f>'[1]NOV 2024'!A184</f>
        <v>45623</v>
      </c>
      <c r="B2952" s="12" t="str">
        <f>'[1]NOV 2024'!B184</f>
        <v>Frauen</v>
      </c>
      <c r="C2952" s="3">
        <f>'[1]NOV 2024'!C184</f>
        <v>0</v>
      </c>
      <c r="D2952" s="3">
        <f>'[1]NOV 2024'!D184</f>
        <v>0</v>
      </c>
      <c r="E2952" s="4">
        <f>'[1]NOV 2024'!E184</f>
        <v>0</v>
      </c>
      <c r="F2952" s="6">
        <f>'[1]NOV 2024'!F184</f>
        <v>0</v>
      </c>
      <c r="G2952" s="4">
        <f>'[1]NOV 2024'!G184</f>
        <v>0</v>
      </c>
      <c r="H2952" s="4">
        <f>'[1]NOV 2024'!H184</f>
        <v>1000</v>
      </c>
    </row>
    <row r="2953" spans="1:8" x14ac:dyDescent="0.2">
      <c r="A2953" s="23">
        <f>'[1]NOV 2024'!A185</f>
        <v>45623</v>
      </c>
      <c r="B2953" s="12" t="str">
        <f>'[1]NOV 2024'!B185</f>
        <v>VM</v>
      </c>
      <c r="C2953" s="3">
        <f>'[1]NOV 2024'!C185</f>
        <v>0</v>
      </c>
      <c r="D2953" s="3">
        <f>'[1]NOV 2024'!D185</f>
        <v>0</v>
      </c>
      <c r="E2953" s="4">
        <f>'[1]NOV 2024'!E185</f>
        <v>0</v>
      </c>
      <c r="F2953" s="6">
        <f>'[1]NOV 2024'!F185</f>
        <v>0</v>
      </c>
      <c r="G2953" s="4">
        <f>'[1]NOV 2024'!G185</f>
        <v>0</v>
      </c>
      <c r="H2953" s="4">
        <f>'[1]NOV 2024'!H185</f>
        <v>1062</v>
      </c>
    </row>
    <row r="2954" spans="1:8" x14ac:dyDescent="0.2">
      <c r="A2954" s="20">
        <f>'[1]NOV 2024'!A186</f>
        <v>45623</v>
      </c>
      <c r="B2954" s="12" t="str">
        <f>'[1]NOV 2024'!B186</f>
        <v>Andere</v>
      </c>
      <c r="C2954" s="3">
        <f>'[1]NOV 2024'!C186</f>
        <v>0</v>
      </c>
      <c r="D2954" s="3">
        <f>'[1]NOV 2024'!D186</f>
        <v>0</v>
      </c>
      <c r="E2954" s="4">
        <f>'[1]NOV 2024'!E186</f>
        <v>0</v>
      </c>
      <c r="F2954" s="6">
        <f>'[1]NOV 2024'!F186</f>
        <v>0</v>
      </c>
      <c r="G2954" s="4">
        <f>'[1]NOV 2024'!G186</f>
        <v>0</v>
      </c>
      <c r="H2954" s="4">
        <f>'[1]NOV 2024'!H186</f>
        <v>540</v>
      </c>
    </row>
    <row r="2955" spans="1:8" x14ac:dyDescent="0.2">
      <c r="A2955" s="23">
        <f>'[1]NOV 2024'!A187</f>
        <v>45623</v>
      </c>
      <c r="B2955" s="12" t="str">
        <f>'[1]NOV 2024'!B187</f>
        <v>LM</v>
      </c>
      <c r="C2955" s="3">
        <f>'[1]NOV 2024'!C187</f>
        <v>0</v>
      </c>
      <c r="D2955" s="3">
        <f>'[1]NOV 2024'!D187</f>
        <v>0</v>
      </c>
      <c r="E2955" s="4">
        <f>'[1]NOV 2024'!E187</f>
        <v>0</v>
      </c>
      <c r="F2955" s="6">
        <f>'[1]NOV 2024'!F187</f>
        <v>0</v>
      </c>
      <c r="G2955" s="4">
        <f>'[1]NOV 2024'!G187</f>
        <v>0</v>
      </c>
      <c r="H2955" s="4">
        <f>'[1]NOV 2024'!H187</f>
        <v>635</v>
      </c>
    </row>
    <row r="2956" spans="1:8" x14ac:dyDescent="0.2">
      <c r="A2956" s="23">
        <f>'[1]NOV 2024'!A191</f>
        <v>45624</v>
      </c>
      <c r="B2956" s="12" t="str">
        <f>'[1]NOV 2024'!B191</f>
        <v>VM</v>
      </c>
      <c r="C2956" s="3">
        <f>'[1]NOV 2024'!C191</f>
        <v>0</v>
      </c>
      <c r="D2956" s="3">
        <f>'[1]NOV 2024'!D191</f>
        <v>0</v>
      </c>
      <c r="E2956" s="4">
        <f>'[1]NOV 2024'!E191</f>
        <v>0</v>
      </c>
      <c r="F2956" s="6">
        <f>'[1]NOV 2024'!F191</f>
        <v>0</v>
      </c>
      <c r="G2956" s="4">
        <f>'[1]NOV 2024'!G191</f>
        <v>0</v>
      </c>
      <c r="H2956" s="4">
        <f>'[1]NOV 2024'!H191</f>
        <v>2362</v>
      </c>
    </row>
    <row r="2957" spans="1:8" x14ac:dyDescent="0.2">
      <c r="A2957" s="20">
        <f>'[1]NOV 2024'!A192</f>
        <v>45624</v>
      </c>
      <c r="B2957" s="12" t="str">
        <f>'[1]NOV 2024'!B192</f>
        <v>LM</v>
      </c>
      <c r="C2957" s="3">
        <f>'[1]NOV 2024'!C192</f>
        <v>0</v>
      </c>
      <c r="D2957" s="3">
        <f>'[1]NOV 2024'!D192</f>
        <v>0</v>
      </c>
      <c r="E2957" s="4">
        <f>'[1]NOV 2024'!E192</f>
        <v>0</v>
      </c>
      <c r="F2957" s="6">
        <f>'[1]NOV 2024'!F192</f>
        <v>0</v>
      </c>
      <c r="G2957" s="4">
        <f>'[1]NOV 2024'!G192</f>
        <v>0</v>
      </c>
      <c r="H2957" s="4">
        <f>'[1]NOV 2024'!H192</f>
        <v>1487.96</v>
      </c>
    </row>
    <row r="2958" spans="1:8" x14ac:dyDescent="0.2">
      <c r="A2958" s="23">
        <f>'[1]NOV 2024'!A193</f>
        <v>45624</v>
      </c>
      <c r="B2958" s="12" t="str">
        <f>'[1]NOV 2024'!B193</f>
        <v>Andere</v>
      </c>
      <c r="C2958" s="3">
        <f>'[1]NOV 2024'!C193</f>
        <v>0</v>
      </c>
      <c r="D2958" s="3">
        <f>'[1]NOV 2024'!D193</f>
        <v>0</v>
      </c>
      <c r="E2958" s="4">
        <f>'[1]NOV 2024'!E193</f>
        <v>0</v>
      </c>
      <c r="F2958" s="6">
        <f>'[1]NOV 2024'!F193</f>
        <v>0</v>
      </c>
      <c r="G2958" s="4">
        <f>'[1]NOV 2024'!G193</f>
        <v>0</v>
      </c>
      <c r="H2958" s="4">
        <f>'[1]NOV 2024'!H193</f>
        <v>4400</v>
      </c>
    </row>
    <row r="2959" spans="1:8" x14ac:dyDescent="0.2">
      <c r="A2959" s="20">
        <f>'[1]NOV 2024'!A194</f>
        <v>45624</v>
      </c>
      <c r="B2959" s="12" t="str">
        <f>'[1]NOV 2024'!B194</f>
        <v>Andere</v>
      </c>
      <c r="C2959" s="3">
        <f>'[1]NOV 2024'!C194</f>
        <v>0</v>
      </c>
      <c r="D2959" s="3">
        <f>'[1]NOV 2024'!D194</f>
        <v>400</v>
      </c>
      <c r="E2959" s="4">
        <f>'[1]NOV 2024'!E194</f>
        <v>0</v>
      </c>
      <c r="F2959" s="6">
        <f>'[1]NOV 2024'!F194</f>
        <v>0</v>
      </c>
      <c r="G2959" s="4">
        <f>'[1]NOV 2024'!G194</f>
        <v>0</v>
      </c>
      <c r="H2959" s="4">
        <f>'[1]NOV 2024'!H194</f>
        <v>808</v>
      </c>
    </row>
    <row r="2960" spans="1:8" x14ac:dyDescent="0.2">
      <c r="A2960" s="20">
        <f>'[1]NOV 2024'!A198</f>
        <v>45625</v>
      </c>
      <c r="B2960" s="12" t="str">
        <f>'[1]NOV 2024'!B198</f>
        <v>Andere</v>
      </c>
      <c r="C2960" s="3">
        <f>'[1]NOV 2024'!C198</f>
        <v>0</v>
      </c>
      <c r="D2960" s="3">
        <f>'[1]NOV 2024'!D198</f>
        <v>0</v>
      </c>
      <c r="E2960" s="4">
        <f>'[1]NOV 2024'!E198</f>
        <v>0</v>
      </c>
      <c r="F2960" s="6">
        <f>'[1]NOV 2024'!F198</f>
        <v>0</v>
      </c>
      <c r="G2960" s="4">
        <f>'[1]NOV 2024'!G198</f>
        <v>0</v>
      </c>
      <c r="H2960" s="4">
        <f>'[1]NOV 2024'!H198</f>
        <v>329</v>
      </c>
    </row>
    <row r="2961" spans="1:8" x14ac:dyDescent="0.2">
      <c r="A2961" s="23">
        <f>'[1]NOV 2024'!A199</f>
        <v>45625</v>
      </c>
      <c r="B2961" s="12" t="str">
        <f>'[1]NOV 2024'!B199</f>
        <v>VM</v>
      </c>
      <c r="C2961" s="3">
        <f>'[1]NOV 2024'!C199</f>
        <v>0</v>
      </c>
      <c r="D2961" s="3">
        <f>'[1]NOV 2024'!D199</f>
        <v>0</v>
      </c>
      <c r="E2961" s="4">
        <f>'[1]NOV 2024'!E199</f>
        <v>0</v>
      </c>
      <c r="F2961" s="6">
        <f>'[1]NOV 2024'!F199</f>
        <v>0</v>
      </c>
      <c r="G2961" s="4">
        <f>'[1]NOV 2024'!G199</f>
        <v>0</v>
      </c>
      <c r="H2961" s="4">
        <f>'[1]NOV 2024'!H199</f>
        <v>136</v>
      </c>
    </row>
    <row r="2962" spans="1:8" x14ac:dyDescent="0.2">
      <c r="A2962" s="23">
        <f>'[1]NOV 2024'!A205</f>
        <v>45626</v>
      </c>
      <c r="B2962" s="12" t="str">
        <f>'[1]NOV 2024'!B205</f>
        <v>VM</v>
      </c>
      <c r="C2962" s="3">
        <f>'[1]NOV 2024'!C205</f>
        <v>0</v>
      </c>
      <c r="D2962" s="3">
        <f>'[1]NOV 2024'!D205</f>
        <v>0</v>
      </c>
      <c r="E2962" s="4">
        <f>'[1]NOV 2024'!E205</f>
        <v>0</v>
      </c>
      <c r="F2962" s="6">
        <f>'[1]NOV 2024'!F205</f>
        <v>0</v>
      </c>
      <c r="G2962" s="4">
        <f>'[1]NOV 2024'!G205</f>
        <v>0</v>
      </c>
      <c r="H2962" s="4">
        <f>'[1]NOV 2024'!H205</f>
        <v>550</v>
      </c>
    </row>
    <row r="2963" spans="1:8" x14ac:dyDescent="0.2">
      <c r="A2963" s="20">
        <f>'[1]NOV 2024'!A206</f>
        <v>45626</v>
      </c>
      <c r="B2963" s="12" t="str">
        <f>'[1]NOV 2024'!B206</f>
        <v>Rauchen</v>
      </c>
      <c r="C2963" s="3">
        <f>'[1]NOV 2024'!C206</f>
        <v>0</v>
      </c>
      <c r="D2963" s="3">
        <f>'[1]NOV 2024'!D206</f>
        <v>0</v>
      </c>
      <c r="E2963" s="4">
        <f>'[1]NOV 2024'!E206</f>
        <v>0</v>
      </c>
      <c r="F2963" s="6">
        <f>'[1]NOV 2024'!F206</f>
        <v>0</v>
      </c>
      <c r="G2963" s="4">
        <f>'[1]NOV 2024'!G206</f>
        <v>0</v>
      </c>
      <c r="H2963" s="4">
        <f>'[1]NOV 2024'!H206</f>
        <v>1499</v>
      </c>
    </row>
    <row r="2964" spans="1:8" x14ac:dyDescent="0.2">
      <c r="A2964" s="23">
        <f>'[1]NOV 2024'!A207</f>
        <v>45626</v>
      </c>
      <c r="B2964" s="12" t="str">
        <f>'[1]NOV 2024'!B207</f>
        <v>LM</v>
      </c>
      <c r="C2964" s="3">
        <f>'[1]NOV 2024'!C207</f>
        <v>0</v>
      </c>
      <c r="D2964" s="3">
        <f>'[1]NOV 2024'!D207</f>
        <v>0</v>
      </c>
      <c r="E2964" s="4">
        <f>'[1]NOV 2024'!E207</f>
        <v>0</v>
      </c>
      <c r="F2964" s="6">
        <f>'[1]NOV 2024'!F207</f>
        <v>0</v>
      </c>
      <c r="G2964" s="4">
        <f>'[1]NOV 2024'!G207</f>
        <v>0</v>
      </c>
      <c r="H2964" s="4">
        <f>'[1]NOV 2024'!H207</f>
        <v>725</v>
      </c>
    </row>
    <row r="2965" spans="1:8" x14ac:dyDescent="0.2">
      <c r="A2965" s="20">
        <f>'[1]NOV 2024'!A208</f>
        <v>45626</v>
      </c>
      <c r="B2965" s="12" t="str">
        <f>'[1]NOV 2024'!B208</f>
        <v>Refill</v>
      </c>
      <c r="C2965" s="3">
        <f>'[1]NOV 2024'!C208</f>
        <v>0</v>
      </c>
      <c r="D2965" s="3">
        <f>'[1]NOV 2024'!D208</f>
        <v>0</v>
      </c>
      <c r="E2965" s="4">
        <f>'[1]NOV 2024'!E208</f>
        <v>0</v>
      </c>
      <c r="F2965" s="6">
        <f>'[1]NOV 2024'!F208</f>
        <v>0</v>
      </c>
      <c r="G2965" s="4">
        <f>'[1]NOV 2024'!G208</f>
        <v>28900</v>
      </c>
      <c r="H2965" s="4">
        <f>'[1]NOV 2024'!H208</f>
        <v>0</v>
      </c>
    </row>
    <row r="2966" spans="1:8" x14ac:dyDescent="0.2">
      <c r="A2966" s="20">
        <f>'[1]DEC 2024'!A2</f>
        <v>45627</v>
      </c>
      <c r="B2966" s="12" t="str">
        <f>'[1]DEC 2024'!B2</f>
        <v>LM</v>
      </c>
      <c r="C2966" s="3">
        <f>'[1]DEC 2024'!C2</f>
        <v>0</v>
      </c>
      <c r="D2966" s="3">
        <f>'[1]DEC 2024'!D2</f>
        <v>0</v>
      </c>
      <c r="E2966" s="4">
        <f>'[1]DEC 2024'!E2</f>
        <v>0</v>
      </c>
      <c r="F2966" s="6">
        <f>'[1]DEC 2024'!F2</f>
        <v>0</v>
      </c>
      <c r="G2966" s="4">
        <f>'[1]DEC 2024'!G2</f>
        <v>0</v>
      </c>
      <c r="H2966" s="4">
        <f>'[1]DEC 2024'!H2</f>
        <v>466</v>
      </c>
    </row>
    <row r="2967" spans="1:8" x14ac:dyDescent="0.2">
      <c r="A2967" s="20">
        <f>'[1]DEC 2024'!A4</f>
        <v>45627</v>
      </c>
      <c r="B2967" s="12" t="str">
        <f>'[1]DEC 2024'!B4</f>
        <v>Andere</v>
      </c>
      <c r="C2967" s="3">
        <f>'[1]DEC 2024'!C4</f>
        <v>0</v>
      </c>
      <c r="D2967" s="3">
        <f>'[1]DEC 2024'!D4</f>
        <v>0</v>
      </c>
      <c r="E2967" s="4">
        <f>'[1]DEC 2024'!E4</f>
        <v>0</v>
      </c>
      <c r="F2967" s="6">
        <f>'[1]DEC 2024'!F4</f>
        <v>0</v>
      </c>
      <c r="G2967" s="4">
        <f>'[1]DEC 2024'!G4</f>
        <v>0</v>
      </c>
      <c r="H2967" s="4">
        <f>'[1]DEC 2024'!H4</f>
        <v>2839</v>
      </c>
    </row>
    <row r="2968" spans="1:8" x14ac:dyDescent="0.2">
      <c r="A2968" s="23">
        <f>'[1]DEC 2024'!A9</f>
        <v>45628</v>
      </c>
      <c r="B2968" s="12" t="str">
        <f>'[1]DEC 2024'!B9</f>
        <v>Education</v>
      </c>
      <c r="C2968" s="3">
        <f>'[1]DEC 2024'!C9</f>
        <v>0</v>
      </c>
      <c r="D2968" s="3">
        <f>'[1]DEC 2024'!D9</f>
        <v>0</v>
      </c>
      <c r="E2968" s="4">
        <f>'[1]DEC 2024'!E9</f>
        <v>0</v>
      </c>
      <c r="F2968" s="6">
        <f>'[1]DEC 2024'!F9</f>
        <v>0</v>
      </c>
      <c r="G2968" s="4">
        <f>'[1]DEC 2024'!G9</f>
        <v>0</v>
      </c>
      <c r="H2968" s="4">
        <f>'[1]DEC 2024'!H9</f>
        <v>9600</v>
      </c>
    </row>
    <row r="2969" spans="1:8" x14ac:dyDescent="0.2">
      <c r="A2969" s="20">
        <f>'[1]DEC 2024'!A16</f>
        <v>45629</v>
      </c>
      <c r="B2969" s="12" t="str">
        <f>'[1]DEC 2024'!B16</f>
        <v>Refill</v>
      </c>
      <c r="C2969" s="3">
        <f>'[1]DEC 2024'!C16</f>
        <v>0</v>
      </c>
      <c r="D2969" s="3">
        <f>'[1]DEC 2024'!D16</f>
        <v>0</v>
      </c>
      <c r="E2969" s="4">
        <f>'[1]DEC 2024'!E16</f>
        <v>0</v>
      </c>
      <c r="F2969" s="6">
        <f>'[1]DEC 2024'!F16</f>
        <v>0</v>
      </c>
      <c r="G2969" s="4">
        <f>'[1]DEC 2024'!G16</f>
        <v>9602.0499999999993</v>
      </c>
      <c r="H2969" s="4">
        <f>'[1]DEC 2024'!H16</f>
        <v>0</v>
      </c>
    </row>
    <row r="2970" spans="1:8" x14ac:dyDescent="0.2">
      <c r="A2970" s="23">
        <f>'[1]DEC 2024'!A17</f>
        <v>45629</v>
      </c>
      <c r="B2970" s="12" t="str">
        <f>'[1]DEC 2024'!B17</f>
        <v>Andere</v>
      </c>
      <c r="C2970" s="3">
        <f>'[1]DEC 2024'!C17</f>
        <v>0</v>
      </c>
      <c r="D2970" s="3">
        <f>'[1]DEC 2024'!D17</f>
        <v>0</v>
      </c>
      <c r="E2970" s="4">
        <f>'[1]DEC 2024'!E17</f>
        <v>0</v>
      </c>
      <c r="F2970" s="6">
        <f>'[1]DEC 2024'!F17</f>
        <v>0</v>
      </c>
      <c r="G2970" s="4">
        <f>'[1]DEC 2024'!G17</f>
        <v>0</v>
      </c>
      <c r="H2970" s="4">
        <f>'[1]DEC 2024'!H17</f>
        <v>3340</v>
      </c>
    </row>
    <row r="2971" spans="1:8" x14ac:dyDescent="0.2">
      <c r="A2971" s="20">
        <f>'[1]DEC 2024'!A18</f>
        <v>45629</v>
      </c>
      <c r="B2971" s="12" t="str">
        <f>'[1]DEC 2024'!B18</f>
        <v>Andere</v>
      </c>
      <c r="C2971" s="3">
        <f>'[1]DEC 2024'!C18</f>
        <v>0</v>
      </c>
      <c r="D2971" s="3">
        <f>'[1]DEC 2024'!D18</f>
        <v>0</v>
      </c>
      <c r="E2971" s="4">
        <f>'[1]DEC 2024'!E18</f>
        <v>0</v>
      </c>
      <c r="F2971" s="6">
        <f>'[1]DEC 2024'!F18</f>
        <v>0</v>
      </c>
      <c r="G2971" s="4">
        <f>'[1]DEC 2024'!G18</f>
        <v>0</v>
      </c>
      <c r="H2971" s="4">
        <f>'[1]DEC 2024'!H18</f>
        <v>500</v>
      </c>
    </row>
    <row r="2972" spans="1:8" x14ac:dyDescent="0.2">
      <c r="A2972" s="23">
        <f>'[1]DEC 2024'!A23</f>
        <v>45630</v>
      </c>
      <c r="B2972" s="12" t="str">
        <f>'[1]DEC 2024'!B23</f>
        <v>Andere</v>
      </c>
      <c r="C2972" s="3">
        <f>'[1]DEC 2024'!C23</f>
        <v>0</v>
      </c>
      <c r="D2972" s="3">
        <f>'[1]DEC 2024'!D23</f>
        <v>0</v>
      </c>
      <c r="E2972" s="4">
        <f>'[1]DEC 2024'!E23</f>
        <v>0</v>
      </c>
      <c r="F2972" s="6">
        <f>'[1]DEC 2024'!F23</f>
        <v>0</v>
      </c>
      <c r="G2972" s="4">
        <f>'[1]DEC 2024'!G23</f>
        <v>0</v>
      </c>
      <c r="H2972" s="4">
        <f>'[1]DEC 2024'!H23</f>
        <v>379</v>
      </c>
    </row>
    <row r="2973" spans="1:8" x14ac:dyDescent="0.2">
      <c r="A2973" s="20">
        <f>'[1]DEC 2024'!A24</f>
        <v>45630</v>
      </c>
      <c r="B2973" s="12" t="str">
        <f>'[1]DEC 2024'!B24</f>
        <v>LM</v>
      </c>
      <c r="C2973" s="3">
        <f>'[1]DEC 2024'!C24</f>
        <v>0</v>
      </c>
      <c r="D2973" s="3">
        <f>'[1]DEC 2024'!D24</f>
        <v>0</v>
      </c>
      <c r="E2973" s="4">
        <f>'[1]DEC 2024'!E24</f>
        <v>0</v>
      </c>
      <c r="F2973" s="6">
        <f>'[1]DEC 2024'!F24</f>
        <v>0</v>
      </c>
      <c r="G2973" s="4">
        <f>'[1]DEC 2024'!G24</f>
        <v>0</v>
      </c>
      <c r="H2973" s="4">
        <f>'[1]DEC 2024'!H24</f>
        <v>668.55</v>
      </c>
    </row>
    <row r="2974" spans="1:8" x14ac:dyDescent="0.2">
      <c r="A2974" s="23">
        <f>'[1]DEC 2024'!A25</f>
        <v>45630</v>
      </c>
      <c r="B2974" s="12" t="str">
        <f>'[1]DEC 2024'!B25</f>
        <v>Refill</v>
      </c>
      <c r="C2974" s="3">
        <f>'[1]DEC 2024'!C25</f>
        <v>0</v>
      </c>
      <c r="D2974" s="3">
        <f>'[1]DEC 2024'!D25</f>
        <v>0</v>
      </c>
      <c r="E2974" s="4">
        <f>'[1]DEC 2024'!E25</f>
        <v>0</v>
      </c>
      <c r="F2974" s="6">
        <f>'[1]DEC 2024'!F25</f>
        <v>0</v>
      </c>
      <c r="G2974" s="4">
        <f>'[1]DEC 2024'!G25</f>
        <v>400</v>
      </c>
      <c r="H2974" s="4">
        <f>'[1]DEC 2024'!H25</f>
        <v>0</v>
      </c>
    </row>
    <row r="2975" spans="1:8" x14ac:dyDescent="0.2">
      <c r="A2975" s="20">
        <f>'[1]DEC 2024'!A26</f>
        <v>45630</v>
      </c>
      <c r="B2975" s="12" t="str">
        <f>'[1]DEC 2024'!B26</f>
        <v>Frauen</v>
      </c>
      <c r="C2975" s="3">
        <f>'[1]DEC 2024'!C26</f>
        <v>0</v>
      </c>
      <c r="D2975" s="3">
        <f>'[1]DEC 2024'!D26</f>
        <v>0</v>
      </c>
      <c r="E2975" s="4">
        <f>'[1]DEC 2024'!E26</f>
        <v>0</v>
      </c>
      <c r="F2975" s="6">
        <f>'[1]DEC 2024'!F26</f>
        <v>0</v>
      </c>
      <c r="G2975" s="4">
        <f>'[1]DEC 2024'!G26</f>
        <v>0</v>
      </c>
      <c r="H2975" s="4">
        <f>'[1]DEC 2024'!H26</f>
        <v>438</v>
      </c>
    </row>
    <row r="2976" spans="1:8" x14ac:dyDescent="0.2">
      <c r="A2976" s="23">
        <f>'[1]DEC 2024'!A37</f>
        <v>45632</v>
      </c>
      <c r="B2976" s="12" t="str">
        <f>'[1]DEC 2024'!B37</f>
        <v>Andere</v>
      </c>
      <c r="C2976" s="3">
        <f>'[1]DEC 2024'!C37</f>
        <v>0</v>
      </c>
      <c r="D2976" s="3">
        <f>'[1]DEC 2024'!D37</f>
        <v>0</v>
      </c>
      <c r="E2976" s="4">
        <f>'[1]DEC 2024'!E37</f>
        <v>0</v>
      </c>
      <c r="F2976" s="6">
        <f>'[1]DEC 2024'!F37</f>
        <v>0</v>
      </c>
      <c r="G2976" s="4">
        <f>'[1]DEC 2024'!G37</f>
        <v>0</v>
      </c>
      <c r="H2976" s="4">
        <f>'[1]DEC 2024'!H37</f>
        <v>513.44000000000005</v>
      </c>
    </row>
    <row r="2977" spans="1:8" x14ac:dyDescent="0.2">
      <c r="A2977" s="20">
        <f>'[1]DEC 2024'!A44</f>
        <v>45633</v>
      </c>
      <c r="B2977" s="12" t="str">
        <f>'[1]DEC 2024'!B44</f>
        <v>Frauen</v>
      </c>
      <c r="C2977" s="3">
        <f>'[1]DEC 2024'!C44</f>
        <v>0</v>
      </c>
      <c r="D2977" s="3">
        <f>'[1]DEC 2024'!D44</f>
        <v>0</v>
      </c>
      <c r="E2977" s="4">
        <f>'[1]DEC 2024'!E44</f>
        <v>0</v>
      </c>
      <c r="F2977" s="6">
        <f>'[1]DEC 2024'!F44</f>
        <v>0</v>
      </c>
      <c r="G2977" s="4">
        <f>'[1]DEC 2024'!G44</f>
        <v>0</v>
      </c>
      <c r="H2977" s="4">
        <f>'[1]DEC 2024'!H44</f>
        <v>1035</v>
      </c>
    </row>
    <row r="2978" spans="1:8" x14ac:dyDescent="0.2">
      <c r="A2978" s="23">
        <f>'[1]DEC 2024'!A45</f>
        <v>45633</v>
      </c>
      <c r="B2978" s="12" t="str">
        <f>'[1]DEC 2024'!B45</f>
        <v>Andere</v>
      </c>
      <c r="C2978" s="3">
        <f>'[1]DEC 2024'!C45</f>
        <v>0</v>
      </c>
      <c r="D2978" s="3">
        <f>'[1]DEC 2024'!D45</f>
        <v>0</v>
      </c>
      <c r="E2978" s="4">
        <f>'[1]DEC 2024'!E45</f>
        <v>0</v>
      </c>
      <c r="F2978" s="6">
        <f>'[1]DEC 2024'!F45</f>
        <v>0</v>
      </c>
      <c r="G2978" s="4">
        <f>'[1]DEC 2024'!G45</f>
        <v>0</v>
      </c>
      <c r="H2978" s="4">
        <f>'[1]DEC 2024'!H45</f>
        <v>970</v>
      </c>
    </row>
    <row r="2979" spans="1:8" x14ac:dyDescent="0.2">
      <c r="A2979" s="20">
        <f>'[1]DEC 2024'!A46</f>
        <v>45633</v>
      </c>
      <c r="B2979" s="12" t="str">
        <f>'[1]DEC 2024'!B46</f>
        <v>Andere</v>
      </c>
      <c r="C2979" s="3">
        <f>'[1]DEC 2024'!C46</f>
        <v>0</v>
      </c>
      <c r="D2979" s="3">
        <f>'[1]DEC 2024'!D46</f>
        <v>0</v>
      </c>
      <c r="E2979" s="4">
        <f>'[1]DEC 2024'!E46</f>
        <v>0</v>
      </c>
      <c r="F2979" s="6">
        <f>'[1]DEC 2024'!F46</f>
        <v>0</v>
      </c>
      <c r="G2979" s="4">
        <f>'[1]DEC 2024'!G46</f>
        <v>0</v>
      </c>
      <c r="H2979" s="4">
        <f>'[1]DEC 2024'!H46</f>
        <v>4000</v>
      </c>
    </row>
    <row r="2980" spans="1:8" x14ac:dyDescent="0.2">
      <c r="A2980" s="23">
        <f>'[1]DEC 2024'!A51</f>
        <v>45634</v>
      </c>
      <c r="B2980" s="12" t="str">
        <f>'[1]DEC 2024'!B51</f>
        <v>VM</v>
      </c>
      <c r="C2980" s="3">
        <f>'[1]DEC 2024'!C51</f>
        <v>0</v>
      </c>
      <c r="D2980" s="3">
        <f>'[1]DEC 2024'!D51</f>
        <v>0</v>
      </c>
      <c r="E2980" s="4">
        <f>'[1]DEC 2024'!E51</f>
        <v>0</v>
      </c>
      <c r="F2980" s="6">
        <f>'[1]DEC 2024'!F51</f>
        <v>0</v>
      </c>
      <c r="G2980" s="4">
        <f>'[1]DEC 2024'!G51</f>
        <v>0</v>
      </c>
      <c r="H2980" s="4">
        <f>'[1]DEC 2024'!H51</f>
        <v>21663</v>
      </c>
    </row>
    <row r="2981" spans="1:8" x14ac:dyDescent="0.2">
      <c r="A2981" s="20">
        <f>'[1]DEC 2024'!A52</f>
        <v>45634</v>
      </c>
      <c r="B2981" s="12" t="str">
        <f>'[1]DEC 2024'!B52</f>
        <v>LM</v>
      </c>
      <c r="C2981" s="3">
        <f>'[1]DEC 2024'!C52</f>
        <v>0</v>
      </c>
      <c r="D2981" s="3">
        <f>'[1]DEC 2024'!D52</f>
        <v>0</v>
      </c>
      <c r="E2981" s="4">
        <f>'[1]DEC 2024'!E52</f>
        <v>0</v>
      </c>
      <c r="F2981" s="6">
        <f>'[1]DEC 2024'!F52</f>
        <v>0</v>
      </c>
      <c r="G2981" s="4">
        <f>'[1]DEC 2024'!G52</f>
        <v>0</v>
      </c>
      <c r="H2981" s="4">
        <f>'[1]DEC 2024'!H52</f>
        <v>350</v>
      </c>
    </row>
    <row r="2982" spans="1:8" x14ac:dyDescent="0.2">
      <c r="A2982" s="23">
        <f>'[1]DEC 2024'!A53</f>
        <v>45634</v>
      </c>
      <c r="B2982" s="12" t="str">
        <f>'[1]DEC 2024'!B53</f>
        <v>VM</v>
      </c>
      <c r="C2982" s="3">
        <f>'[1]DEC 2024'!C53</f>
        <v>0</v>
      </c>
      <c r="D2982" s="3">
        <f>'[1]DEC 2024'!D53</f>
        <v>0</v>
      </c>
      <c r="E2982" s="4">
        <f>'[1]DEC 2024'!E53</f>
        <v>0</v>
      </c>
      <c r="F2982" s="6">
        <f>'[1]DEC 2024'!F53</f>
        <v>0</v>
      </c>
      <c r="G2982" s="4">
        <f>'[1]DEC 2024'!G53</f>
        <v>0</v>
      </c>
      <c r="H2982" s="4">
        <f>'[1]DEC 2024'!H53</f>
        <v>1443</v>
      </c>
    </row>
    <row r="2983" spans="1:8" x14ac:dyDescent="0.2">
      <c r="A2983" s="20">
        <f>'[1]DEC 2024'!A54</f>
        <v>45634</v>
      </c>
      <c r="B2983" s="12" t="str">
        <f>'[1]DEC 2024'!B54</f>
        <v>LM</v>
      </c>
      <c r="C2983" s="3">
        <f>'[1]DEC 2024'!C54</f>
        <v>0</v>
      </c>
      <c r="D2983" s="3">
        <f>'[1]DEC 2024'!D54</f>
        <v>0</v>
      </c>
      <c r="E2983" s="4">
        <f>'[1]DEC 2024'!E54</f>
        <v>0</v>
      </c>
      <c r="F2983" s="6">
        <f>'[1]DEC 2024'!F54</f>
        <v>0</v>
      </c>
      <c r="G2983" s="4">
        <f>'[1]DEC 2024'!G54</f>
        <v>0</v>
      </c>
      <c r="H2983" s="4">
        <f>'[1]DEC 2024'!H54</f>
        <v>1289</v>
      </c>
    </row>
    <row r="2984" spans="1:8" x14ac:dyDescent="0.2">
      <c r="A2984" s="20">
        <f>'[1]DEC 2024'!A58</f>
        <v>45635</v>
      </c>
      <c r="B2984" s="12" t="str">
        <f>'[1]DEC 2024'!B58</f>
        <v>LM</v>
      </c>
      <c r="C2984" s="3">
        <f>'[1]DEC 2024'!C58</f>
        <v>0</v>
      </c>
      <c r="D2984" s="3">
        <f>'[1]DEC 2024'!D58</f>
        <v>0</v>
      </c>
      <c r="E2984" s="4">
        <f>'[1]DEC 2024'!E58</f>
        <v>0</v>
      </c>
      <c r="F2984" s="6">
        <f>'[1]DEC 2024'!F58</f>
        <v>0</v>
      </c>
      <c r="G2984" s="4">
        <f>'[1]DEC 2024'!G58</f>
        <v>0</v>
      </c>
      <c r="H2984" s="4">
        <f>'[1]DEC 2024'!H58</f>
        <v>5036.13</v>
      </c>
    </row>
    <row r="2985" spans="1:8" x14ac:dyDescent="0.2">
      <c r="A2985" s="23">
        <f>'[1]DEC 2024'!A59</f>
        <v>45635</v>
      </c>
      <c r="B2985" s="12" t="str">
        <f>'[1]DEC 2024'!B59</f>
        <v>VM</v>
      </c>
      <c r="C2985" s="3">
        <f>'[1]DEC 2024'!C59</f>
        <v>0</v>
      </c>
      <c r="D2985" s="3">
        <f>'[1]DEC 2024'!D59</f>
        <v>0</v>
      </c>
      <c r="E2985" s="4">
        <f>'[1]DEC 2024'!E59</f>
        <v>0</v>
      </c>
      <c r="F2985" s="6">
        <f>'[1]DEC 2024'!F59</f>
        <v>0</v>
      </c>
      <c r="G2985" s="4">
        <f>'[1]DEC 2024'!G59</f>
        <v>0</v>
      </c>
      <c r="H2985" s="4">
        <f>'[1]DEC 2024'!H59</f>
        <v>128</v>
      </c>
    </row>
    <row r="2986" spans="1:8" x14ac:dyDescent="0.2">
      <c r="A2986" s="23">
        <f>'[1]DEC 2024'!A65</f>
        <v>45636</v>
      </c>
      <c r="B2986" s="12" t="str">
        <f>'[1]DEC 2024'!B65</f>
        <v>Frauen</v>
      </c>
      <c r="C2986" s="3">
        <f>'[1]DEC 2024'!C65</f>
        <v>0</v>
      </c>
      <c r="D2986" s="3">
        <f>'[1]DEC 2024'!D65</f>
        <v>0</v>
      </c>
      <c r="E2986" s="4">
        <f>'[1]DEC 2024'!E65</f>
        <v>0</v>
      </c>
      <c r="F2986" s="6">
        <f>'[1]DEC 2024'!F65</f>
        <v>0</v>
      </c>
      <c r="G2986" s="4">
        <f>'[1]DEC 2024'!G65</f>
        <v>0</v>
      </c>
      <c r="H2986" s="4">
        <f>'[1]DEC 2024'!H65</f>
        <v>1880</v>
      </c>
    </row>
    <row r="2987" spans="1:8" x14ac:dyDescent="0.2">
      <c r="A2987" s="20">
        <f>'[1]DEC 2024'!A66</f>
        <v>45636</v>
      </c>
      <c r="B2987" s="12" t="str">
        <f>'[1]DEC 2024'!B66</f>
        <v>Refill</v>
      </c>
      <c r="C2987" s="3">
        <f>'[1]DEC 2024'!C66</f>
        <v>0</v>
      </c>
      <c r="D2987" s="3">
        <f>'[1]DEC 2024'!D66</f>
        <v>0</v>
      </c>
      <c r="E2987" s="4">
        <f>'[1]DEC 2024'!E66</f>
        <v>0</v>
      </c>
      <c r="F2987" s="6">
        <f>'[1]DEC 2024'!F66</f>
        <v>0</v>
      </c>
      <c r="G2987" s="4">
        <f>'[1]DEC 2024'!G66</f>
        <v>220110</v>
      </c>
      <c r="H2987" s="4">
        <f>'[1]DEC 2024'!H66</f>
        <v>0</v>
      </c>
    </row>
    <row r="2988" spans="1:8" x14ac:dyDescent="0.2">
      <c r="A2988" s="23">
        <f>'[1]DEC 2024'!A67</f>
        <v>45636</v>
      </c>
      <c r="B2988" s="12" t="str">
        <f>'[1]DEC 2024'!B67</f>
        <v>LM</v>
      </c>
      <c r="C2988" s="3">
        <f>'[1]DEC 2024'!C67</f>
        <v>0</v>
      </c>
      <c r="D2988" s="3">
        <f>'[1]DEC 2024'!D67</f>
        <v>0</v>
      </c>
      <c r="E2988" s="4">
        <f>'[1]DEC 2024'!E67</f>
        <v>0</v>
      </c>
      <c r="F2988" s="6">
        <f>'[1]DEC 2024'!F67</f>
        <v>0</v>
      </c>
      <c r="G2988" s="4">
        <f>'[1]DEC 2024'!G67</f>
        <v>0</v>
      </c>
      <c r="H2988" s="4">
        <f>'[1]DEC 2024'!H67</f>
        <v>425.98</v>
      </c>
    </row>
    <row r="2989" spans="1:8" x14ac:dyDescent="0.2">
      <c r="A2989" s="20">
        <f>'[1]DEC 2024'!A72</f>
        <v>45637</v>
      </c>
      <c r="B2989" s="12" t="str">
        <f>'[1]DEC 2024'!B72</f>
        <v>LM</v>
      </c>
      <c r="C2989" s="3">
        <f>'[1]DEC 2024'!C72</f>
        <v>0</v>
      </c>
      <c r="D2989" s="3">
        <f>'[1]DEC 2024'!D72</f>
        <v>0</v>
      </c>
      <c r="E2989" s="4">
        <f>'[1]DEC 2024'!E72</f>
        <v>0</v>
      </c>
      <c r="F2989" s="6">
        <f>'[1]DEC 2024'!F72</f>
        <v>0</v>
      </c>
      <c r="G2989" s="4">
        <f>'[1]DEC 2024'!G72</f>
        <v>0</v>
      </c>
      <c r="H2989" s="4">
        <f>'[1]DEC 2024'!H72</f>
        <v>838.93</v>
      </c>
    </row>
    <row r="2990" spans="1:8" x14ac:dyDescent="0.2">
      <c r="A2990" s="23">
        <f>'[1]DEC 2024'!A79</f>
        <v>45638</v>
      </c>
      <c r="B2990" s="12" t="str">
        <f>'[1]DEC 2024'!B79</f>
        <v>VM</v>
      </c>
      <c r="C2990" s="3">
        <f>'[1]DEC 2024'!C79</f>
        <v>0</v>
      </c>
      <c r="D2990" s="3">
        <f>'[1]DEC 2024'!D79</f>
        <v>0</v>
      </c>
      <c r="E2990" s="4">
        <f>'[1]DEC 2024'!E79</f>
        <v>0</v>
      </c>
      <c r="F2990" s="6">
        <f>'[1]DEC 2024'!F79</f>
        <v>0</v>
      </c>
      <c r="G2990" s="4">
        <f>'[1]DEC 2024'!G79</f>
        <v>0</v>
      </c>
      <c r="H2990" s="4">
        <f>'[1]DEC 2024'!H79</f>
        <v>128</v>
      </c>
    </row>
    <row r="2991" spans="1:8" x14ac:dyDescent="0.2">
      <c r="A2991" s="20">
        <f>'[1]DEC 2024'!A86</f>
        <v>45639</v>
      </c>
      <c r="B2991" s="12" t="str">
        <f>'[1]DEC 2024'!B86</f>
        <v>Frauen</v>
      </c>
      <c r="C2991" s="3">
        <f>'[1]DEC 2024'!C86</f>
        <v>0</v>
      </c>
      <c r="D2991" s="3">
        <f>'[1]DEC 2024'!D86</f>
        <v>0</v>
      </c>
      <c r="E2991" s="4">
        <f>'[1]DEC 2024'!E86</f>
        <v>0</v>
      </c>
      <c r="F2991" s="6">
        <f>'[1]DEC 2024'!F86</f>
        <v>0</v>
      </c>
      <c r="G2991" s="4">
        <f>'[1]DEC 2024'!G86</f>
        <v>0</v>
      </c>
      <c r="H2991" s="4">
        <f>'[1]DEC 2024'!H86</f>
        <v>21500</v>
      </c>
    </row>
    <row r="2992" spans="1:8" x14ac:dyDescent="0.2">
      <c r="A2992" s="23">
        <f>'[1]DEC 2024'!A87</f>
        <v>45639</v>
      </c>
      <c r="B2992" s="12" t="str">
        <f>'[1]DEC 2024'!B87</f>
        <v>Andere</v>
      </c>
      <c r="C2992" s="3">
        <f>'[1]DEC 2024'!C87</f>
        <v>0</v>
      </c>
      <c r="D2992" s="3">
        <f>'[1]DEC 2024'!D87</f>
        <v>0</v>
      </c>
      <c r="E2992" s="4">
        <f>'[1]DEC 2024'!E87</f>
        <v>0</v>
      </c>
      <c r="F2992" s="6">
        <f>'[1]DEC 2024'!F87</f>
        <v>0</v>
      </c>
      <c r="G2992" s="4">
        <f>'[1]DEC 2024'!G87</f>
        <v>0</v>
      </c>
      <c r="H2992" s="4">
        <f>'[1]DEC 2024'!H87</f>
        <v>2500</v>
      </c>
    </row>
    <row r="2993" spans="1:8" x14ac:dyDescent="0.2">
      <c r="A2993" s="20">
        <f>'[1]DEC 2024'!A88</f>
        <v>45639</v>
      </c>
      <c r="B2993" s="12" t="str">
        <f>'[1]DEC 2024'!B88</f>
        <v>VM</v>
      </c>
      <c r="C2993" s="3">
        <f>'[1]DEC 2024'!C88</f>
        <v>0</v>
      </c>
      <c r="D2993" s="3">
        <f>'[1]DEC 2024'!D88</f>
        <v>0</v>
      </c>
      <c r="E2993" s="4">
        <f>'[1]DEC 2024'!E88</f>
        <v>0</v>
      </c>
      <c r="F2993" s="6">
        <f>'[1]DEC 2024'!F88</f>
        <v>0</v>
      </c>
      <c r="G2993" s="4">
        <f>'[1]DEC 2024'!G88</f>
        <v>0</v>
      </c>
      <c r="H2993" s="4">
        <f>'[1]DEC 2024'!H88</f>
        <v>64</v>
      </c>
    </row>
    <row r="2994" spans="1:8" x14ac:dyDescent="0.2">
      <c r="A2994" s="23">
        <f>'[1]DEC 2024'!A93</f>
        <v>45640</v>
      </c>
      <c r="B2994" s="12" t="str">
        <f>'[1]DEC 2024'!B93</f>
        <v>Frauen</v>
      </c>
      <c r="C2994" s="3">
        <f>'[1]DEC 2024'!C93</f>
        <v>0</v>
      </c>
      <c r="D2994" s="3">
        <f>'[1]DEC 2024'!D93</f>
        <v>0</v>
      </c>
      <c r="E2994" s="4">
        <f>'[1]DEC 2024'!E93</f>
        <v>0</v>
      </c>
      <c r="F2994" s="6">
        <f>'[1]DEC 2024'!F93</f>
        <v>0</v>
      </c>
      <c r="G2994" s="4">
        <f>'[1]DEC 2024'!G93</f>
        <v>0</v>
      </c>
      <c r="H2994" s="4">
        <f>'[1]DEC 2024'!H93</f>
        <v>1575.52</v>
      </c>
    </row>
    <row r="2995" spans="1:8" x14ac:dyDescent="0.2">
      <c r="A2995" s="20">
        <f>'[1]DEC 2024'!A94</f>
        <v>45640</v>
      </c>
      <c r="B2995" s="12" t="str">
        <f>'[1]DEC 2024'!B94</f>
        <v>VM</v>
      </c>
      <c r="C2995" s="3">
        <f>'[1]DEC 2024'!C94</f>
        <v>0</v>
      </c>
      <c r="D2995" s="3">
        <f>'[1]DEC 2024'!D94</f>
        <v>0</v>
      </c>
      <c r="E2995" s="4">
        <f>'[1]DEC 2024'!E94</f>
        <v>0</v>
      </c>
      <c r="F2995" s="6">
        <f>'[1]DEC 2024'!F94</f>
        <v>0</v>
      </c>
      <c r="G2995" s="4">
        <f>'[1]DEC 2024'!G94</f>
        <v>0</v>
      </c>
      <c r="H2995" s="4">
        <f>'[1]DEC 2024'!H94</f>
        <v>256</v>
      </c>
    </row>
    <row r="2996" spans="1:8" x14ac:dyDescent="0.2">
      <c r="A2996" s="23">
        <f>'[1]DEC 2024'!A95</f>
        <v>45640</v>
      </c>
      <c r="B2996" s="12" t="str">
        <f>'[1]DEC 2024'!B95</f>
        <v>VM</v>
      </c>
      <c r="C2996" s="3">
        <f>'[1]DEC 2024'!C95</f>
        <v>0</v>
      </c>
      <c r="D2996" s="3">
        <f>'[1]DEC 2024'!D95</f>
        <v>0</v>
      </c>
      <c r="E2996" s="4">
        <f>'[1]DEC 2024'!E95</f>
        <v>0</v>
      </c>
      <c r="F2996" s="6">
        <f>'[1]DEC 2024'!F95</f>
        <v>0</v>
      </c>
      <c r="G2996" s="4">
        <f>'[1]DEC 2024'!G95</f>
        <v>0</v>
      </c>
      <c r="H2996" s="4">
        <f>'[1]DEC 2024'!H95</f>
        <v>444</v>
      </c>
    </row>
    <row r="2997" spans="1:8" x14ac:dyDescent="0.2">
      <c r="A2997" s="20">
        <f>'[1]DEC 2024'!A96</f>
        <v>45640</v>
      </c>
      <c r="B2997" s="12" t="str">
        <f>'[1]DEC 2024'!B96</f>
        <v>Andere</v>
      </c>
      <c r="C2997" s="3">
        <f>'[1]DEC 2024'!C96</f>
        <v>0</v>
      </c>
      <c r="D2997" s="3">
        <f>'[1]DEC 2024'!D96</f>
        <v>0</v>
      </c>
      <c r="E2997" s="4">
        <f>'[1]DEC 2024'!E96</f>
        <v>0</v>
      </c>
      <c r="F2997" s="6">
        <f>'[1]DEC 2024'!F96</f>
        <v>0</v>
      </c>
      <c r="G2997" s="4">
        <f>'[1]DEC 2024'!G96</f>
        <v>0</v>
      </c>
      <c r="H2997" s="4">
        <f>'[1]DEC 2024'!H96</f>
        <v>24.30000000000291</v>
      </c>
    </row>
    <row r="2998" spans="1:8" x14ac:dyDescent="0.2">
      <c r="A2998" s="23">
        <f>'[1]DEC 2024'!A97</f>
        <v>45640</v>
      </c>
      <c r="B2998" s="12" t="str">
        <f>'[1]DEC 2024'!B97</f>
        <v>none</v>
      </c>
      <c r="C2998" s="3">
        <f>'[1]DEC 2024'!C97</f>
        <v>0</v>
      </c>
      <c r="D2998" s="3">
        <f>'[1]DEC 2024'!D97</f>
        <v>0</v>
      </c>
      <c r="E2998" s="4">
        <f>'[1]DEC 2024'!E97</f>
        <v>500</v>
      </c>
      <c r="F2998" s="6">
        <f>'[1]DEC 2024'!F97</f>
        <v>0</v>
      </c>
      <c r="G2998" s="4">
        <f>'[1]DEC 2024'!G97</f>
        <v>0</v>
      </c>
      <c r="H2998" s="4">
        <f>'[1]DEC 2024'!H97</f>
        <v>500</v>
      </c>
    </row>
    <row r="2999" spans="1:8" x14ac:dyDescent="0.2">
      <c r="A2999" s="20">
        <f>'[1]DEC 2024'!A100</f>
        <v>45641</v>
      </c>
      <c r="B2999" s="12" t="str">
        <f>'[1]DEC 2024'!B100</f>
        <v>VM</v>
      </c>
      <c r="C2999" s="3">
        <f>'[1]DEC 2024'!C100</f>
        <v>0</v>
      </c>
      <c r="D2999" s="3">
        <f>'[1]DEC 2024'!D100</f>
        <v>0</v>
      </c>
      <c r="E2999" s="4">
        <f>'[1]DEC 2024'!E100</f>
        <v>0</v>
      </c>
      <c r="F2999" s="6">
        <f>'[1]DEC 2024'!F100</f>
        <v>0</v>
      </c>
      <c r="G2999" s="4">
        <f>'[1]DEC 2024'!G100</f>
        <v>0</v>
      </c>
      <c r="H2999" s="4">
        <f>'[1]DEC 2024'!H100</f>
        <v>587</v>
      </c>
    </row>
    <row r="3000" spans="1:8" x14ac:dyDescent="0.2">
      <c r="A3000" s="23">
        <f>'[1]DEC 2024'!A101</f>
        <v>45641</v>
      </c>
      <c r="B3000" s="12" t="str">
        <f>'[1]DEC 2024'!B101</f>
        <v>Frauen</v>
      </c>
      <c r="C3000" s="3">
        <f>'[1]DEC 2024'!C101</f>
        <v>0</v>
      </c>
      <c r="D3000" s="3">
        <f>'[1]DEC 2024'!D101</f>
        <v>0</v>
      </c>
      <c r="E3000" s="4">
        <f>'[1]DEC 2024'!E101</f>
        <v>0</v>
      </c>
      <c r="F3000" s="6">
        <f>'[1]DEC 2024'!F101</f>
        <v>0</v>
      </c>
      <c r="G3000" s="4">
        <f>'[1]DEC 2024'!G101</f>
        <v>0</v>
      </c>
      <c r="H3000" s="4">
        <f>'[1]DEC 2024'!H101</f>
        <v>3055</v>
      </c>
    </row>
    <row r="3001" spans="1:8" x14ac:dyDescent="0.2">
      <c r="A3001" s="20">
        <f>'[1]DEC 2024'!A102</f>
        <v>45641</v>
      </c>
      <c r="B3001" s="12" t="str">
        <f>'[1]DEC 2024'!B102</f>
        <v>LM</v>
      </c>
      <c r="C3001" s="3">
        <f>'[1]DEC 2024'!C102</f>
        <v>0</v>
      </c>
      <c r="D3001" s="3">
        <f>'[1]DEC 2024'!D102</f>
        <v>0</v>
      </c>
      <c r="E3001" s="4">
        <f>'[1]DEC 2024'!E102</f>
        <v>0</v>
      </c>
      <c r="F3001" s="6">
        <f>'[1]DEC 2024'!F102</f>
        <v>0</v>
      </c>
      <c r="G3001" s="4">
        <f>'[1]DEC 2024'!G102</f>
        <v>0</v>
      </c>
      <c r="H3001" s="4">
        <f>'[1]DEC 2024'!H102</f>
        <v>168</v>
      </c>
    </row>
    <row r="3002" spans="1:8" x14ac:dyDescent="0.2">
      <c r="A3002" s="23">
        <f>'[1]DEC 2024'!A103</f>
        <v>45641</v>
      </c>
      <c r="B3002" s="12" t="str">
        <f>'[1]DEC 2024'!B103</f>
        <v>Frauen</v>
      </c>
      <c r="C3002" s="3">
        <f>'[1]DEC 2024'!C103</f>
        <v>0</v>
      </c>
      <c r="D3002" s="3">
        <f>'[1]DEC 2024'!D103</f>
        <v>0</v>
      </c>
      <c r="E3002" s="4">
        <f>'[1]DEC 2024'!E103</f>
        <v>0</v>
      </c>
      <c r="F3002" s="6">
        <f>'[1]DEC 2024'!F103</f>
        <v>0</v>
      </c>
      <c r="G3002" s="4">
        <f>'[1]DEC 2024'!G103</f>
        <v>0</v>
      </c>
      <c r="H3002" s="4">
        <f>'[1]DEC 2024'!H103</f>
        <v>390</v>
      </c>
    </row>
    <row r="3003" spans="1:8" x14ac:dyDescent="0.2">
      <c r="A3003" s="20">
        <f>'[1]DEC 2024'!A108</f>
        <v>45642</v>
      </c>
      <c r="B3003" s="12" t="str">
        <f>'[1]DEC 2024'!B108</f>
        <v>none</v>
      </c>
      <c r="C3003" s="3">
        <f>'[1]DEC 2024'!C108</f>
        <v>0</v>
      </c>
      <c r="D3003" s="3">
        <f>'[1]DEC 2024'!D108</f>
        <v>0</v>
      </c>
      <c r="E3003" s="4">
        <f>'[1]DEC 2024'!E108</f>
        <v>0</v>
      </c>
      <c r="F3003" s="6">
        <f>'[1]DEC 2024'!F108</f>
        <v>0</v>
      </c>
      <c r="G3003" s="4">
        <f>'[1]DEC 2024'!G108</f>
        <v>0</v>
      </c>
      <c r="H3003" s="4">
        <f>'[1]DEC 2024'!H108</f>
        <v>10000</v>
      </c>
    </row>
    <row r="3004" spans="1:8" x14ac:dyDescent="0.2">
      <c r="A3004" s="20">
        <f>'[1]DEC 2024'!A114</f>
        <v>45643</v>
      </c>
      <c r="B3004" s="12" t="str">
        <f>'[1]DEC 2024'!B114</f>
        <v>none</v>
      </c>
      <c r="C3004" s="3">
        <f>'[1]DEC 2024'!C114</f>
        <v>0</v>
      </c>
      <c r="D3004" s="3">
        <f>'[1]DEC 2024'!D114</f>
        <v>0</v>
      </c>
      <c r="E3004" s="4">
        <f>'[1]DEC 2024'!E114</f>
        <v>55000</v>
      </c>
      <c r="F3004" s="6">
        <f>'[1]DEC 2024'!F114</f>
        <v>0</v>
      </c>
      <c r="G3004" s="4">
        <f>'[1]DEC 2024'!G114</f>
        <v>0</v>
      </c>
      <c r="H3004" s="4">
        <f>'[1]DEC 2024'!H114</f>
        <v>55000</v>
      </c>
    </row>
    <row r="3005" spans="1:8" x14ac:dyDescent="0.2">
      <c r="A3005" s="23">
        <f>'[1]DEC 2024'!A115</f>
        <v>45643</v>
      </c>
      <c r="B3005" s="12" t="str">
        <f>'[1]DEC 2024'!B115</f>
        <v>rent</v>
      </c>
      <c r="C3005" s="3">
        <f>'[1]DEC 2024'!C115</f>
        <v>0</v>
      </c>
      <c r="D3005" s="3">
        <f>'[1]DEC 2024'!D115</f>
        <v>0</v>
      </c>
      <c r="E3005" s="4">
        <f>'[1]DEC 2024'!E115</f>
        <v>0</v>
      </c>
      <c r="F3005" s="6">
        <f>'[1]DEC 2024'!F115</f>
        <v>55050</v>
      </c>
      <c r="G3005" s="4">
        <f>'[1]DEC 2024'!G115</f>
        <v>0</v>
      </c>
      <c r="H3005" s="4">
        <f>'[1]DEC 2024'!H115</f>
        <v>0</v>
      </c>
    </row>
    <row r="3006" spans="1:8" x14ac:dyDescent="0.2">
      <c r="A3006" s="23">
        <f>'[1]DEC 2024'!A117</f>
        <v>45643</v>
      </c>
      <c r="B3006" s="12" t="str">
        <f>'[1]DEC 2024'!B117</f>
        <v>Frauen</v>
      </c>
      <c r="C3006" s="3">
        <f>'[1]DEC 2024'!C117</f>
        <v>0</v>
      </c>
      <c r="D3006" s="3">
        <f>'[1]DEC 2024'!D117</f>
        <v>0</v>
      </c>
      <c r="E3006" s="4">
        <f>'[1]DEC 2024'!E117</f>
        <v>0</v>
      </c>
      <c r="F3006" s="6">
        <f>'[1]DEC 2024'!F117</f>
        <v>0</v>
      </c>
      <c r="G3006" s="4">
        <f>'[1]DEC 2024'!G117</f>
        <v>0</v>
      </c>
      <c r="H3006" s="4">
        <f>'[1]DEC 2024'!H117</f>
        <v>3657</v>
      </c>
    </row>
    <row r="3007" spans="1:8" x14ac:dyDescent="0.2">
      <c r="A3007" s="20">
        <f>'[1]DEC 2024'!A128</f>
        <v>45645</v>
      </c>
      <c r="B3007" s="12" t="str">
        <f>'[1]DEC 2024'!B128</f>
        <v>Andere</v>
      </c>
      <c r="C3007" s="3">
        <f>'[1]DEC 2024'!C128</f>
        <v>0</v>
      </c>
      <c r="D3007" s="3">
        <f>'[1]DEC 2024'!D128</f>
        <v>0</v>
      </c>
      <c r="E3007" s="4">
        <f>'[1]DEC 2024'!E128</f>
        <v>0</v>
      </c>
      <c r="F3007" s="6">
        <f>'[1]DEC 2024'!F128</f>
        <v>0</v>
      </c>
      <c r="G3007" s="4">
        <f>'[1]DEC 2024'!G128</f>
        <v>0</v>
      </c>
      <c r="H3007" s="4">
        <f>'[1]DEC 2024'!H128</f>
        <v>3200</v>
      </c>
    </row>
    <row r="3008" spans="1:8" x14ac:dyDescent="0.2">
      <c r="A3008" s="23">
        <f>'[1]DEC 2024'!A129</f>
        <v>45645</v>
      </c>
      <c r="B3008" s="12" t="str">
        <f>'[1]DEC 2024'!B129</f>
        <v>Andere</v>
      </c>
      <c r="C3008" s="3">
        <f>'[1]DEC 2024'!C129</f>
        <v>0</v>
      </c>
      <c r="D3008" s="3">
        <f>'[1]DEC 2024'!D129</f>
        <v>0</v>
      </c>
      <c r="E3008" s="4">
        <f>'[1]DEC 2024'!E129</f>
        <v>0</v>
      </c>
      <c r="F3008" s="6">
        <f>'[1]DEC 2024'!F129</f>
        <v>0</v>
      </c>
      <c r="G3008" s="4">
        <f>'[1]DEC 2024'!G129</f>
        <v>0</v>
      </c>
      <c r="H3008" s="4">
        <f>'[1]DEC 2024'!H129</f>
        <v>2000</v>
      </c>
    </row>
    <row r="3009" spans="1:8" x14ac:dyDescent="0.2">
      <c r="A3009" s="20">
        <f>'[1]DEC 2024'!A130</f>
        <v>45645</v>
      </c>
      <c r="B3009" s="12" t="str">
        <f>'[1]DEC 2024'!B130</f>
        <v>Andere</v>
      </c>
      <c r="C3009" s="3">
        <f>'[1]DEC 2024'!C130</f>
        <v>0</v>
      </c>
      <c r="D3009" s="3">
        <f>'[1]DEC 2024'!D130</f>
        <v>0</v>
      </c>
      <c r="E3009" s="4">
        <f>'[1]DEC 2024'!E130</f>
        <v>0</v>
      </c>
      <c r="F3009" s="6">
        <f>'[1]DEC 2024'!F130</f>
        <v>0</v>
      </c>
      <c r="G3009" s="4">
        <f>'[1]DEC 2024'!G130</f>
        <v>0</v>
      </c>
      <c r="H3009" s="4">
        <f>'[1]DEC 2024'!H130</f>
        <v>666</v>
      </c>
    </row>
    <row r="3010" spans="1:8" x14ac:dyDescent="0.2">
      <c r="A3010" s="23">
        <f>'[1]DEC 2024'!A131</f>
        <v>45645</v>
      </c>
      <c r="B3010" s="12" t="str">
        <f>'[1]DEC 2024'!B131</f>
        <v>Frauen</v>
      </c>
      <c r="C3010" s="3">
        <f>'[1]DEC 2024'!C131</f>
        <v>0</v>
      </c>
      <c r="D3010" s="3">
        <f>'[1]DEC 2024'!D131</f>
        <v>0</v>
      </c>
      <c r="E3010" s="4">
        <f>'[1]DEC 2024'!E131</f>
        <v>0</v>
      </c>
      <c r="F3010" s="6">
        <f>'[1]DEC 2024'!F131</f>
        <v>0</v>
      </c>
      <c r="G3010" s="4">
        <f>'[1]DEC 2024'!G131</f>
        <v>0</v>
      </c>
      <c r="H3010" s="4">
        <f>'[1]DEC 2024'!H131</f>
        <v>1500</v>
      </c>
    </row>
    <row r="3011" spans="1:8" x14ac:dyDescent="0.2">
      <c r="A3011" s="23">
        <f>'[1]DEC 2024'!A135</f>
        <v>45646</v>
      </c>
      <c r="B3011" s="12" t="str">
        <f>'[1]DEC 2024'!B135</f>
        <v>Andere</v>
      </c>
      <c r="C3011" s="3">
        <f>'[1]DEC 2024'!C135</f>
        <v>0</v>
      </c>
      <c r="D3011" s="3">
        <f>'[1]DEC 2024'!D135</f>
        <v>0</v>
      </c>
      <c r="E3011" s="4">
        <f>'[1]DEC 2024'!E135</f>
        <v>0</v>
      </c>
      <c r="F3011" s="6">
        <f>'[1]DEC 2024'!F135</f>
        <v>150</v>
      </c>
      <c r="G3011" s="4">
        <f>'[1]DEC 2024'!G135</f>
        <v>0</v>
      </c>
      <c r="H3011" s="4">
        <f>'[1]DEC 2024'!H135</f>
        <v>3617.89</v>
      </c>
    </row>
    <row r="3012" spans="1:8" x14ac:dyDescent="0.2">
      <c r="A3012" s="20">
        <f>'[1]DEC 2024'!A136</f>
        <v>45646</v>
      </c>
      <c r="B3012" s="12" t="str">
        <f>'[1]DEC 2024'!B136</f>
        <v>none</v>
      </c>
      <c r="C3012" s="3">
        <f>'[1]DEC 2024'!C136</f>
        <v>0</v>
      </c>
      <c r="D3012" s="3">
        <f>'[1]DEC 2024'!D136</f>
        <v>0</v>
      </c>
      <c r="E3012" s="4">
        <f>'[1]DEC 2024'!E136</f>
        <v>0</v>
      </c>
      <c r="F3012" s="6">
        <f>'[1]DEC 2024'!F136</f>
        <v>0</v>
      </c>
      <c r="G3012" s="4">
        <f>'[1]DEC 2024'!G136</f>
        <v>0</v>
      </c>
      <c r="H3012" s="4">
        <f>'[1]DEC 2024'!H136</f>
        <v>14433.51</v>
      </c>
    </row>
    <row r="3013" spans="1:8" x14ac:dyDescent="0.2">
      <c r="A3013" s="23">
        <f>'[1]DEC 2024'!A143</f>
        <v>45647</v>
      </c>
      <c r="B3013" s="12" t="str">
        <f>'[1]DEC 2024'!B143</f>
        <v>LM</v>
      </c>
      <c r="C3013" s="3">
        <f>'[1]DEC 2024'!C143</f>
        <v>0</v>
      </c>
      <c r="D3013" s="3">
        <f>'[1]DEC 2024'!D143</f>
        <v>0</v>
      </c>
      <c r="E3013" s="4">
        <f>'[1]DEC 2024'!E143</f>
        <v>0</v>
      </c>
      <c r="F3013" s="6">
        <f>'[1]DEC 2024'!F143</f>
        <v>0</v>
      </c>
      <c r="G3013" s="4">
        <f>'[1]DEC 2024'!G143</f>
        <v>0</v>
      </c>
      <c r="H3013" s="4">
        <f>'[1]DEC 2024'!H143</f>
        <v>2110.8500000000004</v>
      </c>
    </row>
    <row r="3014" spans="1:8" x14ac:dyDescent="0.2">
      <c r="A3014" s="23">
        <f>'[1]DEC 2024'!A149</f>
        <v>45648</v>
      </c>
      <c r="B3014" s="12" t="str">
        <f>'[1]DEC 2024'!B149</f>
        <v>Andere</v>
      </c>
      <c r="C3014" s="3">
        <f>'[1]DEC 2024'!C149</f>
        <v>0</v>
      </c>
      <c r="D3014" s="3">
        <f>'[1]DEC 2024'!D149</f>
        <v>0</v>
      </c>
      <c r="E3014" s="4">
        <f>'[1]DEC 2024'!E149</f>
        <v>0</v>
      </c>
      <c r="F3014" s="6">
        <f>'[1]DEC 2024'!F149</f>
        <v>0</v>
      </c>
      <c r="G3014" s="4">
        <f>'[1]DEC 2024'!G149</f>
        <v>0</v>
      </c>
      <c r="H3014" s="4">
        <f>'[1]DEC 2024'!H149</f>
        <v>150</v>
      </c>
    </row>
    <row r="3015" spans="1:8" x14ac:dyDescent="0.2">
      <c r="A3015" s="20">
        <f>'[1]DEC 2024'!A150</f>
        <v>45648</v>
      </c>
      <c r="B3015" s="12" t="str">
        <f>'[1]DEC 2024'!B150</f>
        <v>LM</v>
      </c>
      <c r="C3015" s="3">
        <f>'[1]DEC 2024'!C150</f>
        <v>0</v>
      </c>
      <c r="D3015" s="3">
        <f>'[1]DEC 2024'!D150</f>
        <v>0</v>
      </c>
      <c r="E3015" s="4">
        <f>'[1]DEC 2024'!E150</f>
        <v>0</v>
      </c>
      <c r="F3015" s="6">
        <f>'[1]DEC 2024'!F150</f>
        <v>0</v>
      </c>
      <c r="G3015" s="4">
        <f>'[1]DEC 2024'!G150</f>
        <v>0</v>
      </c>
      <c r="H3015" s="4">
        <f>'[1]DEC 2024'!H150</f>
        <v>2249.9</v>
      </c>
    </row>
    <row r="3016" spans="1:8" x14ac:dyDescent="0.2">
      <c r="A3016" s="20">
        <f>'[1]DEC 2024'!A156</f>
        <v>45649</v>
      </c>
      <c r="B3016" s="12" t="str">
        <f>'[1]DEC 2024'!B156</f>
        <v>for me</v>
      </c>
      <c r="C3016" s="3">
        <f>'[1]DEC 2024'!C156</f>
        <v>0</v>
      </c>
      <c r="D3016" s="3">
        <f>'[1]DEC 2024'!D156</f>
        <v>0</v>
      </c>
      <c r="E3016" s="4">
        <f>'[1]DEC 2024'!E156</f>
        <v>0</v>
      </c>
      <c r="F3016" s="6">
        <f>'[1]DEC 2024'!F156</f>
        <v>0</v>
      </c>
      <c r="G3016" s="4">
        <f>'[1]DEC 2024'!G156</f>
        <v>0</v>
      </c>
      <c r="H3016" s="4">
        <f>'[1]DEC 2024'!H156</f>
        <v>1400</v>
      </c>
    </row>
    <row r="3017" spans="1:8" x14ac:dyDescent="0.2">
      <c r="A3017" s="23">
        <f>'[1]DEC 2024'!A157</f>
        <v>45649</v>
      </c>
      <c r="B3017" s="12" t="str">
        <f>'[1]DEC 2024'!B157</f>
        <v>LM</v>
      </c>
      <c r="C3017" s="3">
        <f>'[1]DEC 2024'!C157</f>
        <v>0</v>
      </c>
      <c r="D3017" s="3">
        <f>'[1]DEC 2024'!D157</f>
        <v>0</v>
      </c>
      <c r="E3017" s="4">
        <f>'[1]DEC 2024'!E157</f>
        <v>0</v>
      </c>
      <c r="F3017" s="6">
        <f>'[1]DEC 2024'!F157</f>
        <v>0</v>
      </c>
      <c r="G3017" s="4">
        <f>'[1]DEC 2024'!G157</f>
        <v>0</v>
      </c>
      <c r="H3017" s="4">
        <f>'[1]DEC 2024'!H157</f>
        <v>1303.8699999999999</v>
      </c>
    </row>
    <row r="3018" spans="1:8" x14ac:dyDescent="0.2">
      <c r="A3018" s="20">
        <f>'[1]DEC 2024'!A158</f>
        <v>45649</v>
      </c>
      <c r="B3018" s="12" t="str">
        <f>'[1]DEC 2024'!B158</f>
        <v>Andere</v>
      </c>
      <c r="C3018" s="3">
        <f>'[1]DEC 2024'!C158</f>
        <v>0</v>
      </c>
      <c r="D3018" s="3">
        <f>'[1]DEC 2024'!D158</f>
        <v>0</v>
      </c>
      <c r="E3018" s="4">
        <f>'[1]DEC 2024'!E158</f>
        <v>0</v>
      </c>
      <c r="F3018" s="6">
        <f>'[1]DEC 2024'!F158</f>
        <v>0</v>
      </c>
      <c r="G3018" s="4">
        <f>'[1]DEC 2024'!G158</f>
        <v>0</v>
      </c>
      <c r="H3018" s="4">
        <f>'[1]DEC 2024'!H158</f>
        <v>9974</v>
      </c>
    </row>
    <row r="3019" spans="1:8" x14ac:dyDescent="0.2">
      <c r="A3019" s="23">
        <f>'[1]DEC 2024'!A163</f>
        <v>45650</v>
      </c>
      <c r="B3019" s="12" t="str">
        <f>'[1]DEC 2024'!B163</f>
        <v>none</v>
      </c>
      <c r="C3019" s="3">
        <f>'[1]DEC 2024'!C163</f>
        <v>0</v>
      </c>
      <c r="D3019" s="3">
        <f>'[1]DEC 2024'!D163</f>
        <v>0</v>
      </c>
      <c r="E3019" s="4">
        <f>'[1]DEC 2024'!E163</f>
        <v>0</v>
      </c>
      <c r="F3019" s="6">
        <f>'[1]DEC 2024'!F163</f>
        <v>0</v>
      </c>
      <c r="G3019" s="4">
        <f>'[1]DEC 2024'!G163</f>
        <v>500</v>
      </c>
      <c r="H3019" s="4">
        <f>'[1]DEC 2024'!H163</f>
        <v>0</v>
      </c>
    </row>
    <row r="3020" spans="1:8" x14ac:dyDescent="0.2">
      <c r="A3020" s="20">
        <f>'[1]DEC 2024'!A164</f>
        <v>45650</v>
      </c>
      <c r="B3020" s="12" t="str">
        <f>'[1]DEC 2024'!B164</f>
        <v>Frauen</v>
      </c>
      <c r="C3020" s="3">
        <f>'[1]DEC 2024'!C164</f>
        <v>0</v>
      </c>
      <c r="D3020" s="3">
        <f>'[1]DEC 2024'!D164</f>
        <v>0</v>
      </c>
      <c r="E3020" s="4">
        <f>'[1]DEC 2024'!E164</f>
        <v>0</v>
      </c>
      <c r="F3020" s="6">
        <f>'[1]DEC 2024'!F164</f>
        <v>0</v>
      </c>
      <c r="G3020" s="4">
        <f>'[1]DEC 2024'!G164</f>
        <v>0</v>
      </c>
      <c r="H3020" s="4">
        <f>'[1]DEC 2024'!H164</f>
        <v>579.98</v>
      </c>
    </row>
    <row r="3021" spans="1:8" x14ac:dyDescent="0.2">
      <c r="A3021" s="20">
        <f>'[1]DEC 2024'!A166</f>
        <v>45650</v>
      </c>
      <c r="B3021" s="12" t="str">
        <f>'[1]DEC 2024'!B166</f>
        <v>none</v>
      </c>
      <c r="C3021" s="3">
        <f>'[1]DEC 2024'!C166</f>
        <v>14435</v>
      </c>
      <c r="D3021" s="3">
        <f>'[1]DEC 2024'!D166</f>
        <v>0</v>
      </c>
      <c r="E3021" s="4">
        <f>'[1]DEC 2024'!E166</f>
        <v>0</v>
      </c>
      <c r="F3021" s="6">
        <f>'[1]DEC 2024'!F166</f>
        <v>0</v>
      </c>
      <c r="G3021" s="4">
        <f>'[1]DEC 2024'!G166</f>
        <v>0</v>
      </c>
      <c r="H3021" s="4">
        <f>'[1]DEC 2024'!H166</f>
        <v>0</v>
      </c>
    </row>
    <row r="3022" spans="1:8" x14ac:dyDescent="0.2">
      <c r="A3022" s="20">
        <f>'[1]DEC 2024'!A170</f>
        <v>45651</v>
      </c>
      <c r="B3022" s="12" t="str">
        <f>'[1]DEC 2024'!B170</f>
        <v>VM</v>
      </c>
      <c r="C3022" s="3">
        <f>'[1]DEC 2024'!C170</f>
        <v>0</v>
      </c>
      <c r="D3022" s="3">
        <f>'[1]DEC 2024'!D170</f>
        <v>0</v>
      </c>
      <c r="E3022" s="4">
        <f>'[1]DEC 2024'!E170</f>
        <v>0</v>
      </c>
      <c r="F3022" s="6">
        <f>'[1]DEC 2024'!F170</f>
        <v>0</v>
      </c>
      <c r="G3022" s="4">
        <f>'[1]DEC 2024'!G170</f>
        <v>0</v>
      </c>
      <c r="H3022" s="4">
        <f>'[1]DEC 2024'!H170</f>
        <v>128</v>
      </c>
    </row>
    <row r="3023" spans="1:8" x14ac:dyDescent="0.2">
      <c r="A3023" s="23">
        <f>'[1]DEC 2024'!A171</f>
        <v>45651</v>
      </c>
      <c r="B3023" s="12" t="str">
        <f>'[1]DEC 2024'!B171</f>
        <v>for me</v>
      </c>
      <c r="C3023" s="3">
        <f>'[1]DEC 2024'!C171</f>
        <v>0</v>
      </c>
      <c r="D3023" s="3">
        <f>'[1]DEC 2024'!D171</f>
        <v>0</v>
      </c>
      <c r="E3023" s="4">
        <f>'[1]DEC 2024'!E171</f>
        <v>0</v>
      </c>
      <c r="F3023" s="6">
        <f>'[1]DEC 2024'!F171</f>
        <v>0</v>
      </c>
      <c r="G3023" s="4">
        <f>'[1]DEC 2024'!G171</f>
        <v>0</v>
      </c>
      <c r="H3023" s="4">
        <f>'[1]DEC 2024'!H171</f>
        <v>10772</v>
      </c>
    </row>
    <row r="3024" spans="1:8" x14ac:dyDescent="0.2">
      <c r="A3024" s="20">
        <f>'[1]DEC 2024'!A172</f>
        <v>45651</v>
      </c>
      <c r="B3024" s="12" t="str">
        <f>'[1]DEC 2024'!B172</f>
        <v>LM</v>
      </c>
      <c r="C3024" s="3">
        <f>'[1]DEC 2024'!C172</f>
        <v>0</v>
      </c>
      <c r="D3024" s="3">
        <f>'[1]DEC 2024'!D172</f>
        <v>0</v>
      </c>
      <c r="E3024" s="4">
        <f>'[1]DEC 2024'!E172</f>
        <v>0</v>
      </c>
      <c r="F3024" s="6">
        <f>'[1]DEC 2024'!F172</f>
        <v>0</v>
      </c>
      <c r="G3024" s="4">
        <f>'[1]DEC 2024'!G172</f>
        <v>0</v>
      </c>
      <c r="H3024" s="4">
        <f>'[1]DEC 2024'!H172</f>
        <v>59.96</v>
      </c>
    </row>
    <row r="3025" spans="1:8" x14ac:dyDescent="0.2">
      <c r="A3025" s="23">
        <f>'[1]DEC 2024'!A173</f>
        <v>45651</v>
      </c>
      <c r="B3025" s="12" t="str">
        <f>'[1]DEC 2024'!B173</f>
        <v>Refill</v>
      </c>
      <c r="C3025" s="3">
        <f>'[1]DEC 2024'!C173</f>
        <v>0</v>
      </c>
      <c r="D3025" s="3">
        <f>'[1]DEC 2024'!D173</f>
        <v>0</v>
      </c>
      <c r="E3025" s="4">
        <f>'[1]DEC 2024'!E173</f>
        <v>0</v>
      </c>
      <c r="F3025" s="6">
        <f>'[1]DEC 2024'!F173</f>
        <v>0</v>
      </c>
      <c r="G3025" s="4">
        <f>'[1]DEC 2024'!G173</f>
        <v>11400</v>
      </c>
      <c r="H3025" s="4">
        <f>'[1]DEC 2024'!H173</f>
        <v>0</v>
      </c>
    </row>
    <row r="3026" spans="1:8" x14ac:dyDescent="0.2">
      <c r="A3026" s="20">
        <f>'[1]DEC 2024'!A174</f>
        <v>45651</v>
      </c>
      <c r="B3026" s="12" t="str">
        <f>'[1]DEC 2024'!B174</f>
        <v>LM</v>
      </c>
      <c r="C3026" s="3">
        <f>'[1]DEC 2024'!C174</f>
        <v>0</v>
      </c>
      <c r="D3026" s="3">
        <f>'[1]DEC 2024'!D174</f>
        <v>0</v>
      </c>
      <c r="E3026" s="4">
        <f>'[1]DEC 2024'!E174</f>
        <v>0</v>
      </c>
      <c r="F3026" s="6">
        <f>'[1]DEC 2024'!F174</f>
        <v>0</v>
      </c>
      <c r="G3026" s="4">
        <f>'[1]DEC 2024'!G174</f>
        <v>0</v>
      </c>
      <c r="H3026" s="4">
        <f>'[1]DEC 2024'!H174</f>
        <v>615.58000000000004</v>
      </c>
    </row>
    <row r="3027" spans="1:8" x14ac:dyDescent="0.2">
      <c r="A3027" s="23">
        <f>'[1]DEC 2024'!A175</f>
        <v>45651</v>
      </c>
      <c r="B3027" s="12" t="str">
        <f>'[1]DEC 2024'!B175</f>
        <v>Andere</v>
      </c>
      <c r="C3027" s="3">
        <f>'[1]DEC 2024'!C175</f>
        <v>0</v>
      </c>
      <c r="D3027" s="3">
        <f>'[1]DEC 2024'!D175</f>
        <v>0</v>
      </c>
      <c r="E3027" s="4">
        <f>'[1]DEC 2024'!E175</f>
        <v>0</v>
      </c>
      <c r="F3027" s="6">
        <f>'[1]DEC 2024'!F175</f>
        <v>0</v>
      </c>
      <c r="G3027" s="4">
        <f>'[1]DEC 2024'!G175</f>
        <v>0</v>
      </c>
      <c r="H3027" s="4">
        <f>'[1]DEC 2024'!H175</f>
        <v>686</v>
      </c>
    </row>
    <row r="3028" spans="1:8" x14ac:dyDescent="0.2">
      <c r="A3028" s="23">
        <f>'[1]DEC 2024'!A177</f>
        <v>45652</v>
      </c>
      <c r="B3028" s="12" t="str">
        <f>'[1]DEC 2024'!B177</f>
        <v>LM</v>
      </c>
      <c r="C3028" s="3">
        <f>'[1]DEC 2024'!C177</f>
        <v>0</v>
      </c>
      <c r="D3028" s="3">
        <f>'[1]DEC 2024'!D177</f>
        <v>0</v>
      </c>
      <c r="E3028" s="4">
        <f>'[1]DEC 2024'!E177</f>
        <v>0</v>
      </c>
      <c r="F3028" s="6">
        <f>'[1]DEC 2024'!F177</f>
        <v>0</v>
      </c>
      <c r="G3028" s="4">
        <f>'[1]DEC 2024'!G177</f>
        <v>0</v>
      </c>
      <c r="H3028" s="4">
        <f>'[1]DEC 2024'!H177</f>
        <v>680</v>
      </c>
    </row>
    <row r="3029" spans="1:8" x14ac:dyDescent="0.2">
      <c r="A3029" s="20">
        <f>'[1]DEC 2024'!A178</f>
        <v>45652</v>
      </c>
      <c r="B3029" s="12" t="str">
        <f>'[1]DEC 2024'!B178</f>
        <v>Andere</v>
      </c>
      <c r="C3029" s="3">
        <f>'[1]DEC 2024'!C178</f>
        <v>0</v>
      </c>
      <c r="D3029" s="3">
        <f>'[1]DEC 2024'!D178</f>
        <v>0</v>
      </c>
      <c r="E3029" s="4">
        <f>'[1]DEC 2024'!E178</f>
        <v>0</v>
      </c>
      <c r="F3029" s="6">
        <f>'[1]DEC 2024'!F178</f>
        <v>0</v>
      </c>
      <c r="G3029" s="4">
        <f>'[1]DEC 2024'!G178</f>
        <v>0</v>
      </c>
      <c r="H3029" s="4">
        <f>'[1]DEC 2024'!H178</f>
        <v>5000</v>
      </c>
    </row>
    <row r="3030" spans="1:8" x14ac:dyDescent="0.2">
      <c r="A3030" s="23">
        <f>'[1]DEC 2024'!A179</f>
        <v>45652</v>
      </c>
      <c r="B3030" s="12" t="str">
        <f>'[1]DEC 2024'!B179</f>
        <v>VM</v>
      </c>
      <c r="C3030" s="3">
        <f>'[1]DEC 2024'!C179</f>
        <v>0</v>
      </c>
      <c r="D3030" s="3">
        <f>'[1]DEC 2024'!D179</f>
        <v>0</v>
      </c>
      <c r="E3030" s="4">
        <f>'[1]DEC 2024'!E179</f>
        <v>0</v>
      </c>
      <c r="F3030" s="6">
        <f>'[1]DEC 2024'!F179</f>
        <v>0</v>
      </c>
      <c r="G3030" s="4">
        <f>'[1]DEC 2024'!G179</f>
        <v>0</v>
      </c>
      <c r="H3030" s="4">
        <f>'[1]DEC 2024'!H179</f>
        <v>128</v>
      </c>
    </row>
    <row r="3031" spans="1:8" x14ac:dyDescent="0.2">
      <c r="A3031" s="20">
        <f>'[1]DEC 2024'!A180</f>
        <v>45652</v>
      </c>
      <c r="B3031" s="12" t="str">
        <f>'[1]DEC 2024'!B180</f>
        <v>Frauen</v>
      </c>
      <c r="C3031" s="3">
        <f>'[1]DEC 2024'!C180</f>
        <v>0</v>
      </c>
      <c r="D3031" s="3">
        <f>'[1]DEC 2024'!D180</f>
        <v>0</v>
      </c>
      <c r="E3031" s="4">
        <f>'[1]DEC 2024'!E180</f>
        <v>0</v>
      </c>
      <c r="F3031" s="6">
        <f>'[1]DEC 2024'!F180</f>
        <v>0</v>
      </c>
      <c r="G3031" s="4">
        <f>'[1]DEC 2024'!G180</f>
        <v>0</v>
      </c>
      <c r="H3031" s="4">
        <f>'[1]DEC 2024'!H180</f>
        <v>4177</v>
      </c>
    </row>
    <row r="3032" spans="1:8" x14ac:dyDescent="0.2">
      <c r="A3032" s="20">
        <f>'[1]DEC 2024'!A184</f>
        <v>45653</v>
      </c>
      <c r="B3032" s="12" t="str">
        <f>'[1]DEC 2024'!B184</f>
        <v>VM</v>
      </c>
      <c r="C3032" s="3">
        <f>'[1]DEC 2024'!C184</f>
        <v>0</v>
      </c>
      <c r="D3032" s="3">
        <f>'[1]DEC 2024'!D184</f>
        <v>0</v>
      </c>
      <c r="E3032" s="4">
        <f>'[1]DEC 2024'!E184</f>
        <v>0</v>
      </c>
      <c r="F3032" s="6">
        <f>'[1]DEC 2024'!F184</f>
        <v>0</v>
      </c>
      <c r="G3032" s="4">
        <f>'[1]DEC 2024'!G184</f>
        <v>0</v>
      </c>
      <c r="H3032" s="4">
        <f>'[1]DEC 2024'!H184</f>
        <v>650</v>
      </c>
    </row>
    <row r="3033" spans="1:8" x14ac:dyDescent="0.2">
      <c r="A3033" s="23">
        <f>'[1]DEC 2024'!A185</f>
        <v>45653</v>
      </c>
      <c r="B3033" s="12" t="str">
        <f>'[1]DEC 2024'!B185</f>
        <v>LM</v>
      </c>
      <c r="C3033" s="3">
        <f>'[1]DEC 2024'!C185</f>
        <v>0</v>
      </c>
      <c r="D3033" s="3">
        <f>'[1]DEC 2024'!D185</f>
        <v>0</v>
      </c>
      <c r="E3033" s="4">
        <f>'[1]DEC 2024'!E185</f>
        <v>0</v>
      </c>
      <c r="F3033" s="6">
        <f>'[1]DEC 2024'!F185</f>
        <v>0</v>
      </c>
      <c r="G3033" s="4">
        <f>'[1]DEC 2024'!G185</f>
        <v>0</v>
      </c>
      <c r="H3033" s="4">
        <f>'[1]DEC 2024'!H185</f>
        <v>650</v>
      </c>
    </row>
    <row r="3034" spans="1:8" x14ac:dyDescent="0.2">
      <c r="A3034" s="20">
        <f>'[1]DEC 2024'!A186</f>
        <v>45653</v>
      </c>
      <c r="B3034" s="12" t="str">
        <f>'[1]DEC 2024'!B186</f>
        <v>Andere</v>
      </c>
      <c r="C3034" s="3">
        <f>'[1]DEC 2024'!C186</f>
        <v>0</v>
      </c>
      <c r="D3034" s="3">
        <f>'[1]DEC 2024'!D186</f>
        <v>59</v>
      </c>
      <c r="E3034" s="4">
        <f>'[1]DEC 2024'!E186</f>
        <v>0</v>
      </c>
      <c r="F3034" s="6">
        <f>'[1]DEC 2024'!F186</f>
        <v>0</v>
      </c>
      <c r="G3034" s="4">
        <f>'[1]DEC 2024'!G186</f>
        <v>0</v>
      </c>
      <c r="H3034" s="4">
        <f>'[1]DEC 2024'!H186</f>
        <v>0</v>
      </c>
    </row>
    <row r="3035" spans="1:8" x14ac:dyDescent="0.2">
      <c r="A3035" s="23">
        <f>'[1]DEC 2024'!A191</f>
        <v>45654</v>
      </c>
      <c r="B3035" s="12" t="str">
        <f>'[1]DEC 2024'!B191</f>
        <v>Kleidung</v>
      </c>
      <c r="C3035" s="3">
        <f>'[1]DEC 2024'!C191</f>
        <v>0</v>
      </c>
      <c r="D3035" s="3">
        <f>'[1]DEC 2024'!D191</f>
        <v>0</v>
      </c>
      <c r="E3035" s="4">
        <f>'[1]DEC 2024'!E191</f>
        <v>0</v>
      </c>
      <c r="F3035" s="6">
        <f>'[1]DEC 2024'!F191</f>
        <v>0</v>
      </c>
      <c r="G3035" s="4">
        <f>'[1]DEC 2024'!G191</f>
        <v>0</v>
      </c>
      <c r="H3035" s="4">
        <f>'[1]DEC 2024'!H191</f>
        <v>2000</v>
      </c>
    </row>
    <row r="3036" spans="1:8" x14ac:dyDescent="0.2">
      <c r="A3036" s="20">
        <f>'[1]DEC 2024'!A192</f>
        <v>45654</v>
      </c>
      <c r="B3036" s="12" t="str">
        <f>'[1]DEC 2024'!B192</f>
        <v>Andere</v>
      </c>
      <c r="C3036" s="3">
        <f>'[1]DEC 2024'!C192</f>
        <v>0</v>
      </c>
      <c r="D3036" s="3">
        <f>'[1]DEC 2024'!D192</f>
        <v>0</v>
      </c>
      <c r="E3036" s="4">
        <f>'[1]DEC 2024'!E192</f>
        <v>0</v>
      </c>
      <c r="F3036" s="6">
        <f>'[1]DEC 2024'!F192</f>
        <v>0</v>
      </c>
      <c r="G3036" s="4">
        <f>'[1]DEC 2024'!G192</f>
        <v>0</v>
      </c>
      <c r="H3036" s="4">
        <f>'[1]DEC 2024'!H192</f>
        <v>7802</v>
      </c>
    </row>
    <row r="3037" spans="1:8" x14ac:dyDescent="0.2">
      <c r="A3037" s="23">
        <f>'[1]DEC 2024'!A193</f>
        <v>45654</v>
      </c>
      <c r="B3037" s="12" t="str">
        <f>'[1]DEC 2024'!B193</f>
        <v>Andere</v>
      </c>
      <c r="C3037" s="3">
        <f>'[1]DEC 2024'!C193</f>
        <v>0</v>
      </c>
      <c r="D3037" s="3">
        <f>'[1]DEC 2024'!D193</f>
        <v>0</v>
      </c>
      <c r="E3037" s="4">
        <f>'[1]DEC 2024'!E193</f>
        <v>0</v>
      </c>
      <c r="F3037" s="6">
        <f>'[1]DEC 2024'!F193</f>
        <v>0</v>
      </c>
      <c r="G3037" s="4">
        <f>'[1]DEC 2024'!G193</f>
        <v>0</v>
      </c>
      <c r="H3037" s="4">
        <f>'[1]DEC 2024'!H193</f>
        <v>400</v>
      </c>
    </row>
    <row r="3038" spans="1:8" x14ac:dyDescent="0.2">
      <c r="A3038" s="20">
        <f>'[1]DEC 2024'!A194</f>
        <v>45654</v>
      </c>
      <c r="B3038" s="12" t="str">
        <f>'[1]DEC 2024'!B194</f>
        <v>Andere</v>
      </c>
      <c r="C3038" s="3">
        <f>'[1]DEC 2024'!C194</f>
        <v>0</v>
      </c>
      <c r="D3038" s="3">
        <f>'[1]DEC 2024'!D194</f>
        <v>0</v>
      </c>
      <c r="E3038" s="4">
        <f>'[1]DEC 2024'!E194</f>
        <v>0</v>
      </c>
      <c r="F3038" s="6">
        <f>'[1]DEC 2024'!F194</f>
        <v>0</v>
      </c>
      <c r="G3038" s="4">
        <f>'[1]DEC 2024'!G194</f>
        <v>0</v>
      </c>
      <c r="H3038" s="4">
        <f>'[1]DEC 2024'!H194</f>
        <v>454.97</v>
      </c>
    </row>
    <row r="3039" spans="1:8" x14ac:dyDescent="0.2">
      <c r="A3039" s="23">
        <f>'[1]DEC 2024'!A195</f>
        <v>45654</v>
      </c>
      <c r="B3039" s="12" t="str">
        <f>'[1]DEC 2024'!B195</f>
        <v>none</v>
      </c>
      <c r="C3039" s="3">
        <f>'[1]DEC 2024'!C195</f>
        <v>0</v>
      </c>
      <c r="D3039" s="3">
        <f>'[1]DEC 2024'!D195</f>
        <v>16500</v>
      </c>
      <c r="E3039" s="4">
        <f>'[1]DEC 2024'!E195</f>
        <v>0</v>
      </c>
      <c r="F3039" s="6">
        <f>'[1]DEC 2024'!F195</f>
        <v>0</v>
      </c>
      <c r="G3039" s="4">
        <f>'[1]DEC 2024'!G195</f>
        <v>16500</v>
      </c>
      <c r="H3039" s="4">
        <f>'[1]DEC 2024'!H195</f>
        <v>0</v>
      </c>
    </row>
    <row r="3040" spans="1:8" x14ac:dyDescent="0.2">
      <c r="A3040" s="23">
        <f>'[1]DEC 2024'!A205</f>
        <v>45656</v>
      </c>
      <c r="B3040" s="12" t="str">
        <f>'[1]DEC 2024'!B205</f>
        <v>Andere</v>
      </c>
      <c r="C3040" s="3">
        <f>'[1]DEC 2024'!C205</f>
        <v>0</v>
      </c>
      <c r="D3040" s="3">
        <f>'[1]DEC 2024'!D205</f>
        <v>0</v>
      </c>
      <c r="E3040" s="4">
        <f>'[1]DEC 2024'!E205</f>
        <v>0</v>
      </c>
      <c r="F3040" s="6">
        <f>'[1]DEC 2024'!F205</f>
        <v>0</v>
      </c>
      <c r="G3040" s="4">
        <f>'[1]DEC 2024'!G205</f>
        <v>0</v>
      </c>
      <c r="H3040" s="4">
        <f>'[1]DEC 2024'!H205</f>
        <v>3000</v>
      </c>
    </row>
    <row r="3041" spans="1:8" x14ac:dyDescent="0.2">
      <c r="A3041" s="20">
        <f>'[1]DEC 2024'!A206</f>
        <v>45656</v>
      </c>
      <c r="B3041" s="12" t="str">
        <f>'[1]DEC 2024'!B206</f>
        <v>LM</v>
      </c>
      <c r="C3041" s="3">
        <f>'[1]DEC 2024'!C206</f>
        <v>0</v>
      </c>
      <c r="D3041" s="3">
        <f>'[1]DEC 2024'!D206</f>
        <v>0</v>
      </c>
      <c r="E3041" s="4">
        <f>'[1]DEC 2024'!E206</f>
        <v>0</v>
      </c>
      <c r="F3041" s="6">
        <f>'[1]DEC 2024'!F206</f>
        <v>0</v>
      </c>
      <c r="G3041" s="4">
        <f>'[1]DEC 2024'!G206</f>
        <v>0</v>
      </c>
      <c r="H3041" s="4">
        <f>'[1]DEC 2024'!H206</f>
        <v>4430</v>
      </c>
    </row>
    <row r="3042" spans="1:8" x14ac:dyDescent="0.2">
      <c r="A3042" s="23">
        <f>'[1]DEC 2024'!A207</f>
        <v>45656</v>
      </c>
      <c r="B3042" s="12" t="str">
        <f>'[1]DEC 2024'!B207</f>
        <v>VM</v>
      </c>
      <c r="C3042" s="3">
        <f>'[1]DEC 2024'!C207</f>
        <v>0</v>
      </c>
      <c r="D3042" s="3">
        <f>'[1]DEC 2024'!D207</f>
        <v>0</v>
      </c>
      <c r="E3042" s="4">
        <f>'[1]DEC 2024'!E207</f>
        <v>0</v>
      </c>
      <c r="F3042" s="6">
        <f>'[1]DEC 2024'!F207</f>
        <v>0</v>
      </c>
      <c r="G3042" s="4">
        <f>'[1]DEC 2024'!G207</f>
        <v>0</v>
      </c>
      <c r="H3042" s="4">
        <f>'[1]DEC 2024'!H207</f>
        <v>413</v>
      </c>
    </row>
    <row r="3043" spans="1:8" x14ac:dyDescent="0.2">
      <c r="A3043" s="20">
        <f>'[1]DEC 2024'!A208</f>
        <v>45656</v>
      </c>
      <c r="B3043" s="12" t="str">
        <f>'[1]DEC 2024'!B208</f>
        <v>LM</v>
      </c>
      <c r="C3043" s="3">
        <f>'[1]DEC 2024'!C208</f>
        <v>0</v>
      </c>
      <c r="D3043" s="3">
        <f>'[1]DEC 2024'!D208</f>
        <v>0</v>
      </c>
      <c r="E3043" s="4">
        <f>'[1]DEC 2024'!E208</f>
        <v>0</v>
      </c>
      <c r="F3043" s="6">
        <f>'[1]DEC 2024'!F208</f>
        <v>0</v>
      </c>
      <c r="G3043" s="4">
        <f>'[1]DEC 2024'!G208</f>
        <v>0</v>
      </c>
      <c r="H3043" s="4">
        <f>'[1]DEC 2024'!H208</f>
        <v>47.99</v>
      </c>
    </row>
    <row r="3044" spans="1:8" x14ac:dyDescent="0.2">
      <c r="A3044" s="20">
        <f>'[1]DEC 2024'!A212</f>
        <v>45657</v>
      </c>
      <c r="B3044" s="12" t="str">
        <f>'[1]DEC 2024'!B212</f>
        <v>VM</v>
      </c>
      <c r="C3044" s="3">
        <f>'[1]DEC 2024'!C212</f>
        <v>0</v>
      </c>
      <c r="D3044" s="3">
        <f>'[1]DEC 2024'!D212</f>
        <v>0</v>
      </c>
      <c r="E3044" s="4">
        <f>'[1]DEC 2024'!E212</f>
        <v>0</v>
      </c>
      <c r="F3044" s="6">
        <f>'[1]DEC 2024'!F212</f>
        <v>0</v>
      </c>
      <c r="G3044" s="4">
        <f>'[1]DEC 2024'!G212</f>
        <v>0</v>
      </c>
      <c r="H3044" s="4">
        <f>'[1]DEC 2024'!H212</f>
        <v>128</v>
      </c>
    </row>
    <row r="3045" spans="1:8" x14ac:dyDescent="0.2">
      <c r="A3045" s="23">
        <f>'[1]DEC 2024'!A213</f>
        <v>45657</v>
      </c>
      <c r="B3045" s="12" t="str">
        <f>'[1]DEC 2024'!B213</f>
        <v>LM</v>
      </c>
      <c r="C3045" s="3">
        <f>'[1]DEC 2024'!C213</f>
        <v>0</v>
      </c>
      <c r="D3045" s="3">
        <f>'[1]DEC 2024'!D213</f>
        <v>0</v>
      </c>
      <c r="E3045" s="4">
        <f>'[1]DEC 2024'!E213</f>
        <v>0</v>
      </c>
      <c r="F3045" s="6">
        <f>'[1]DEC 2024'!F213</f>
        <v>0</v>
      </c>
      <c r="G3045" s="4">
        <f>'[1]DEC 2024'!G213</f>
        <v>0</v>
      </c>
      <c r="H3045" s="4">
        <f>'[1]DEC 2024'!H213</f>
        <v>2596.3200000000002</v>
      </c>
    </row>
    <row r="3046" spans="1:8" x14ac:dyDescent="0.2">
      <c r="A3046" s="20">
        <f>'[1]DEC 2024'!A214</f>
        <v>45657</v>
      </c>
      <c r="B3046" s="12" t="str">
        <f>'[1]DEC 2024'!B214</f>
        <v>Refill</v>
      </c>
      <c r="C3046" s="3">
        <f>'[1]DEC 2024'!C214</f>
        <v>0</v>
      </c>
      <c r="D3046" s="3">
        <f>'[1]DEC 2024'!D214</f>
        <v>0</v>
      </c>
      <c r="E3046" s="4">
        <f>'[1]DEC 2024'!E214</f>
        <v>0</v>
      </c>
      <c r="F3046" s="6">
        <f>'[1]DEC 2024'!F214</f>
        <v>0</v>
      </c>
      <c r="G3046" s="4">
        <f>'[1]DEC 2024'!G214</f>
        <v>385192</v>
      </c>
      <c r="H3046" s="4">
        <f>'[1]DEC 2024'!H214</f>
        <v>0</v>
      </c>
    </row>
    <row r="3047" spans="1:8" x14ac:dyDescent="0.2">
      <c r="A3047" s="23">
        <f>'[1]JAN 2025'!A2</f>
        <v>45658</v>
      </c>
      <c r="B3047" s="12" t="str">
        <f>'[1]JAN 2025'!B2</f>
        <v>LM</v>
      </c>
      <c r="C3047" s="3">
        <f>'[1]JAN 2025'!C2</f>
        <v>0</v>
      </c>
      <c r="D3047" s="3">
        <f>'[1]JAN 2025'!D2</f>
        <v>0</v>
      </c>
      <c r="E3047" s="3">
        <f>'[1]JAN 2025'!E2</f>
        <v>0</v>
      </c>
      <c r="F3047" s="3">
        <f>'[1]JAN 2025'!F2</f>
        <v>0</v>
      </c>
      <c r="G3047" s="3">
        <f>'[1]JAN 2025'!G2</f>
        <v>0</v>
      </c>
      <c r="H3047" s="3">
        <f>'[1]JAN 2025'!H2</f>
        <v>1071.98</v>
      </c>
    </row>
    <row r="3048" spans="1:8" x14ac:dyDescent="0.2">
      <c r="A3048" s="23">
        <f>'[1]JAN 2025'!A4</f>
        <v>45658</v>
      </c>
      <c r="B3048" s="12" t="str">
        <f>'[1]JAN 2025'!B4</f>
        <v>Andere</v>
      </c>
      <c r="C3048" s="3">
        <f>'[1]JAN 2025'!C4</f>
        <v>0</v>
      </c>
      <c r="D3048" s="3">
        <f>'[1]JAN 2025'!D4</f>
        <v>0</v>
      </c>
      <c r="E3048" s="3">
        <f>'[1]JAN 2025'!E4</f>
        <v>0</v>
      </c>
      <c r="F3048" s="3">
        <f>'[1]JAN 2025'!F4</f>
        <v>0</v>
      </c>
      <c r="G3048" s="3">
        <f>'[1]JAN 2025'!G4</f>
        <v>0</v>
      </c>
      <c r="H3048" s="3">
        <f>'[1]JAN 2025'!H4</f>
        <v>1990</v>
      </c>
    </row>
    <row r="3049" spans="1:8" x14ac:dyDescent="0.2">
      <c r="A3049" s="23">
        <f>'[1]JAN 2025'!A8</f>
        <v>45658</v>
      </c>
      <c r="B3049" s="12" t="str">
        <f>'[1]JAN 2025'!B8</f>
        <v>Frauen</v>
      </c>
      <c r="C3049" s="3">
        <f>'[1]JAN 2025'!C8</f>
        <v>0</v>
      </c>
      <c r="D3049" s="3">
        <f>'[1]JAN 2025'!D8</f>
        <v>0</v>
      </c>
      <c r="E3049" s="3">
        <f>'[1]JAN 2025'!E8</f>
        <v>0</v>
      </c>
      <c r="F3049" s="3">
        <f>'[1]JAN 2025'!F8</f>
        <v>0</v>
      </c>
      <c r="G3049" s="3">
        <f>'[1]JAN 2025'!G8</f>
        <v>0</v>
      </c>
      <c r="H3049" s="3">
        <f>'[1]JAN 2025'!H8</f>
        <v>1655.9</v>
      </c>
    </row>
    <row r="3050" spans="1:8" x14ac:dyDescent="0.2">
      <c r="A3050" s="20">
        <f>'[1]JAN 2025'!A9</f>
        <v>45659</v>
      </c>
      <c r="B3050" s="12" t="str">
        <f>'[1]JAN 2025'!B9</f>
        <v>LM</v>
      </c>
      <c r="C3050" s="3">
        <f>'[1]JAN 2025'!C9</f>
        <v>0</v>
      </c>
      <c r="D3050" s="3">
        <f>'[1]JAN 2025'!D9</f>
        <v>0</v>
      </c>
      <c r="E3050" s="3">
        <f>'[1]JAN 2025'!E9</f>
        <v>0</v>
      </c>
      <c r="F3050" s="3">
        <f>'[1]JAN 2025'!F9</f>
        <v>0</v>
      </c>
      <c r="G3050" s="3">
        <f>'[1]JAN 2025'!G9</f>
        <v>0</v>
      </c>
      <c r="H3050" s="3">
        <f>'[1]JAN 2025'!H9</f>
        <v>1609.47</v>
      </c>
    </row>
    <row r="3051" spans="1:8" x14ac:dyDescent="0.2">
      <c r="A3051" s="23">
        <f>'[1]JAN 2025'!A16</f>
        <v>45660</v>
      </c>
      <c r="B3051" s="12" t="str">
        <f>'[1]JAN 2025'!B16</f>
        <v>Refill</v>
      </c>
      <c r="C3051" s="3">
        <f>'[1]JAN 2025'!C16</f>
        <v>0</v>
      </c>
      <c r="D3051" s="3">
        <f>'[1]JAN 2025'!D16</f>
        <v>0</v>
      </c>
      <c r="E3051" s="3">
        <f>'[1]JAN 2025'!E16</f>
        <v>0</v>
      </c>
      <c r="F3051" s="3">
        <f>'[1]JAN 2025'!F16</f>
        <v>0</v>
      </c>
      <c r="G3051" s="3">
        <f>'[1]JAN 2025'!G16</f>
        <v>10067.36</v>
      </c>
      <c r="H3051" s="3">
        <f>'[1]JAN 2025'!H16</f>
        <v>0</v>
      </c>
    </row>
    <row r="3052" spans="1:8" x14ac:dyDescent="0.2">
      <c r="A3052" s="20">
        <f>'[1]JAN 2025'!A17</f>
        <v>45660</v>
      </c>
      <c r="B3052" s="12" t="str">
        <f>'[1]JAN 2025'!B17</f>
        <v>VM</v>
      </c>
      <c r="C3052" s="3">
        <f>'[1]JAN 2025'!C17</f>
        <v>0</v>
      </c>
      <c r="D3052" s="3">
        <f>'[1]JAN 2025'!D17</f>
        <v>0</v>
      </c>
      <c r="E3052" s="3">
        <f>'[1]JAN 2025'!E17</f>
        <v>0</v>
      </c>
      <c r="F3052" s="3">
        <f>'[1]JAN 2025'!F17</f>
        <v>0</v>
      </c>
      <c r="G3052" s="3">
        <f>'[1]JAN 2025'!G17</f>
        <v>0</v>
      </c>
      <c r="H3052" s="3">
        <f>'[1]JAN 2025'!H17</f>
        <v>140</v>
      </c>
    </row>
    <row r="3053" spans="1:8" x14ac:dyDescent="0.2">
      <c r="A3053" s="23">
        <f>'[1]JAN 2025'!A18</f>
        <v>45660</v>
      </c>
      <c r="B3053" s="12" t="str">
        <f>'[1]JAN 2025'!B18</f>
        <v>Andere</v>
      </c>
      <c r="C3053" s="3">
        <f>'[1]JAN 2025'!C18</f>
        <v>0</v>
      </c>
      <c r="D3053" s="3">
        <f>'[1]JAN 2025'!D18</f>
        <v>0</v>
      </c>
      <c r="E3053" s="3">
        <f>'[1]JAN 2025'!E18</f>
        <v>0</v>
      </c>
      <c r="F3053" s="3">
        <f>'[1]JAN 2025'!F18</f>
        <v>0</v>
      </c>
      <c r="G3053" s="3">
        <f>'[1]JAN 2025'!G18</f>
        <v>0</v>
      </c>
      <c r="H3053" s="3">
        <f>'[1]JAN 2025'!H18</f>
        <v>8000</v>
      </c>
    </row>
    <row r="3054" spans="1:8" x14ac:dyDescent="0.2">
      <c r="A3054" s="20">
        <f>'[1]JAN 2025'!A19</f>
        <v>45660</v>
      </c>
      <c r="B3054" s="12" t="str">
        <f>'[1]JAN 2025'!B19</f>
        <v>none</v>
      </c>
      <c r="C3054" s="3">
        <f>'[1]JAN 2025'!C19</f>
        <v>0</v>
      </c>
      <c r="D3054" s="3">
        <f>'[1]JAN 2025'!D19</f>
        <v>0</v>
      </c>
      <c r="E3054" s="3">
        <f>'[1]JAN 2025'!E19</f>
        <v>0</v>
      </c>
      <c r="F3054" s="3">
        <f>'[1]JAN 2025'!F19</f>
        <v>0</v>
      </c>
      <c r="G3054" s="3">
        <f>'[1]JAN 2025'!G19</f>
        <v>5000</v>
      </c>
      <c r="H3054" s="3">
        <f>'[1]JAN 2025'!H19</f>
        <v>0</v>
      </c>
    </row>
    <row r="3055" spans="1:8" x14ac:dyDescent="0.2">
      <c r="A3055" s="23">
        <f>'[1]JAN 2025'!A20</f>
        <v>45660</v>
      </c>
      <c r="B3055" s="12" t="str">
        <f>'[1]JAN 2025'!B20</f>
        <v>LM</v>
      </c>
      <c r="C3055" s="3">
        <f>'[1]JAN 2025'!C20</f>
        <v>0</v>
      </c>
      <c r="D3055" s="3">
        <f>'[1]JAN 2025'!D20</f>
        <v>0</v>
      </c>
      <c r="E3055" s="3">
        <f>'[1]JAN 2025'!E20</f>
        <v>0</v>
      </c>
      <c r="F3055" s="3">
        <f>'[1]JAN 2025'!F20</f>
        <v>0</v>
      </c>
      <c r="G3055" s="3">
        <f>'[1]JAN 2025'!G20</f>
        <v>0</v>
      </c>
      <c r="H3055" s="3">
        <f>'[1]JAN 2025'!H20</f>
        <v>409.99</v>
      </c>
    </row>
    <row r="3056" spans="1:8" x14ac:dyDescent="0.2">
      <c r="A3056" s="20">
        <f>'[1]JAN 2025'!A23</f>
        <v>45661</v>
      </c>
      <c r="B3056" s="12" t="str">
        <f>'[1]JAN 2025'!B23</f>
        <v>VM</v>
      </c>
      <c r="C3056" s="3">
        <f>'[1]JAN 2025'!C23</f>
        <v>0</v>
      </c>
      <c r="D3056" s="3">
        <f>'[1]JAN 2025'!D23</f>
        <v>0</v>
      </c>
      <c r="E3056" s="3">
        <f>'[1]JAN 2025'!E23</f>
        <v>0</v>
      </c>
      <c r="F3056" s="3">
        <f>'[1]JAN 2025'!F23</f>
        <v>0</v>
      </c>
      <c r="G3056" s="3">
        <f>'[1]JAN 2025'!G23</f>
        <v>0</v>
      </c>
      <c r="H3056" s="3">
        <f>'[1]JAN 2025'!H23</f>
        <v>70</v>
      </c>
    </row>
    <row r="3057" spans="1:8" x14ac:dyDescent="0.2">
      <c r="A3057" s="23">
        <f>'[1]JAN 2025'!A24</f>
        <v>45661</v>
      </c>
      <c r="B3057" s="12" t="str">
        <f>'[1]JAN 2025'!B24</f>
        <v>LM</v>
      </c>
      <c r="C3057" s="3">
        <f>'[1]JAN 2025'!C24</f>
        <v>0</v>
      </c>
      <c r="D3057" s="3">
        <f>'[1]JAN 2025'!D24</f>
        <v>0</v>
      </c>
      <c r="E3057" s="3">
        <f>'[1]JAN 2025'!E24</f>
        <v>0</v>
      </c>
      <c r="F3057" s="3">
        <f>'[1]JAN 2025'!F24</f>
        <v>0</v>
      </c>
      <c r="G3057" s="3">
        <f>'[1]JAN 2025'!G24</f>
        <v>0</v>
      </c>
      <c r="H3057" s="3">
        <f>'[1]JAN 2025'!H24</f>
        <v>949.99</v>
      </c>
    </row>
    <row r="3058" spans="1:8" x14ac:dyDescent="0.2">
      <c r="A3058" s="20">
        <f>'[1]JAN 2025'!A25</f>
        <v>45661</v>
      </c>
      <c r="B3058" s="12" t="str">
        <f>'[1]JAN 2025'!B25</f>
        <v>none</v>
      </c>
      <c r="C3058" s="3">
        <f>'[1]JAN 2025'!C25</f>
        <v>0</v>
      </c>
      <c r="D3058" s="3">
        <f>'[1]JAN 2025'!D25</f>
        <v>0</v>
      </c>
      <c r="E3058" s="3">
        <f>'[1]JAN 2025'!E25</f>
        <v>0</v>
      </c>
      <c r="F3058" s="3">
        <f>'[1]JAN 2025'!F25</f>
        <v>0</v>
      </c>
      <c r="G3058" s="3">
        <f>'[1]JAN 2025'!G25</f>
        <v>400</v>
      </c>
      <c r="H3058" s="3">
        <f>'[1]JAN 2025'!H25</f>
        <v>0</v>
      </c>
    </row>
    <row r="3059" spans="1:8" x14ac:dyDescent="0.2">
      <c r="A3059" s="23">
        <f>'[1]JAN 2025'!A30</f>
        <v>45662</v>
      </c>
      <c r="B3059" s="12" t="str">
        <f>'[1]JAN 2025'!B30</f>
        <v>LM</v>
      </c>
      <c r="C3059" s="3">
        <f>'[1]JAN 2025'!C30</f>
        <v>0</v>
      </c>
      <c r="D3059" s="3">
        <f>'[1]JAN 2025'!D30</f>
        <v>0</v>
      </c>
      <c r="E3059" s="3">
        <f>'[1]JAN 2025'!E30</f>
        <v>0</v>
      </c>
      <c r="F3059" s="3">
        <f>'[1]JAN 2025'!F30</f>
        <v>0</v>
      </c>
      <c r="G3059" s="3">
        <f>'[1]JAN 2025'!G30</f>
        <v>0</v>
      </c>
      <c r="H3059" s="3">
        <f>'[1]JAN 2025'!H30</f>
        <v>907</v>
      </c>
    </row>
    <row r="3060" spans="1:8" x14ac:dyDescent="0.2">
      <c r="A3060" s="20">
        <f>'[1]JAN 2025'!A37</f>
        <v>45663</v>
      </c>
      <c r="B3060" s="12" t="str">
        <f>'[1]JAN 2025'!B37</f>
        <v>VM</v>
      </c>
      <c r="C3060" s="3">
        <f>'[1]JAN 2025'!C37</f>
        <v>0</v>
      </c>
      <c r="D3060" s="3">
        <f>'[1]JAN 2025'!D37</f>
        <v>0</v>
      </c>
      <c r="E3060" s="3">
        <f>'[1]JAN 2025'!E37</f>
        <v>0</v>
      </c>
      <c r="F3060" s="3">
        <f>'[1]JAN 2025'!F37</f>
        <v>0</v>
      </c>
      <c r="G3060" s="3">
        <f>'[1]JAN 2025'!G37</f>
        <v>0</v>
      </c>
      <c r="H3060" s="3">
        <f>'[1]JAN 2025'!H37</f>
        <v>1319</v>
      </c>
    </row>
    <row r="3061" spans="1:8" x14ac:dyDescent="0.2">
      <c r="A3061" s="23">
        <f>'[1]JAN 2025'!A38</f>
        <v>45663</v>
      </c>
      <c r="B3061" s="12" t="str">
        <f>'[1]JAN 2025'!B38</f>
        <v>LM</v>
      </c>
      <c r="C3061" s="3">
        <f>'[1]JAN 2025'!C38</f>
        <v>0</v>
      </c>
      <c r="D3061" s="3">
        <f>'[1]JAN 2025'!D38</f>
        <v>0</v>
      </c>
      <c r="E3061" s="3">
        <f>'[1]JAN 2025'!E38</f>
        <v>0</v>
      </c>
      <c r="F3061" s="3">
        <f>'[1]JAN 2025'!F38</f>
        <v>0</v>
      </c>
      <c r="G3061" s="3">
        <f>'[1]JAN 2025'!G38</f>
        <v>0</v>
      </c>
      <c r="H3061" s="3">
        <f>'[1]JAN 2025'!H38</f>
        <v>400</v>
      </c>
    </row>
    <row r="3062" spans="1:8" x14ac:dyDescent="0.2">
      <c r="A3062" s="23">
        <f>'[1]JAN 2025'!A44</f>
        <v>45664</v>
      </c>
      <c r="B3062" s="12" t="str">
        <f>'[1]JAN 2025'!B44</f>
        <v>LM</v>
      </c>
      <c r="C3062" s="3">
        <f>'[1]JAN 2025'!C44</f>
        <v>0</v>
      </c>
      <c r="D3062" s="3">
        <f>'[1]JAN 2025'!D44</f>
        <v>0</v>
      </c>
      <c r="E3062" s="3">
        <f>'[1]JAN 2025'!E44</f>
        <v>0</v>
      </c>
      <c r="F3062" s="3">
        <f>'[1]JAN 2025'!F44</f>
        <v>0</v>
      </c>
      <c r="G3062" s="3">
        <f>'[1]JAN 2025'!G44</f>
        <v>0</v>
      </c>
      <c r="H3062" s="3">
        <f>'[1]JAN 2025'!H44</f>
        <v>3423.87</v>
      </c>
    </row>
    <row r="3063" spans="1:8" x14ac:dyDescent="0.2">
      <c r="A3063" s="20">
        <f>'[1]JAN 2025'!A45</f>
        <v>45664</v>
      </c>
      <c r="B3063" s="12" t="str">
        <f>'[1]JAN 2025'!B45</f>
        <v>Rauchen</v>
      </c>
      <c r="C3063" s="3">
        <f>'[1]JAN 2025'!C45</f>
        <v>0</v>
      </c>
      <c r="D3063" s="3">
        <f>'[1]JAN 2025'!D45</f>
        <v>0</v>
      </c>
      <c r="E3063" s="3">
        <f>'[1]JAN 2025'!E45</f>
        <v>0</v>
      </c>
      <c r="F3063" s="3">
        <f>'[1]JAN 2025'!F45</f>
        <v>0</v>
      </c>
      <c r="G3063" s="3">
        <f>'[1]JAN 2025'!G45</f>
        <v>0</v>
      </c>
      <c r="H3063" s="3">
        <f>'[1]JAN 2025'!H45</f>
        <v>340</v>
      </c>
    </row>
    <row r="3064" spans="1:8" x14ac:dyDescent="0.2">
      <c r="A3064" s="20">
        <f>'[1]JAN 2025'!A51</f>
        <v>45665</v>
      </c>
      <c r="B3064" s="12" t="str">
        <f>'[1]JAN 2025'!B51</f>
        <v>none</v>
      </c>
      <c r="C3064" s="3">
        <f>'[1]JAN 2025'!C51</f>
        <v>0</v>
      </c>
      <c r="D3064" s="3">
        <f>'[1]JAN 2025'!D51</f>
        <v>0</v>
      </c>
      <c r="E3064" s="3">
        <f>'[1]JAN 2025'!E51</f>
        <v>0</v>
      </c>
      <c r="F3064" s="3">
        <f>'[1]JAN 2025'!F51</f>
        <v>0</v>
      </c>
      <c r="G3064" s="3">
        <f>'[1]JAN 2025'!G51</f>
        <v>5000</v>
      </c>
      <c r="H3064" s="3">
        <f>'[1]JAN 2025'!H51</f>
        <v>0</v>
      </c>
    </row>
    <row r="3065" spans="1:8" x14ac:dyDescent="0.2">
      <c r="A3065" s="23">
        <f>'[1]JAN 2025'!A52</f>
        <v>45665</v>
      </c>
      <c r="B3065" s="12" t="str">
        <f>'[1]JAN 2025'!B52</f>
        <v>LM</v>
      </c>
      <c r="C3065" s="3">
        <f>'[1]JAN 2025'!C52</f>
        <v>0</v>
      </c>
      <c r="D3065" s="3">
        <f>'[1]JAN 2025'!D52</f>
        <v>0</v>
      </c>
      <c r="E3065" s="3">
        <f>'[1]JAN 2025'!E52</f>
        <v>0</v>
      </c>
      <c r="F3065" s="3">
        <f>'[1]JAN 2025'!F52</f>
        <v>0</v>
      </c>
      <c r="G3065" s="3">
        <f>'[1]JAN 2025'!G52</f>
        <v>0</v>
      </c>
      <c r="H3065" s="3">
        <f>'[1]JAN 2025'!H52</f>
        <v>700.97</v>
      </c>
    </row>
    <row r="3066" spans="1:8" x14ac:dyDescent="0.2">
      <c r="A3066" s="20">
        <f>'[1]JAN 2025'!A53</f>
        <v>45665</v>
      </c>
      <c r="B3066" s="12" t="str">
        <f>'[1]JAN 2025'!B53</f>
        <v>none</v>
      </c>
      <c r="C3066" s="3">
        <f>'[1]JAN 2025'!C53</f>
        <v>0</v>
      </c>
      <c r="D3066" s="3">
        <f>'[1]JAN 2025'!D53</f>
        <v>0</v>
      </c>
      <c r="E3066" s="3">
        <f>'[1]JAN 2025'!E53</f>
        <v>0</v>
      </c>
      <c r="F3066" s="3">
        <f>'[1]JAN 2025'!F53</f>
        <v>0</v>
      </c>
      <c r="G3066" s="3">
        <f>'[1]JAN 2025'!G53</f>
        <v>1524.69</v>
      </c>
      <c r="H3066" s="3">
        <f>'[1]JAN 2025'!H53</f>
        <v>0</v>
      </c>
    </row>
    <row r="3067" spans="1:8" x14ac:dyDescent="0.2">
      <c r="A3067" s="23">
        <f>'[1]JAN 2025'!A58</f>
        <v>45666</v>
      </c>
      <c r="B3067" s="12" t="str">
        <f>'[1]JAN 2025'!B58</f>
        <v>LM</v>
      </c>
      <c r="C3067" s="3">
        <f>'[1]JAN 2025'!C58</f>
        <v>0</v>
      </c>
      <c r="D3067" s="3">
        <f>'[1]JAN 2025'!D58</f>
        <v>0</v>
      </c>
      <c r="E3067" s="3">
        <f>'[1]JAN 2025'!E58</f>
        <v>0</v>
      </c>
      <c r="F3067" s="3">
        <f>'[1]JAN 2025'!F58</f>
        <v>0</v>
      </c>
      <c r="G3067" s="3">
        <f>'[1]JAN 2025'!G58</f>
        <v>0</v>
      </c>
      <c r="H3067" s="3">
        <f>'[1]JAN 2025'!H58</f>
        <v>244.92</v>
      </c>
    </row>
    <row r="3068" spans="1:8" x14ac:dyDescent="0.2">
      <c r="A3068" s="20">
        <f>'[1]JAN 2025'!A65</f>
        <v>45667</v>
      </c>
      <c r="B3068" s="12" t="str">
        <f>'[1]JAN 2025'!B65</f>
        <v>LM</v>
      </c>
      <c r="C3068" s="3">
        <f>'[1]JAN 2025'!C65</f>
        <v>0</v>
      </c>
      <c r="D3068" s="3">
        <f>'[1]JAN 2025'!D65</f>
        <v>0</v>
      </c>
      <c r="E3068" s="3">
        <f>'[1]JAN 2025'!E65</f>
        <v>0</v>
      </c>
      <c r="F3068" s="3">
        <f>'[1]JAN 2025'!F65</f>
        <v>0</v>
      </c>
      <c r="G3068" s="3">
        <f>'[1]JAN 2025'!G65</f>
        <v>0</v>
      </c>
      <c r="H3068" s="3">
        <f>'[1]JAN 2025'!H65</f>
        <v>719.95</v>
      </c>
    </row>
    <row r="3069" spans="1:8" x14ac:dyDescent="0.2">
      <c r="A3069" s="23">
        <f>'[1]JAN 2025'!A66</f>
        <v>45667</v>
      </c>
      <c r="B3069" s="12" t="str">
        <f>'[1]JAN 2025'!B66</f>
        <v>Andere</v>
      </c>
      <c r="C3069" s="3">
        <f>'[1]JAN 2025'!C66</f>
        <v>0</v>
      </c>
      <c r="D3069" s="3">
        <f>'[1]JAN 2025'!D66</f>
        <v>0</v>
      </c>
      <c r="E3069" s="3">
        <f>'[1]JAN 2025'!E66</f>
        <v>0</v>
      </c>
      <c r="F3069" s="3">
        <f>'[1]JAN 2025'!F66</f>
        <v>0</v>
      </c>
      <c r="G3069" s="3">
        <f>'[1]JAN 2025'!G66</f>
        <v>0</v>
      </c>
      <c r="H3069" s="3">
        <f>'[1]JAN 2025'!H66</f>
        <v>2380</v>
      </c>
    </row>
    <row r="3070" spans="1:8" x14ac:dyDescent="0.2">
      <c r="A3070" s="23">
        <f>'[1]JAN 2025'!A72</f>
        <v>45668</v>
      </c>
      <c r="B3070" s="12" t="str">
        <f>'[1]JAN 2025'!B72</f>
        <v>LM</v>
      </c>
      <c r="C3070" s="3">
        <f>'[1]JAN 2025'!C72</f>
        <v>0</v>
      </c>
      <c r="D3070" s="3">
        <f>'[1]JAN 2025'!D72</f>
        <v>0</v>
      </c>
      <c r="E3070" s="3">
        <f>'[1]JAN 2025'!E72</f>
        <v>0</v>
      </c>
      <c r="F3070" s="3">
        <f>'[1]JAN 2025'!F72</f>
        <v>0</v>
      </c>
      <c r="G3070" s="3">
        <f>'[1]JAN 2025'!G72</f>
        <v>0</v>
      </c>
      <c r="H3070" s="3">
        <f>'[1]JAN 2025'!H72</f>
        <v>2054.75</v>
      </c>
    </row>
    <row r="3071" spans="1:8" x14ac:dyDescent="0.2">
      <c r="A3071" s="20">
        <f>'[1]JAN 2025'!A79</f>
        <v>45669</v>
      </c>
      <c r="B3071" s="12" t="str">
        <f>'[1]JAN 2025'!B79</f>
        <v>Rauchen</v>
      </c>
      <c r="C3071" s="3">
        <f>'[1]JAN 2025'!C79</f>
        <v>0</v>
      </c>
      <c r="D3071" s="3">
        <f>'[1]JAN 2025'!D79</f>
        <v>0</v>
      </c>
      <c r="E3071" s="3">
        <f>'[1]JAN 2025'!E79</f>
        <v>0</v>
      </c>
      <c r="F3071" s="3">
        <f>'[1]JAN 2025'!F79</f>
        <v>0</v>
      </c>
      <c r="G3071" s="3">
        <f>'[1]JAN 2025'!G79</f>
        <v>0</v>
      </c>
      <c r="H3071" s="3">
        <f>'[1]JAN 2025'!H79</f>
        <v>170</v>
      </c>
    </row>
    <row r="3072" spans="1:8" x14ac:dyDescent="0.2">
      <c r="A3072" s="23">
        <f>'[1]JAN 2025'!A80</f>
        <v>45669</v>
      </c>
      <c r="B3072" s="12" t="str">
        <f>'[1]JAN 2025'!B80</f>
        <v>LM</v>
      </c>
      <c r="C3072" s="3">
        <f>'[1]JAN 2025'!C80</f>
        <v>0</v>
      </c>
      <c r="D3072" s="3">
        <f>'[1]JAN 2025'!D80</f>
        <v>0</v>
      </c>
      <c r="E3072" s="3">
        <f>'[1]JAN 2025'!E80</f>
        <v>0</v>
      </c>
      <c r="F3072" s="3">
        <f>'[1]JAN 2025'!F80</f>
        <v>0</v>
      </c>
      <c r="G3072" s="3">
        <f>'[1]JAN 2025'!G80</f>
        <v>0</v>
      </c>
      <c r="H3072" s="3">
        <f>'[1]JAN 2025'!H80</f>
        <v>530.16</v>
      </c>
    </row>
    <row r="3073" spans="1:8" x14ac:dyDescent="0.2">
      <c r="A3073" s="20">
        <f>'[1]JAN 2025'!A81</f>
        <v>45669</v>
      </c>
      <c r="B3073" s="12" t="str">
        <f>'[1]JAN 2025'!B81</f>
        <v>Refill</v>
      </c>
      <c r="C3073" s="3">
        <f>'[1]JAN 2025'!C81</f>
        <v>0</v>
      </c>
      <c r="D3073" s="3">
        <f>'[1]JAN 2025'!D81</f>
        <v>0</v>
      </c>
      <c r="E3073" s="3">
        <f>'[1]JAN 2025'!E81</f>
        <v>0</v>
      </c>
      <c r="F3073" s="3">
        <f>'[1]JAN 2025'!F81</f>
        <v>0</v>
      </c>
      <c r="G3073" s="3">
        <f>'[1]JAN 2025'!G81</f>
        <v>220110</v>
      </c>
      <c r="H3073" s="3">
        <f>'[1]JAN 2025'!H81</f>
        <v>0</v>
      </c>
    </row>
    <row r="3074" spans="1:8" x14ac:dyDescent="0.2">
      <c r="A3074" s="23">
        <f>'[1]JAN 2025'!A82</f>
        <v>45669</v>
      </c>
      <c r="B3074" s="12" t="str">
        <f>'[1]JAN 2025'!B82</f>
        <v>Andere</v>
      </c>
      <c r="C3074" s="3">
        <f>'[1]JAN 2025'!C82</f>
        <v>0</v>
      </c>
      <c r="D3074" s="3">
        <f>'[1]JAN 2025'!D82</f>
        <v>0</v>
      </c>
      <c r="E3074" s="3">
        <f>'[1]JAN 2025'!E82</f>
        <v>0</v>
      </c>
      <c r="F3074" s="3">
        <f>'[1]JAN 2025'!F82</f>
        <v>0</v>
      </c>
      <c r="G3074" s="3">
        <f>'[1]JAN 2025'!G82</f>
        <v>0</v>
      </c>
      <c r="H3074" s="3">
        <f>'[1]JAN 2025'!H82</f>
        <v>198.7</v>
      </c>
    </row>
    <row r="3075" spans="1:8" x14ac:dyDescent="0.2">
      <c r="A3075" s="23">
        <f>'[1]JAN 2025'!A86</f>
        <v>45670</v>
      </c>
      <c r="B3075" s="12" t="str">
        <f>'[1]JAN 2025'!B86</f>
        <v>Andere</v>
      </c>
      <c r="C3075" s="3">
        <f>'[1]JAN 2025'!C86</f>
        <v>0</v>
      </c>
      <c r="D3075" s="3">
        <f>'[1]JAN 2025'!D86</f>
        <v>0</v>
      </c>
      <c r="E3075" s="3">
        <f>'[1]JAN 2025'!E86</f>
        <v>0</v>
      </c>
      <c r="F3075" s="3">
        <f>'[1]JAN 2025'!F86</f>
        <v>0</v>
      </c>
      <c r="G3075" s="3">
        <f>'[1]JAN 2025'!G86</f>
        <v>0</v>
      </c>
      <c r="H3075" s="3">
        <f>'[1]JAN 2025'!H86</f>
        <v>2867</v>
      </c>
    </row>
    <row r="3076" spans="1:8" x14ac:dyDescent="0.2">
      <c r="A3076" s="20">
        <f>'[1]JAN 2025'!A87</f>
        <v>45670</v>
      </c>
      <c r="B3076" s="12" t="str">
        <f>'[1]JAN 2025'!B87</f>
        <v>VM</v>
      </c>
      <c r="C3076" s="3">
        <f>'[1]JAN 2025'!C87</f>
        <v>0</v>
      </c>
      <c r="D3076" s="3">
        <f>'[1]JAN 2025'!D87</f>
        <v>0</v>
      </c>
      <c r="E3076" s="3">
        <f>'[1]JAN 2025'!E87</f>
        <v>0</v>
      </c>
      <c r="F3076" s="3">
        <f>'[1]JAN 2025'!F87</f>
        <v>0</v>
      </c>
      <c r="G3076" s="3">
        <f>'[1]JAN 2025'!G87</f>
        <v>0</v>
      </c>
      <c r="H3076" s="3">
        <f>'[1]JAN 2025'!H87</f>
        <v>1180</v>
      </c>
    </row>
    <row r="3077" spans="1:8" x14ac:dyDescent="0.2">
      <c r="A3077" s="23">
        <f>'[1]JAN 2025'!A88</f>
        <v>45670</v>
      </c>
      <c r="B3077" s="12" t="str">
        <f>'[1]JAN 2025'!B88</f>
        <v>LM</v>
      </c>
      <c r="C3077" s="3">
        <f>'[1]JAN 2025'!C88</f>
        <v>0</v>
      </c>
      <c r="D3077" s="3">
        <f>'[1]JAN 2025'!D88</f>
        <v>0</v>
      </c>
      <c r="E3077" s="3">
        <f>'[1]JAN 2025'!E88</f>
        <v>0</v>
      </c>
      <c r="F3077" s="3">
        <f>'[1]JAN 2025'!F88</f>
        <v>0</v>
      </c>
      <c r="G3077" s="3">
        <f>'[1]JAN 2025'!G88</f>
        <v>0</v>
      </c>
      <c r="H3077" s="3">
        <f>'[1]JAN 2025'!H88</f>
        <v>276.74</v>
      </c>
    </row>
    <row r="3078" spans="1:8" x14ac:dyDescent="0.2">
      <c r="A3078" s="20">
        <f>'[1]JAN 2025'!A93</f>
        <v>45671</v>
      </c>
      <c r="B3078" s="12" t="str">
        <f>'[1]JAN 2025'!B93</f>
        <v>VM</v>
      </c>
      <c r="C3078" s="3">
        <f>'[1]JAN 2025'!C93</f>
        <v>0</v>
      </c>
      <c r="D3078" s="3">
        <f>'[1]JAN 2025'!D93</f>
        <v>0</v>
      </c>
      <c r="E3078" s="3">
        <f>'[1]JAN 2025'!E93</f>
        <v>0</v>
      </c>
      <c r="F3078" s="3">
        <f>'[1]JAN 2025'!F93</f>
        <v>0</v>
      </c>
      <c r="G3078" s="3">
        <f>'[1]JAN 2025'!G93</f>
        <v>0</v>
      </c>
      <c r="H3078" s="3">
        <f>'[1]JAN 2025'!H93</f>
        <v>2547</v>
      </c>
    </row>
    <row r="3079" spans="1:8" x14ac:dyDescent="0.2">
      <c r="A3079" s="23">
        <f>'[1]JAN 2025'!A94</f>
        <v>45671</v>
      </c>
      <c r="B3079" s="12" t="str">
        <f>'[1]JAN 2025'!B94</f>
        <v>LM</v>
      </c>
      <c r="C3079" s="3">
        <f>'[1]JAN 2025'!C94</f>
        <v>0</v>
      </c>
      <c r="D3079" s="3">
        <f>'[1]JAN 2025'!D94</f>
        <v>0</v>
      </c>
      <c r="E3079" s="3">
        <f>'[1]JAN 2025'!E94</f>
        <v>0</v>
      </c>
      <c r="F3079" s="3">
        <f>'[1]JAN 2025'!F94</f>
        <v>0</v>
      </c>
      <c r="G3079" s="3">
        <f>'[1]JAN 2025'!G94</f>
        <v>0</v>
      </c>
      <c r="H3079" s="3">
        <f>'[1]JAN 2025'!H94</f>
        <v>810.13</v>
      </c>
    </row>
    <row r="3080" spans="1:8" x14ac:dyDescent="0.2">
      <c r="A3080" s="20">
        <f>'[1]JAN 2025'!A95</f>
        <v>45671</v>
      </c>
      <c r="B3080" s="12" t="str">
        <f>'[1]JAN 2025'!B95</f>
        <v>Andere</v>
      </c>
      <c r="C3080" s="3">
        <f>'[1]JAN 2025'!C95</f>
        <v>0</v>
      </c>
      <c r="D3080" s="3">
        <f>'[1]JAN 2025'!D95</f>
        <v>0</v>
      </c>
      <c r="E3080" s="3">
        <f>'[1]JAN 2025'!E95</f>
        <v>0</v>
      </c>
      <c r="F3080" s="3">
        <f>'[1]JAN 2025'!F95</f>
        <v>0</v>
      </c>
      <c r="G3080" s="3">
        <f>'[1]JAN 2025'!G95</f>
        <v>0</v>
      </c>
      <c r="H3080" s="3">
        <f>'[1]JAN 2025'!H95</f>
        <v>500</v>
      </c>
    </row>
    <row r="3081" spans="1:8" x14ac:dyDescent="0.2">
      <c r="A3081" s="23">
        <f>'[1]JAN 2025'!A100</f>
        <v>45672</v>
      </c>
      <c r="B3081" s="12" t="str">
        <f>'[1]JAN 2025'!B100</f>
        <v>LM</v>
      </c>
      <c r="C3081" s="3">
        <f>'[1]JAN 2025'!C100</f>
        <v>0</v>
      </c>
      <c r="D3081" s="3">
        <f>'[1]JAN 2025'!D100</f>
        <v>0</v>
      </c>
      <c r="E3081" s="3">
        <f>'[1]JAN 2025'!E100</f>
        <v>0</v>
      </c>
      <c r="F3081" s="3">
        <f>'[1]JAN 2025'!F100</f>
        <v>0</v>
      </c>
      <c r="G3081" s="3">
        <f>'[1]JAN 2025'!G100</f>
        <v>0</v>
      </c>
      <c r="H3081" s="3">
        <f>'[1]JAN 2025'!H100</f>
        <v>1338</v>
      </c>
    </row>
    <row r="3082" spans="1:8" x14ac:dyDescent="0.2">
      <c r="A3082" s="20">
        <f>'[1]JAN 2025'!A101</f>
        <v>45672</v>
      </c>
      <c r="B3082" s="12" t="str">
        <f>'[1]JAN 2025'!B101</f>
        <v>Education</v>
      </c>
      <c r="C3082" s="3">
        <f>'[1]JAN 2025'!C101</f>
        <v>0</v>
      </c>
      <c r="D3082" s="3">
        <f>'[1]JAN 2025'!D101</f>
        <v>0</v>
      </c>
      <c r="E3082" s="3">
        <f>'[1]JAN 2025'!E101</f>
        <v>0</v>
      </c>
      <c r="F3082" s="3">
        <f>'[1]JAN 2025'!F101</f>
        <v>0</v>
      </c>
      <c r="G3082" s="3">
        <f>'[1]JAN 2025'!G101</f>
        <v>0</v>
      </c>
      <c r="H3082" s="3">
        <f>'[1]JAN 2025'!H101</f>
        <v>9600</v>
      </c>
    </row>
    <row r="3083" spans="1:8" x14ac:dyDescent="0.2">
      <c r="A3083" s="20">
        <f>'[1]JAN 2025'!A107</f>
        <v>45673</v>
      </c>
      <c r="B3083" s="12" t="str">
        <f>'[1]JAN 2025'!B107</f>
        <v>Refill</v>
      </c>
      <c r="C3083" s="3">
        <f>'[1]JAN 2025'!C107</f>
        <v>0</v>
      </c>
      <c r="D3083" s="3">
        <f>'[1]JAN 2025'!D107</f>
        <v>0</v>
      </c>
      <c r="E3083" s="3">
        <f>'[1]JAN 2025'!E107</f>
        <v>0</v>
      </c>
      <c r="F3083" s="3">
        <f>'[1]JAN 2025'!F107</f>
        <v>0</v>
      </c>
      <c r="G3083" s="3">
        <f>'[1]JAN 2025'!G107</f>
        <v>2793.98</v>
      </c>
      <c r="H3083" s="3">
        <f>'[1]JAN 2025'!H107</f>
        <v>0</v>
      </c>
    </row>
    <row r="3084" spans="1:8" x14ac:dyDescent="0.2">
      <c r="A3084" s="23">
        <f>'[1]JAN 2025'!A108</f>
        <v>45673</v>
      </c>
      <c r="B3084" s="12" t="str">
        <f>'[1]JAN 2025'!B108</f>
        <v>LM</v>
      </c>
      <c r="C3084" s="3">
        <f>'[1]JAN 2025'!C108</f>
        <v>0</v>
      </c>
      <c r="D3084" s="3">
        <f>'[1]JAN 2025'!D108</f>
        <v>0</v>
      </c>
      <c r="E3084" s="3">
        <f>'[1]JAN 2025'!E108</f>
        <v>0</v>
      </c>
      <c r="F3084" s="3">
        <f>'[1]JAN 2025'!F108</f>
        <v>0</v>
      </c>
      <c r="G3084" s="3">
        <f>'[1]JAN 2025'!G108</f>
        <v>0</v>
      </c>
      <c r="H3084" s="3">
        <f>'[1]JAN 2025'!H108</f>
        <v>1449.79</v>
      </c>
    </row>
    <row r="3085" spans="1:8" x14ac:dyDescent="0.2">
      <c r="A3085" s="20">
        <f>'[1]JAN 2025'!A109</f>
        <v>45673</v>
      </c>
      <c r="B3085" s="12" t="str">
        <f>'[1]JAN 2025'!B109</f>
        <v>Andere</v>
      </c>
      <c r="C3085" s="3">
        <f>'[1]JAN 2025'!C109</f>
        <v>0</v>
      </c>
      <c r="D3085" s="3">
        <f>'[1]JAN 2025'!D109</f>
        <v>0</v>
      </c>
      <c r="E3085" s="3">
        <f>'[1]JAN 2025'!E109</f>
        <v>0</v>
      </c>
      <c r="F3085" s="3">
        <f>'[1]JAN 2025'!F109</f>
        <v>0</v>
      </c>
      <c r="G3085" s="3">
        <f>'[1]JAN 2025'!G109</f>
        <v>0</v>
      </c>
      <c r="H3085" s="3">
        <f>'[1]JAN 2025'!H109</f>
        <v>1212</v>
      </c>
    </row>
    <row r="3086" spans="1:8" x14ac:dyDescent="0.2">
      <c r="A3086" s="23">
        <f>'[1]JAN 2025'!A110</f>
        <v>45673</v>
      </c>
      <c r="B3086" s="12" t="str">
        <f>'[1]JAN 2025'!B110</f>
        <v>VM</v>
      </c>
      <c r="C3086" s="3">
        <f>'[1]JAN 2025'!C110</f>
        <v>0</v>
      </c>
      <c r="D3086" s="3">
        <f>'[1]JAN 2025'!D110</f>
        <v>0</v>
      </c>
      <c r="E3086" s="3">
        <f>'[1]JAN 2025'!E110</f>
        <v>0</v>
      </c>
      <c r="F3086" s="3">
        <f>'[1]JAN 2025'!F110</f>
        <v>0</v>
      </c>
      <c r="G3086" s="3">
        <f>'[1]JAN 2025'!G110</f>
        <v>0</v>
      </c>
      <c r="H3086" s="3">
        <f>'[1]JAN 2025'!H110</f>
        <v>140</v>
      </c>
    </row>
    <row r="3087" spans="1:8" x14ac:dyDescent="0.2">
      <c r="A3087" s="23">
        <f>'[1]JAN 2025'!A114</f>
        <v>45674</v>
      </c>
      <c r="B3087" s="12" t="str">
        <f>'[1]JAN 2025'!B114</f>
        <v>Frauen</v>
      </c>
      <c r="C3087" s="3">
        <f>'[1]JAN 2025'!C114</f>
        <v>0</v>
      </c>
      <c r="D3087" s="3">
        <f>'[1]JAN 2025'!D114</f>
        <v>0</v>
      </c>
      <c r="E3087" s="3">
        <f>'[1]JAN 2025'!E114</f>
        <v>0</v>
      </c>
      <c r="F3087" s="3">
        <f>'[1]JAN 2025'!F114</f>
        <v>0</v>
      </c>
      <c r="G3087" s="3">
        <f>'[1]JAN 2025'!G114</f>
        <v>0</v>
      </c>
      <c r="H3087" s="3">
        <f>'[1]JAN 2025'!H114</f>
        <v>2400</v>
      </c>
    </row>
    <row r="3088" spans="1:8" x14ac:dyDescent="0.2">
      <c r="A3088" s="20">
        <f>'[1]JAN 2025'!A115</f>
        <v>45674</v>
      </c>
      <c r="B3088" s="12" t="str">
        <f>'[1]JAN 2025'!B115</f>
        <v>LM</v>
      </c>
      <c r="C3088" s="3">
        <f>'[1]JAN 2025'!C115</f>
        <v>0</v>
      </c>
      <c r="D3088" s="3">
        <f>'[1]JAN 2025'!D115</f>
        <v>0</v>
      </c>
      <c r="E3088" s="3">
        <f>'[1]JAN 2025'!E115</f>
        <v>0</v>
      </c>
      <c r="F3088" s="3">
        <f>'[1]JAN 2025'!F115</f>
        <v>0</v>
      </c>
      <c r="G3088" s="3">
        <f>'[1]JAN 2025'!G115</f>
        <v>0</v>
      </c>
      <c r="H3088" s="3">
        <f>'[1]JAN 2025'!H115</f>
        <v>651.99</v>
      </c>
    </row>
    <row r="3089" spans="1:8" x14ac:dyDescent="0.2">
      <c r="A3089" s="23">
        <f>'[1]JAN 2025'!A116</f>
        <v>45674</v>
      </c>
      <c r="B3089" s="12" t="str">
        <f>'[1]JAN 2025'!B116</f>
        <v>rent</v>
      </c>
      <c r="C3089" s="3">
        <f>'[1]JAN 2025'!C116</f>
        <v>0</v>
      </c>
      <c r="D3089" s="3">
        <f>'[1]JAN 2025'!D116</f>
        <v>0</v>
      </c>
      <c r="E3089" s="3">
        <f>'[1]JAN 2025'!E116</f>
        <v>0</v>
      </c>
      <c r="F3089" s="3">
        <f>'[1]JAN 2025'!F116</f>
        <v>0</v>
      </c>
      <c r="G3089" s="3">
        <f>'[1]JAN 2025'!G116</f>
        <v>0</v>
      </c>
      <c r="H3089" s="3">
        <f>'[1]JAN 2025'!H116</f>
        <v>55000</v>
      </c>
    </row>
    <row r="3090" spans="1:8" x14ac:dyDescent="0.2">
      <c r="A3090" s="20">
        <f>'[1]JAN 2025'!A121</f>
        <v>45675</v>
      </c>
      <c r="B3090" s="12" t="str">
        <f>'[1]JAN 2025'!B121</f>
        <v>VM</v>
      </c>
      <c r="C3090" s="3">
        <f>'[1]JAN 2025'!C121</f>
        <v>0</v>
      </c>
      <c r="D3090" s="3">
        <f>'[1]JAN 2025'!D121</f>
        <v>0</v>
      </c>
      <c r="E3090" s="3">
        <f>'[1]JAN 2025'!E121</f>
        <v>0</v>
      </c>
      <c r="F3090" s="3">
        <f>'[1]JAN 2025'!F121</f>
        <v>0</v>
      </c>
      <c r="G3090" s="3">
        <f>'[1]JAN 2025'!G121</f>
        <v>0</v>
      </c>
      <c r="H3090" s="3">
        <f>'[1]JAN 2025'!H121</f>
        <v>140</v>
      </c>
    </row>
    <row r="3091" spans="1:8" x14ac:dyDescent="0.2">
      <c r="A3091" s="23">
        <f>'[1]JAN 2025'!A122</f>
        <v>45675</v>
      </c>
      <c r="B3091" s="12" t="str">
        <f>'[1]JAN 2025'!B122</f>
        <v>LM</v>
      </c>
      <c r="C3091" s="3">
        <f>'[1]JAN 2025'!C122</f>
        <v>0</v>
      </c>
      <c r="D3091" s="3">
        <f>'[1]JAN 2025'!D122</f>
        <v>0</v>
      </c>
      <c r="E3091" s="3">
        <f>'[1]JAN 2025'!E122</f>
        <v>0</v>
      </c>
      <c r="F3091" s="3">
        <f>'[1]JAN 2025'!F122</f>
        <v>0</v>
      </c>
      <c r="G3091" s="3">
        <f>'[1]JAN 2025'!G122</f>
        <v>0</v>
      </c>
      <c r="H3091" s="3">
        <f>'[1]JAN 2025'!H122</f>
        <v>3130</v>
      </c>
    </row>
    <row r="3092" spans="1:8" x14ac:dyDescent="0.2">
      <c r="A3092" s="20">
        <f>'[1]JAN 2025'!A123</f>
        <v>45675</v>
      </c>
      <c r="B3092" s="12" t="str">
        <f>'[1]JAN 2025'!B123</f>
        <v>Frauen</v>
      </c>
      <c r="C3092" s="3">
        <f>'[1]JAN 2025'!C123</f>
        <v>0</v>
      </c>
      <c r="D3092" s="3">
        <f>'[1]JAN 2025'!D123</f>
        <v>0</v>
      </c>
      <c r="E3092" s="3">
        <f>'[1]JAN 2025'!E123</f>
        <v>0</v>
      </c>
      <c r="F3092" s="3">
        <f>'[1]JAN 2025'!F123</f>
        <v>0</v>
      </c>
      <c r="G3092" s="3">
        <f>'[1]JAN 2025'!G123</f>
        <v>0</v>
      </c>
      <c r="H3092" s="3">
        <f>'[1]JAN 2025'!H123</f>
        <v>1599</v>
      </c>
    </row>
    <row r="3093" spans="1:8" x14ac:dyDescent="0.2">
      <c r="A3093" s="23">
        <f>'[1]JAN 2025'!A128</f>
        <v>45676</v>
      </c>
      <c r="B3093" s="12" t="str">
        <f>'[1]JAN 2025'!B128</f>
        <v>LM</v>
      </c>
      <c r="C3093" s="3">
        <f>'[1]JAN 2025'!C128</f>
        <v>0</v>
      </c>
      <c r="D3093" s="3">
        <f>'[1]JAN 2025'!D128</f>
        <v>0</v>
      </c>
      <c r="E3093" s="3">
        <f>'[1]JAN 2025'!E128</f>
        <v>0</v>
      </c>
      <c r="F3093" s="3">
        <f>'[1]JAN 2025'!F128</f>
        <v>0</v>
      </c>
      <c r="G3093" s="3">
        <f>'[1]JAN 2025'!G128</f>
        <v>0</v>
      </c>
      <c r="H3093" s="3">
        <f>'[1]JAN 2025'!H128</f>
        <v>578.85</v>
      </c>
    </row>
    <row r="3094" spans="1:8" x14ac:dyDescent="0.2">
      <c r="A3094" s="20">
        <f>'[1]JAN 2025'!A129</f>
        <v>45676</v>
      </c>
      <c r="B3094" s="12" t="str">
        <f>'[1]JAN 2025'!B129</f>
        <v>Andere</v>
      </c>
      <c r="C3094" s="3">
        <f>'[1]JAN 2025'!C129</f>
        <v>0</v>
      </c>
      <c r="D3094" s="3">
        <f>'[1]JAN 2025'!D129</f>
        <v>0</v>
      </c>
      <c r="E3094" s="3">
        <f>'[1]JAN 2025'!E129</f>
        <v>0</v>
      </c>
      <c r="F3094" s="3">
        <f>'[1]JAN 2025'!F129</f>
        <v>0</v>
      </c>
      <c r="G3094" s="3">
        <f>'[1]JAN 2025'!G129</f>
        <v>0</v>
      </c>
      <c r="H3094" s="3">
        <f>'[1]JAN 2025'!H129</f>
        <v>2168</v>
      </c>
    </row>
    <row r="3095" spans="1:8" x14ac:dyDescent="0.2">
      <c r="A3095" s="23">
        <f>'[1]JAN 2025'!A130</f>
        <v>45676</v>
      </c>
      <c r="B3095" s="12" t="str">
        <f>'[1]JAN 2025'!B130</f>
        <v>Party</v>
      </c>
      <c r="C3095" s="3">
        <f>'[1]JAN 2025'!C130</f>
        <v>0</v>
      </c>
      <c r="D3095" s="3">
        <f>'[1]JAN 2025'!D130</f>
        <v>0</v>
      </c>
      <c r="E3095" s="3">
        <f>'[1]JAN 2025'!E130</f>
        <v>0</v>
      </c>
      <c r="F3095" s="3">
        <f>'[1]JAN 2025'!F130</f>
        <v>0</v>
      </c>
      <c r="G3095" s="3">
        <f>'[1]JAN 2025'!G130</f>
        <v>0</v>
      </c>
      <c r="H3095" s="3">
        <f>'[1]JAN 2025'!H130</f>
        <v>3300</v>
      </c>
    </row>
    <row r="3096" spans="1:8" x14ac:dyDescent="0.2">
      <c r="A3096" s="20">
        <f>'[1]JAN 2025'!A135</f>
        <v>45677</v>
      </c>
      <c r="B3096" s="12" t="str">
        <f>'[1]JAN 2025'!B135</f>
        <v>none</v>
      </c>
      <c r="C3096" s="3">
        <f>'[1]JAN 2025'!C135</f>
        <v>500</v>
      </c>
      <c r="D3096" s="3">
        <f>'[1]JAN 2025'!D135</f>
        <v>500</v>
      </c>
      <c r="E3096" s="3">
        <f>'[1]JAN 2025'!E135</f>
        <v>0</v>
      </c>
      <c r="F3096" s="3">
        <f>'[1]JAN 2025'!F135</f>
        <v>0</v>
      </c>
      <c r="G3096" s="3">
        <f>'[1]JAN 2025'!G135</f>
        <v>500</v>
      </c>
      <c r="H3096" s="3">
        <f>'[1]JAN 2025'!H135</f>
        <v>0</v>
      </c>
    </row>
    <row r="3097" spans="1:8" x14ac:dyDescent="0.2">
      <c r="A3097" s="23">
        <f>'[1]JAN 2025'!A136</f>
        <v>45677</v>
      </c>
      <c r="B3097" s="12" t="str">
        <f>'[1]JAN 2025'!B136</f>
        <v>Andere</v>
      </c>
      <c r="C3097" s="3">
        <f>'[1]JAN 2025'!C136</f>
        <v>0</v>
      </c>
      <c r="D3097" s="3">
        <f>'[1]JAN 2025'!D136</f>
        <v>0</v>
      </c>
      <c r="E3097" s="3">
        <f>'[1]JAN 2025'!E136</f>
        <v>0</v>
      </c>
      <c r="F3097" s="3">
        <f>'[1]JAN 2025'!F136</f>
        <v>0</v>
      </c>
      <c r="G3097" s="3">
        <f>'[1]JAN 2025'!G136</f>
        <v>0</v>
      </c>
      <c r="H3097" s="3">
        <f>'[1]JAN 2025'!H136</f>
        <v>1500</v>
      </c>
    </row>
    <row r="3098" spans="1:8" x14ac:dyDescent="0.2">
      <c r="A3098" s="20">
        <f>'[1]JAN 2025'!A149</f>
        <v>45679</v>
      </c>
      <c r="B3098" s="12" t="str">
        <f>'[1]JAN 2025'!B149</f>
        <v>Frauen</v>
      </c>
      <c r="C3098" s="3">
        <f>'[1]JAN 2025'!C149</f>
        <v>0</v>
      </c>
      <c r="D3098" s="3">
        <f>'[1]JAN 2025'!D149</f>
        <v>0</v>
      </c>
      <c r="E3098" s="3">
        <f>'[1]JAN 2025'!E149</f>
        <v>0</v>
      </c>
      <c r="F3098" s="3">
        <f>'[1]JAN 2025'!F149</f>
        <v>0</v>
      </c>
      <c r="G3098" s="3">
        <f>'[1]JAN 2025'!G149</f>
        <v>0</v>
      </c>
      <c r="H3098" s="3">
        <f>'[1]JAN 2025'!H149</f>
        <v>681</v>
      </c>
    </row>
    <row r="3099" spans="1:8" x14ac:dyDescent="0.2">
      <c r="A3099" s="23">
        <f>'[1]JAN 2025'!A156</f>
        <v>45680</v>
      </c>
      <c r="B3099" s="12" t="str">
        <f>'[1]JAN 2025'!B156</f>
        <v>Frauen</v>
      </c>
      <c r="C3099" s="3">
        <f>'[1]JAN 2025'!C156</f>
        <v>0</v>
      </c>
      <c r="D3099" s="3">
        <f>'[1]JAN 2025'!D156</f>
        <v>0</v>
      </c>
      <c r="E3099" s="3">
        <f>'[1]JAN 2025'!E156</f>
        <v>0</v>
      </c>
      <c r="F3099" s="3">
        <f>'[1]JAN 2025'!F156</f>
        <v>0</v>
      </c>
      <c r="G3099" s="3">
        <f>'[1]JAN 2025'!G156</f>
        <v>0</v>
      </c>
      <c r="H3099" s="3">
        <f>'[1]JAN 2025'!H156</f>
        <v>3000</v>
      </c>
    </row>
    <row r="3100" spans="1:8" x14ac:dyDescent="0.2">
      <c r="A3100" s="23">
        <f>'[1]JAN 2025'!A170</f>
        <v>45682</v>
      </c>
      <c r="B3100" s="12" t="str">
        <f>'[1]JAN 2025'!B170</f>
        <v>Refill</v>
      </c>
      <c r="C3100" s="3">
        <f>'[1]JAN 2025'!C170</f>
        <v>0</v>
      </c>
      <c r="D3100" s="3">
        <f>'[1]JAN 2025'!D170</f>
        <v>0</v>
      </c>
      <c r="E3100" s="3">
        <f>'[1]JAN 2025'!E170</f>
        <v>0</v>
      </c>
      <c r="F3100" s="3">
        <f>'[1]JAN 2025'!F170</f>
        <v>0</v>
      </c>
      <c r="G3100" s="3">
        <f>'[1]JAN 2025'!G170</f>
        <v>921.13</v>
      </c>
      <c r="H3100" s="3">
        <f>'[1]JAN 2025'!H170</f>
        <v>0</v>
      </c>
    </row>
    <row r="3101" spans="1:8" x14ac:dyDescent="0.2">
      <c r="A3101" s="20">
        <f>'[1]JAN 2025'!A177</f>
        <v>45683</v>
      </c>
      <c r="B3101" s="12" t="str">
        <f>'[1]JAN 2025'!B177</f>
        <v>Frauen</v>
      </c>
      <c r="C3101" s="3">
        <f>'[1]JAN 2025'!C177</f>
        <v>0</v>
      </c>
      <c r="D3101" s="3">
        <f>'[1]JAN 2025'!D177</f>
        <v>0</v>
      </c>
      <c r="E3101" s="3">
        <f>'[1]JAN 2025'!E177</f>
        <v>0</v>
      </c>
      <c r="F3101" s="3">
        <f>'[1]JAN 2025'!F177</f>
        <v>0</v>
      </c>
      <c r="G3101" s="3">
        <f>'[1]JAN 2025'!G177</f>
        <v>0</v>
      </c>
      <c r="H3101" s="3">
        <f>'[1]JAN 2025'!H177</f>
        <v>497</v>
      </c>
    </row>
    <row r="3102" spans="1:8" x14ac:dyDescent="0.2">
      <c r="A3102" s="23">
        <f>'[1]JAN 2025'!A184</f>
        <v>45684</v>
      </c>
      <c r="B3102" s="12" t="str">
        <f>'[1]JAN 2025'!B184</f>
        <v>Andere</v>
      </c>
      <c r="C3102" s="3">
        <f>'[1]JAN 2025'!C184</f>
        <v>0</v>
      </c>
      <c r="D3102" s="3">
        <f>'[1]JAN 2025'!D184</f>
        <v>0</v>
      </c>
      <c r="E3102" s="3">
        <f>'[1]JAN 2025'!E184</f>
        <v>0</v>
      </c>
      <c r="F3102" s="3">
        <f>'[1]JAN 2025'!F184</f>
        <v>0</v>
      </c>
      <c r="G3102" s="3">
        <f>'[1]JAN 2025'!G184</f>
        <v>0</v>
      </c>
      <c r="H3102" s="3">
        <f>'[1]JAN 2025'!H184</f>
        <v>400</v>
      </c>
    </row>
    <row r="3103" spans="1:8" x14ac:dyDescent="0.2">
      <c r="A3103" s="23">
        <f>'[1]JAN 2025'!A198</f>
        <v>45686</v>
      </c>
      <c r="B3103" s="12" t="str">
        <f>'[1]JAN 2025'!B198</f>
        <v>none</v>
      </c>
      <c r="C3103" s="3">
        <f>'[1]JAN 2025'!C198</f>
        <v>0</v>
      </c>
      <c r="D3103" s="3">
        <f>'[1]JAN 2025'!D198</f>
        <v>0</v>
      </c>
      <c r="E3103" s="3">
        <f>'[1]JAN 2025'!E198</f>
        <v>0</v>
      </c>
      <c r="F3103" s="3">
        <f>'[1]JAN 2025'!F198</f>
        <v>0</v>
      </c>
      <c r="G3103" s="3">
        <f>'[1]JAN 2025'!G198</f>
        <v>0</v>
      </c>
      <c r="H3103" s="3">
        <f>'[1]JAN 2025'!H198</f>
        <v>12400</v>
      </c>
    </row>
    <row r="3104" spans="1:8" x14ac:dyDescent="0.2">
      <c r="A3104" s="20">
        <f>'[1]JAN 2025'!A205</f>
        <v>45687</v>
      </c>
      <c r="B3104" s="12" t="str">
        <f>'[1]JAN 2025'!B205</f>
        <v>Frauen</v>
      </c>
      <c r="C3104" s="3">
        <f>'[1]JAN 2025'!C205</f>
        <v>0</v>
      </c>
      <c r="D3104" s="3">
        <f>'[1]JAN 2025'!D205</f>
        <v>0</v>
      </c>
      <c r="E3104" s="3">
        <f>'[1]JAN 2025'!E205</f>
        <v>0</v>
      </c>
      <c r="F3104" s="3">
        <f>'[1]JAN 2025'!F205</f>
        <v>0</v>
      </c>
      <c r="G3104" s="3">
        <f>'[1]JAN 2025'!G205</f>
        <v>0</v>
      </c>
      <c r="H3104" s="3">
        <f>'[1]JAN 2025'!H205</f>
        <v>4850</v>
      </c>
    </row>
    <row r="3105" spans="1:8" x14ac:dyDescent="0.2">
      <c r="A3105" s="23">
        <f>'[1]FEB 2025'!A9</f>
        <v>45690</v>
      </c>
      <c r="B3105" s="12" t="str">
        <f>'[1]FEB 2025'!B9</f>
        <v>Frauen</v>
      </c>
      <c r="C3105" s="3">
        <f>'[1]FEB 2025'!C9</f>
        <v>0</v>
      </c>
      <c r="D3105" s="3">
        <f>'[1]FEB 2025'!D9</f>
        <v>0</v>
      </c>
      <c r="E3105" s="3">
        <f>'[1]FEB 2025'!E9</f>
        <v>0</v>
      </c>
      <c r="F3105" s="3">
        <f>'[1]FEB 2025'!F9</f>
        <v>0</v>
      </c>
      <c r="G3105" s="3">
        <f>'[1]FEB 2025'!G9</f>
        <v>0</v>
      </c>
      <c r="H3105" s="3">
        <f>'[1]FEB 2025'!H9</f>
        <v>409</v>
      </c>
    </row>
    <row r="3106" spans="1:8" x14ac:dyDescent="0.2">
      <c r="A3106" s="20">
        <f>'[1]FEB 2025'!A16</f>
        <v>45691</v>
      </c>
      <c r="B3106" s="12" t="str">
        <f>'[1]FEB 2025'!B16</f>
        <v>Refill</v>
      </c>
      <c r="C3106" s="3">
        <f>'[1]FEB 2025'!C16</f>
        <v>0</v>
      </c>
      <c r="D3106" s="3">
        <f>'[1]FEB 2025'!D16</f>
        <v>0</v>
      </c>
      <c r="E3106" s="3">
        <f>'[1]FEB 2025'!E16</f>
        <v>0</v>
      </c>
      <c r="F3106" s="3">
        <f>'[1]FEB 2025'!F16</f>
        <v>0</v>
      </c>
      <c r="G3106" s="3">
        <f>'[1]FEB 2025'!G16</f>
        <v>10242.15</v>
      </c>
      <c r="H3106" s="3">
        <f>'[1]FEB 2025'!H16</f>
        <v>0</v>
      </c>
    </row>
    <row r="3107" spans="1:8" x14ac:dyDescent="0.2">
      <c r="A3107" s="23">
        <f>'[1]FEB 2025'!A23</f>
        <v>45692</v>
      </c>
      <c r="B3107" s="12" t="str">
        <f>'[1]FEB 2025'!B23</f>
        <v>none</v>
      </c>
      <c r="C3107" s="3">
        <f>'[1]FEB 2025'!C23</f>
        <v>0</v>
      </c>
      <c r="D3107" s="3">
        <f>'[1]FEB 2025'!D23</f>
        <v>0</v>
      </c>
      <c r="E3107" s="3">
        <f>'[1]FEB 2025'!E23</f>
        <v>0</v>
      </c>
      <c r="F3107" s="3">
        <f>'[1]FEB 2025'!F23</f>
        <v>0</v>
      </c>
      <c r="G3107" s="3">
        <f>'[1]FEB 2025'!G23</f>
        <v>500</v>
      </c>
      <c r="H3107" s="3">
        <f>'[1]FEB 2025'!H23</f>
        <v>0</v>
      </c>
    </row>
    <row r="3108" spans="1:8" x14ac:dyDescent="0.2">
      <c r="A3108" s="23">
        <f>'[1]FEB 2025'!A37</f>
        <v>45694</v>
      </c>
      <c r="B3108" s="12" t="str">
        <f>'[1]FEB 2025'!B37</f>
        <v>Andere</v>
      </c>
      <c r="C3108" s="3">
        <f>'[1]FEB 2025'!C37</f>
        <v>0</v>
      </c>
      <c r="D3108" s="3">
        <f>'[1]FEB 2025'!D37</f>
        <v>0</v>
      </c>
      <c r="E3108" s="3">
        <f>'[1]FEB 2025'!E37</f>
        <v>0</v>
      </c>
      <c r="F3108" s="3">
        <f>'[1]FEB 2025'!F37</f>
        <v>0</v>
      </c>
      <c r="G3108" s="3">
        <f>'[1]FEB 2025'!G37</f>
        <v>0</v>
      </c>
      <c r="H3108" s="3">
        <f>'[1]FEB 2025'!H37</f>
        <v>3000</v>
      </c>
    </row>
    <row r="3109" spans="1:8" x14ac:dyDescent="0.2">
      <c r="A3109" s="20">
        <f>'[1]FEB 2025'!A46</f>
        <v>45695</v>
      </c>
      <c r="B3109" s="12" t="str">
        <f>'[1]FEB 2025'!B46</f>
        <v>none</v>
      </c>
      <c r="C3109" s="3">
        <f>'[1]FEB 2025'!C46</f>
        <v>0</v>
      </c>
      <c r="D3109" s="3">
        <f>'[1]FEB 2025'!D46</f>
        <v>0</v>
      </c>
      <c r="E3109" s="3">
        <f>'[1]FEB 2025'!E46</f>
        <v>0</v>
      </c>
      <c r="F3109" s="3">
        <f>'[1]FEB 2025'!F46</f>
        <v>0</v>
      </c>
      <c r="G3109" s="3">
        <f>'[1]FEB 2025'!G46</f>
        <v>21</v>
      </c>
      <c r="H3109" s="3">
        <f>'[1]FEB 2025'!H46</f>
        <v>0</v>
      </c>
    </row>
    <row r="3110" spans="1:8" x14ac:dyDescent="0.2">
      <c r="A3110" s="23">
        <f>'[1]FEB 2025'!A51</f>
        <v>45696</v>
      </c>
      <c r="B3110" s="12" t="str">
        <f>'[1]FEB 2025'!B51</f>
        <v>LM</v>
      </c>
      <c r="C3110" s="3">
        <f>'[1]FEB 2025'!C51</f>
        <v>0</v>
      </c>
      <c r="D3110" s="3">
        <f>'[1]FEB 2025'!D51</f>
        <v>0</v>
      </c>
      <c r="E3110" s="3">
        <f>'[1]FEB 2025'!E51</f>
        <v>0</v>
      </c>
      <c r="F3110" s="3">
        <f>'[1]FEB 2025'!F51</f>
        <v>0</v>
      </c>
      <c r="G3110" s="3">
        <f>'[1]FEB 2025'!G51</f>
        <v>0</v>
      </c>
      <c r="H3110" s="3">
        <f>'[1]FEB 2025'!H51</f>
        <v>738</v>
      </c>
    </row>
    <row r="3111" spans="1:8" x14ac:dyDescent="0.2">
      <c r="A3111" s="20">
        <f>'[1]FEB 2025'!A52</f>
        <v>45696</v>
      </c>
      <c r="B3111" s="12" t="str">
        <f>'[1]FEB 2025'!B52</f>
        <v>VM</v>
      </c>
      <c r="C3111" s="3">
        <f>'[1]FEB 2025'!C52</f>
        <v>0</v>
      </c>
      <c r="D3111" s="3">
        <f>'[1]FEB 2025'!D52</f>
        <v>0</v>
      </c>
      <c r="E3111" s="3">
        <f>'[1]FEB 2025'!E52</f>
        <v>0</v>
      </c>
      <c r="F3111" s="3">
        <f>'[1]FEB 2025'!F52</f>
        <v>0</v>
      </c>
      <c r="G3111" s="3">
        <f>'[1]FEB 2025'!G52</f>
        <v>0</v>
      </c>
      <c r="H3111" s="3">
        <f>'[1]FEB 2025'!H52</f>
        <v>1400</v>
      </c>
    </row>
    <row r="3112" spans="1:8" x14ac:dyDescent="0.2">
      <c r="A3112" s="23">
        <f>'[1]FEB 2025'!A53</f>
        <v>45696</v>
      </c>
      <c r="B3112" s="12" t="str">
        <f>'[1]FEB 2025'!B53</f>
        <v>Party</v>
      </c>
      <c r="C3112" s="3">
        <f>'[1]FEB 2025'!C53</f>
        <v>0</v>
      </c>
      <c r="D3112" s="3">
        <f>'[1]FEB 2025'!D53</f>
        <v>0</v>
      </c>
      <c r="E3112" s="3">
        <f>'[1]FEB 2025'!E53</f>
        <v>0</v>
      </c>
      <c r="F3112" s="3">
        <f>'[1]FEB 2025'!F53</f>
        <v>0</v>
      </c>
      <c r="G3112" s="3">
        <f>'[1]FEB 2025'!G53</f>
        <v>0</v>
      </c>
      <c r="H3112" s="3">
        <f>'[1]FEB 2025'!H53</f>
        <v>3300</v>
      </c>
    </row>
    <row r="3113" spans="1:8" x14ac:dyDescent="0.2">
      <c r="A3113" s="20">
        <f>'[1]FEB 2025'!A58</f>
        <v>45697</v>
      </c>
      <c r="B3113" s="12" t="str">
        <f>'[1]FEB 2025'!B58</f>
        <v>Frauen</v>
      </c>
      <c r="C3113" s="3">
        <f>'[1]FEB 2025'!C58</f>
        <v>0</v>
      </c>
      <c r="D3113" s="3">
        <f>'[1]FEB 2025'!D58</f>
        <v>0</v>
      </c>
      <c r="E3113" s="3">
        <f>'[1]FEB 2025'!E58</f>
        <v>0</v>
      </c>
      <c r="F3113" s="3">
        <f>'[1]FEB 2025'!F58</f>
        <v>0</v>
      </c>
      <c r="G3113" s="3">
        <f>'[1]FEB 2025'!G58</f>
        <v>0</v>
      </c>
      <c r="H3113" s="3">
        <f>'[1]FEB 2025'!H58</f>
        <v>475</v>
      </c>
    </row>
    <row r="3114" spans="1:8" x14ac:dyDescent="0.2">
      <c r="A3114" s="23">
        <f>'[1]FEB 2025'!A59</f>
        <v>45697</v>
      </c>
      <c r="B3114" s="12" t="str">
        <f>'[1]FEB 2025'!B59</f>
        <v>LM</v>
      </c>
      <c r="C3114" s="3">
        <f>'[1]FEB 2025'!C59</f>
        <v>0</v>
      </c>
      <c r="D3114" s="3">
        <f>'[1]FEB 2025'!D59</f>
        <v>0</v>
      </c>
      <c r="E3114" s="3">
        <f>'[1]FEB 2025'!E59</f>
        <v>0</v>
      </c>
      <c r="F3114" s="3">
        <f>'[1]FEB 2025'!F59</f>
        <v>0</v>
      </c>
      <c r="G3114" s="3">
        <f>'[1]FEB 2025'!G59</f>
        <v>0</v>
      </c>
      <c r="H3114" s="3">
        <f>'[1]FEB 2025'!H59</f>
        <v>953.95</v>
      </c>
    </row>
    <row r="3115" spans="1:8" x14ac:dyDescent="0.2">
      <c r="A3115" s="20">
        <f>'[1]FEB 2025'!A60</f>
        <v>45697</v>
      </c>
      <c r="B3115" s="12" t="str">
        <f>'[1]FEB 2025'!B60</f>
        <v>Party</v>
      </c>
      <c r="C3115" s="3">
        <f>'[1]FEB 2025'!C60</f>
        <v>0</v>
      </c>
      <c r="D3115" s="3">
        <f>'[1]FEB 2025'!D60</f>
        <v>0</v>
      </c>
      <c r="E3115" s="3">
        <f>'[1]FEB 2025'!E60</f>
        <v>0</v>
      </c>
      <c r="F3115" s="3">
        <f>'[1]FEB 2025'!F60</f>
        <v>0</v>
      </c>
      <c r="G3115" s="3">
        <f>'[1]FEB 2025'!G60</f>
        <v>0</v>
      </c>
      <c r="H3115" s="3">
        <f>'[1]FEB 2025'!H60</f>
        <v>2800</v>
      </c>
    </row>
    <row r="3116" spans="1:8" x14ac:dyDescent="0.2">
      <c r="A3116" s="23">
        <f>'[1]FEB 2025'!A61</f>
        <v>45697</v>
      </c>
      <c r="B3116" s="12" t="str">
        <f>'[1]FEB 2025'!B61</f>
        <v>Andere</v>
      </c>
      <c r="C3116" s="3">
        <f>'[1]FEB 2025'!C61</f>
        <v>0</v>
      </c>
      <c r="D3116" s="3">
        <f>'[1]FEB 2025'!D61</f>
        <v>0</v>
      </c>
      <c r="E3116" s="3">
        <f>'[1]FEB 2025'!E61</f>
        <v>0</v>
      </c>
      <c r="F3116" s="3">
        <f>'[1]FEB 2025'!F61</f>
        <v>0</v>
      </c>
      <c r="G3116" s="3">
        <f>'[1]FEB 2025'!G61</f>
        <v>0</v>
      </c>
      <c r="H3116" s="3">
        <f>'[1]FEB 2025'!H61</f>
        <v>2800</v>
      </c>
    </row>
    <row r="3117" spans="1:8" x14ac:dyDescent="0.2">
      <c r="A3117" s="23">
        <f>'[1]FEB 2025'!A65</f>
        <v>45698</v>
      </c>
      <c r="B3117" s="12" t="str">
        <f>'[1]FEB 2025'!B65</f>
        <v>none</v>
      </c>
      <c r="C3117" s="3">
        <f>'[1]FEB 2025'!C65</f>
        <v>0</v>
      </c>
      <c r="D3117" s="3">
        <f>'[1]FEB 2025'!D65</f>
        <v>0</v>
      </c>
      <c r="E3117" s="3">
        <f>'[1]FEB 2025'!E65</f>
        <v>0</v>
      </c>
      <c r="F3117" s="3">
        <f>'[1]FEB 2025'!F65</f>
        <v>0</v>
      </c>
      <c r="G3117" s="3">
        <f>'[1]FEB 2025'!G65</f>
        <v>13279</v>
      </c>
      <c r="H3117" s="3">
        <f>'[1]FEB 2025'!H65</f>
        <v>0</v>
      </c>
    </row>
    <row r="3118" spans="1:8" x14ac:dyDescent="0.2">
      <c r="A3118" s="20">
        <f>'[1]FEB 2025'!A66</f>
        <v>45698</v>
      </c>
      <c r="B3118" s="12" t="str">
        <f>'[1]FEB 2025'!B66</f>
        <v>Refill</v>
      </c>
      <c r="C3118" s="3">
        <f>'[1]FEB 2025'!C66</f>
        <v>0</v>
      </c>
      <c r="D3118" s="3">
        <f>'[1]FEB 2025'!D66</f>
        <v>0</v>
      </c>
      <c r="E3118" s="3">
        <f>'[1]FEB 2025'!E66</f>
        <v>0</v>
      </c>
      <c r="F3118" s="3">
        <f>'[1]FEB 2025'!F66</f>
        <v>0</v>
      </c>
      <c r="G3118" s="3">
        <f>'[1]FEB 2025'!G66</f>
        <v>220110</v>
      </c>
      <c r="H3118" s="3">
        <f>'[1]FEB 2025'!H66</f>
        <v>0</v>
      </c>
    </row>
    <row r="3119" spans="1:8" x14ac:dyDescent="0.2">
      <c r="A3119" s="23">
        <f>'[1]FEB 2025'!A67</f>
        <v>45698</v>
      </c>
      <c r="B3119" s="12" t="str">
        <f>'[1]FEB 2025'!B67</f>
        <v>LM</v>
      </c>
      <c r="C3119" s="3">
        <f>'[1]FEB 2025'!C67</f>
        <v>0</v>
      </c>
      <c r="D3119" s="3">
        <f>'[1]FEB 2025'!D67</f>
        <v>0</v>
      </c>
      <c r="E3119" s="3">
        <f>'[1]FEB 2025'!E67</f>
        <v>0</v>
      </c>
      <c r="F3119" s="3">
        <f>'[1]FEB 2025'!F67</f>
        <v>0</v>
      </c>
      <c r="G3119" s="3">
        <f>'[1]FEB 2025'!G67</f>
        <v>0</v>
      </c>
      <c r="H3119" s="3">
        <f>'[1]FEB 2025'!H67</f>
        <v>753.55</v>
      </c>
    </row>
    <row r="3120" spans="1:8" x14ac:dyDescent="0.2">
      <c r="A3120" s="20">
        <f>'[1]FEB 2025'!A68</f>
        <v>45698</v>
      </c>
      <c r="B3120" s="12" t="str">
        <f>'[1]FEB 2025'!B68</f>
        <v>Andere</v>
      </c>
      <c r="C3120" s="3">
        <f>'[1]FEB 2025'!C68</f>
        <v>0</v>
      </c>
      <c r="D3120" s="3">
        <f>'[1]FEB 2025'!D68</f>
        <v>0</v>
      </c>
      <c r="E3120" s="3">
        <f>'[1]FEB 2025'!E68</f>
        <v>0</v>
      </c>
      <c r="F3120" s="3">
        <f>'[1]FEB 2025'!F68</f>
        <v>0</v>
      </c>
      <c r="G3120" s="3">
        <f>'[1]FEB 2025'!G68</f>
        <v>0</v>
      </c>
      <c r="H3120" s="3">
        <f>'[1]FEB 2025'!H68</f>
        <v>10600</v>
      </c>
    </row>
    <row r="3121" spans="1:8" x14ac:dyDescent="0.2">
      <c r="A3121" s="20">
        <f>'[1]FEB 2025'!A72</f>
        <v>45699</v>
      </c>
      <c r="B3121" s="12" t="str">
        <f>'[1]FEB 2025'!B72</f>
        <v>Refill</v>
      </c>
      <c r="C3121" s="3">
        <f>'[1]FEB 2025'!C72</f>
        <v>0</v>
      </c>
      <c r="D3121" s="3">
        <f>'[1]FEB 2025'!D72</f>
        <v>0</v>
      </c>
      <c r="E3121" s="3">
        <f>'[1]FEB 2025'!E72</f>
        <v>0</v>
      </c>
      <c r="F3121" s="3">
        <f>'[1]FEB 2025'!F72</f>
        <v>0</v>
      </c>
      <c r="G3121" s="3">
        <f>'[1]FEB 2025'!G72</f>
        <v>43900</v>
      </c>
      <c r="H3121" s="3">
        <f>'[1]FEB 2025'!H72</f>
        <v>0</v>
      </c>
    </row>
    <row r="3122" spans="1:8" x14ac:dyDescent="0.2">
      <c r="A3122" s="23">
        <f>'[1]FEB 2025'!A73</f>
        <v>45699</v>
      </c>
      <c r="B3122" s="12" t="str">
        <f>'[1]FEB 2025'!B73</f>
        <v>LM</v>
      </c>
      <c r="C3122" s="3">
        <f>'[1]FEB 2025'!C73</f>
        <v>0</v>
      </c>
      <c r="D3122" s="3">
        <f>'[1]FEB 2025'!D73</f>
        <v>0</v>
      </c>
      <c r="E3122" s="3">
        <f>'[1]FEB 2025'!E73</f>
        <v>0</v>
      </c>
      <c r="F3122" s="3">
        <f>'[1]FEB 2025'!F73</f>
        <v>0</v>
      </c>
      <c r="G3122" s="3">
        <f>'[1]FEB 2025'!G73</f>
        <v>0</v>
      </c>
      <c r="H3122" s="3">
        <f>'[1]FEB 2025'!H73</f>
        <v>507.13</v>
      </c>
    </row>
    <row r="3123" spans="1:8" x14ac:dyDescent="0.2">
      <c r="A3123" s="23">
        <f>'[1]FEB 2025'!A79</f>
        <v>45700</v>
      </c>
      <c r="B3123" s="12" t="str">
        <f>'[1]FEB 2025'!B79</f>
        <v>Frauen</v>
      </c>
      <c r="C3123" s="3">
        <f>'[1]FEB 2025'!C79</f>
        <v>0</v>
      </c>
      <c r="D3123" s="3">
        <f>'[1]FEB 2025'!D79</f>
        <v>0</v>
      </c>
      <c r="E3123" s="3">
        <f>'[1]FEB 2025'!E79</f>
        <v>0</v>
      </c>
      <c r="F3123" s="3">
        <f>'[1]FEB 2025'!F79</f>
        <v>0</v>
      </c>
      <c r="G3123" s="3">
        <f>'[1]FEB 2025'!G79</f>
        <v>0</v>
      </c>
      <c r="H3123" s="3">
        <f>'[1]FEB 2025'!H79</f>
        <v>6495</v>
      </c>
    </row>
    <row r="3124" spans="1:8" x14ac:dyDescent="0.2">
      <c r="A3124" s="20">
        <f>'[1]FEB 2025'!A80</f>
        <v>45700</v>
      </c>
      <c r="B3124" s="12" t="str">
        <f>'[1]FEB 2025'!B80</f>
        <v>LM</v>
      </c>
      <c r="C3124" s="3">
        <f>'[1]FEB 2025'!C80</f>
        <v>0</v>
      </c>
      <c r="D3124" s="3">
        <f>'[1]FEB 2025'!D80</f>
        <v>0</v>
      </c>
      <c r="E3124" s="3">
        <f>'[1]FEB 2025'!E80</f>
        <v>0</v>
      </c>
      <c r="F3124" s="3">
        <f>'[1]FEB 2025'!F80</f>
        <v>0</v>
      </c>
      <c r="G3124" s="3">
        <f>'[1]FEB 2025'!G80</f>
        <v>0</v>
      </c>
      <c r="H3124" s="3">
        <f>'[1]FEB 2025'!H80</f>
        <v>998.71</v>
      </c>
    </row>
    <row r="3125" spans="1:8" x14ac:dyDescent="0.2">
      <c r="A3125" s="20">
        <f>'[1]FEB 2025'!A86</f>
        <v>45701</v>
      </c>
      <c r="B3125" s="12" t="str">
        <f>'[1]FEB 2025'!B86</f>
        <v>LM</v>
      </c>
      <c r="C3125" s="3">
        <f>'[1]FEB 2025'!C86</f>
        <v>0</v>
      </c>
      <c r="D3125" s="3">
        <f>'[1]FEB 2025'!D86</f>
        <v>0</v>
      </c>
      <c r="E3125" s="3">
        <f>'[1]FEB 2025'!E86</f>
        <v>0</v>
      </c>
      <c r="F3125" s="3">
        <f>'[1]FEB 2025'!F86</f>
        <v>0</v>
      </c>
      <c r="G3125" s="3">
        <f>'[1]FEB 2025'!G86</f>
        <v>0</v>
      </c>
      <c r="H3125" s="3">
        <f>'[1]FEB 2025'!H86</f>
        <v>1334.8200000000002</v>
      </c>
    </row>
    <row r="3126" spans="1:8" x14ac:dyDescent="0.2">
      <c r="A3126" s="23">
        <f>'[1]FEB 2025'!A87</f>
        <v>45701</v>
      </c>
      <c r="B3126" s="12" t="str">
        <f>'[1]FEB 2025'!B87</f>
        <v>VM</v>
      </c>
      <c r="C3126" s="3">
        <f>'[1]FEB 2025'!C87</f>
        <v>0</v>
      </c>
      <c r="D3126" s="3">
        <f>'[1]FEB 2025'!D87</f>
        <v>0</v>
      </c>
      <c r="E3126" s="3">
        <f>'[1]FEB 2025'!E87</f>
        <v>0</v>
      </c>
      <c r="F3126" s="3">
        <f>'[1]FEB 2025'!F87</f>
        <v>0</v>
      </c>
      <c r="G3126" s="3">
        <f>'[1]FEB 2025'!G87</f>
        <v>0</v>
      </c>
      <c r="H3126" s="3">
        <f>'[1]FEB 2025'!H87</f>
        <v>2070</v>
      </c>
    </row>
    <row r="3127" spans="1:8" x14ac:dyDescent="0.2">
      <c r="A3127" s="20">
        <f>'[1]FEB 2025'!A88</f>
        <v>45701</v>
      </c>
      <c r="B3127" s="12" t="str">
        <f>'[1]FEB 2025'!B88</f>
        <v>Rauchen</v>
      </c>
      <c r="C3127" s="3">
        <f>'[1]FEB 2025'!C88</f>
        <v>0</v>
      </c>
      <c r="D3127" s="3">
        <f>'[1]FEB 2025'!D88</f>
        <v>0</v>
      </c>
      <c r="E3127" s="3">
        <f>'[1]FEB 2025'!E88</f>
        <v>0</v>
      </c>
      <c r="F3127" s="3">
        <f>'[1]FEB 2025'!F88</f>
        <v>0</v>
      </c>
      <c r="G3127" s="3">
        <f>'[1]FEB 2025'!G88</f>
        <v>0</v>
      </c>
      <c r="H3127" s="3">
        <f>'[1]FEB 2025'!H88</f>
        <v>340</v>
      </c>
    </row>
    <row r="3128" spans="1:8" x14ac:dyDescent="0.2">
      <c r="A3128" s="23">
        <f>'[1]FEB 2025'!A93</f>
        <v>45702</v>
      </c>
      <c r="B3128" s="12" t="str">
        <f>'[1]FEB 2025'!B93</f>
        <v>LM</v>
      </c>
      <c r="C3128" s="3">
        <f>'[1]FEB 2025'!C93</f>
        <v>0</v>
      </c>
      <c r="D3128" s="3">
        <f>'[1]FEB 2025'!D93</f>
        <v>0</v>
      </c>
      <c r="E3128" s="3">
        <f>'[1]FEB 2025'!E93</f>
        <v>0</v>
      </c>
      <c r="F3128" s="3">
        <f>'[1]FEB 2025'!F93</f>
        <v>0</v>
      </c>
      <c r="G3128" s="3">
        <f>'[1]FEB 2025'!G93</f>
        <v>0</v>
      </c>
      <c r="H3128" s="3">
        <f>'[1]FEB 2025'!H93</f>
        <v>1468.15</v>
      </c>
    </row>
    <row r="3129" spans="1:8" x14ac:dyDescent="0.2">
      <c r="A3129" s="20">
        <f>'[1]FEB 2025'!A94</f>
        <v>45702</v>
      </c>
      <c r="B3129" s="12" t="str">
        <f>'[1]FEB 2025'!B94</f>
        <v>Frauen</v>
      </c>
      <c r="C3129" s="3">
        <f>'[1]FEB 2025'!C94</f>
        <v>0</v>
      </c>
      <c r="D3129" s="3">
        <f>'[1]FEB 2025'!D94</f>
        <v>0</v>
      </c>
      <c r="E3129" s="3">
        <f>'[1]FEB 2025'!E94</f>
        <v>0</v>
      </c>
      <c r="F3129" s="3">
        <f>'[1]FEB 2025'!F94</f>
        <v>0</v>
      </c>
      <c r="G3129" s="3">
        <f>'[1]FEB 2025'!G94</f>
        <v>0</v>
      </c>
      <c r="H3129" s="3">
        <f>'[1]FEB 2025'!H94</f>
        <v>3400</v>
      </c>
    </row>
    <row r="3130" spans="1:8" x14ac:dyDescent="0.2">
      <c r="A3130" s="20">
        <f>'[1]FEB 2025'!A100</f>
        <v>45703</v>
      </c>
      <c r="B3130" s="12" t="str">
        <f>'[1]FEB 2025'!B100</f>
        <v>LM</v>
      </c>
      <c r="C3130" s="3">
        <f>'[1]FEB 2025'!C100</f>
        <v>0</v>
      </c>
      <c r="D3130" s="3">
        <f>'[1]FEB 2025'!D100</f>
        <v>0</v>
      </c>
      <c r="E3130" s="3">
        <f>'[1]FEB 2025'!E100</f>
        <v>0</v>
      </c>
      <c r="F3130" s="3">
        <f>'[1]FEB 2025'!F100</f>
        <v>0</v>
      </c>
      <c r="G3130" s="3">
        <f>'[1]FEB 2025'!G100</f>
        <v>0</v>
      </c>
      <c r="H3130" s="3">
        <f>'[1]FEB 2025'!H100</f>
        <v>1396.95</v>
      </c>
    </row>
    <row r="3131" spans="1:8" x14ac:dyDescent="0.2">
      <c r="A3131" s="23">
        <f>'[1]FEB 2025'!A101</f>
        <v>45703</v>
      </c>
      <c r="B3131" s="12" t="str">
        <f>'[1]FEB 2025'!B101</f>
        <v>Andere</v>
      </c>
      <c r="C3131" s="3">
        <f>'[1]FEB 2025'!C101</f>
        <v>0</v>
      </c>
      <c r="D3131" s="3">
        <f>'[1]FEB 2025'!D101</f>
        <v>0</v>
      </c>
      <c r="E3131" s="3">
        <f>'[1]FEB 2025'!E101</f>
        <v>0</v>
      </c>
      <c r="F3131" s="3">
        <f>'[1]FEB 2025'!F101</f>
        <v>0</v>
      </c>
      <c r="G3131" s="3">
        <f>'[1]FEB 2025'!G101</f>
        <v>0</v>
      </c>
      <c r="H3131" s="3">
        <f>'[1]FEB 2025'!H101</f>
        <v>1293.22</v>
      </c>
    </row>
    <row r="3132" spans="1:8" x14ac:dyDescent="0.2">
      <c r="A3132" s="23">
        <f>'[1]FEB 2025'!A107</f>
        <v>45704</v>
      </c>
      <c r="B3132" s="12" t="str">
        <f>'[1]FEB 2025'!B107</f>
        <v>Refill</v>
      </c>
      <c r="C3132" s="3">
        <f>'[1]FEB 2025'!C107</f>
        <v>0</v>
      </c>
      <c r="D3132" s="3">
        <f>'[1]FEB 2025'!D107</f>
        <v>0</v>
      </c>
      <c r="E3132" s="3">
        <f>'[1]FEB 2025'!E107</f>
        <v>0</v>
      </c>
      <c r="F3132" s="3">
        <f>'[1]FEB 2025'!F107</f>
        <v>0</v>
      </c>
      <c r="G3132" s="3">
        <f>'[1]FEB 2025'!G107</f>
        <v>11833.73</v>
      </c>
      <c r="H3132" s="3">
        <f>'[1]FEB 2025'!H107</f>
        <v>0</v>
      </c>
    </row>
    <row r="3133" spans="1:8" x14ac:dyDescent="0.2">
      <c r="A3133" s="20">
        <f>'[1]FEB 2025'!A108</f>
        <v>45704</v>
      </c>
      <c r="B3133" s="12" t="str">
        <f>'[1]FEB 2025'!B108</f>
        <v>LM</v>
      </c>
      <c r="C3133" s="3">
        <f>'[1]FEB 2025'!C108</f>
        <v>0</v>
      </c>
      <c r="D3133" s="3">
        <f>'[1]FEB 2025'!D108</f>
        <v>0</v>
      </c>
      <c r="E3133" s="3">
        <f>'[1]FEB 2025'!E108</f>
        <v>0</v>
      </c>
      <c r="F3133" s="3">
        <f>'[1]FEB 2025'!F108</f>
        <v>0</v>
      </c>
      <c r="G3133" s="3">
        <f>'[1]FEB 2025'!G108</f>
        <v>0</v>
      </c>
      <c r="H3133" s="3">
        <f>'[1]FEB 2025'!H108</f>
        <v>478</v>
      </c>
    </row>
    <row r="3134" spans="1:8" x14ac:dyDescent="0.2">
      <c r="A3134" s="23">
        <f>'[1]FEB 2025'!A109</f>
        <v>45704</v>
      </c>
      <c r="B3134" s="12" t="str">
        <f>'[1]FEB 2025'!B109</f>
        <v>Refill</v>
      </c>
      <c r="C3134" s="3">
        <f>'[1]FEB 2025'!C109</f>
        <v>0</v>
      </c>
      <c r="D3134" s="3">
        <f>'[1]FEB 2025'!D109</f>
        <v>0</v>
      </c>
      <c r="E3134" s="3">
        <f>'[1]FEB 2025'!E109</f>
        <v>0</v>
      </c>
      <c r="F3134" s="3">
        <f>'[1]FEB 2025'!F109</f>
        <v>0</v>
      </c>
      <c r="G3134" s="3">
        <f>'[1]FEB 2025'!G109</f>
        <v>12500</v>
      </c>
      <c r="H3134" s="3">
        <f>'[1]FEB 2025'!H109</f>
        <v>0</v>
      </c>
    </row>
    <row r="3135" spans="1:8" x14ac:dyDescent="0.2">
      <c r="A3135" s="20">
        <f>'[1]FEB 2025'!A114</f>
        <v>45705</v>
      </c>
      <c r="B3135" s="12" t="str">
        <f>'[1]FEB 2025'!B114</f>
        <v>rent</v>
      </c>
      <c r="C3135" s="3">
        <f>'[1]FEB 2025'!C114</f>
        <v>0</v>
      </c>
      <c r="D3135" s="3">
        <f>'[1]FEB 2025'!D114</f>
        <v>0</v>
      </c>
      <c r="E3135" s="3">
        <f>'[1]FEB 2025'!E114</f>
        <v>0</v>
      </c>
      <c r="F3135" s="3">
        <f>'[1]FEB 2025'!F114</f>
        <v>0</v>
      </c>
      <c r="G3135" s="3">
        <f>'[1]FEB 2025'!G114</f>
        <v>0</v>
      </c>
      <c r="H3135" s="3">
        <f>'[1]FEB 2025'!H114</f>
        <v>55000</v>
      </c>
    </row>
    <row r="3136" spans="1:8" x14ac:dyDescent="0.2">
      <c r="A3136" s="23">
        <f>'[1]FEB 2025'!A115</f>
        <v>45705</v>
      </c>
      <c r="B3136" s="12" t="str">
        <f>'[1]FEB 2025'!B115</f>
        <v>Andere</v>
      </c>
      <c r="C3136" s="3">
        <f>'[1]FEB 2025'!C115</f>
        <v>0</v>
      </c>
      <c r="D3136" s="3">
        <f>'[1]FEB 2025'!D115</f>
        <v>0</v>
      </c>
      <c r="E3136" s="3">
        <f>'[1]FEB 2025'!E115</f>
        <v>0</v>
      </c>
      <c r="F3136" s="3">
        <f>'[1]FEB 2025'!F115</f>
        <v>0</v>
      </c>
      <c r="G3136" s="3">
        <f>'[1]FEB 2025'!G115</f>
        <v>0</v>
      </c>
      <c r="H3136" s="3">
        <f>'[1]FEB 2025'!H115</f>
        <v>9000</v>
      </c>
    </row>
    <row r="3137" spans="1:8" x14ac:dyDescent="0.2">
      <c r="A3137" s="20">
        <f>'[1]FEB 2025'!A116</f>
        <v>45705</v>
      </c>
      <c r="B3137" s="12" t="str">
        <f>'[1]FEB 2025'!B116</f>
        <v>Andere</v>
      </c>
      <c r="C3137" s="3">
        <f>'[1]FEB 2025'!C116</f>
        <v>0</v>
      </c>
      <c r="D3137" s="3">
        <f>'[1]FEB 2025'!D116</f>
        <v>0</v>
      </c>
      <c r="E3137" s="3">
        <f>'[1]FEB 2025'!E116</f>
        <v>0</v>
      </c>
      <c r="F3137" s="3">
        <f>'[1]FEB 2025'!F116</f>
        <v>0</v>
      </c>
      <c r="G3137" s="3">
        <f>'[1]FEB 2025'!G116</f>
        <v>0</v>
      </c>
      <c r="H3137" s="3">
        <f>'[1]FEB 2025'!H116</f>
        <v>2870</v>
      </c>
    </row>
    <row r="3138" spans="1:8" x14ac:dyDescent="0.2">
      <c r="A3138" s="23">
        <f>'[1]FEB 2025'!A117</f>
        <v>45705</v>
      </c>
      <c r="B3138" s="12" t="str">
        <f>'[1]FEB 2025'!B117</f>
        <v>LM</v>
      </c>
      <c r="C3138" s="3">
        <f>'[1]FEB 2025'!C117</f>
        <v>0</v>
      </c>
      <c r="D3138" s="3">
        <f>'[1]FEB 2025'!D117</f>
        <v>0</v>
      </c>
      <c r="E3138" s="3">
        <f>'[1]FEB 2025'!E117</f>
        <v>0</v>
      </c>
      <c r="F3138" s="3">
        <f>'[1]FEB 2025'!F117</f>
        <v>0</v>
      </c>
      <c r="G3138" s="3">
        <f>'[1]FEB 2025'!G117</f>
        <v>0</v>
      </c>
      <c r="H3138" s="3">
        <f>'[1]FEB 2025'!H117</f>
        <v>1740.04</v>
      </c>
    </row>
    <row r="3139" spans="1:8" x14ac:dyDescent="0.2">
      <c r="A3139" s="23">
        <f>'[1]FEB 2025'!A121</f>
        <v>45706</v>
      </c>
      <c r="B3139" s="12" t="str">
        <f>'[1]FEB 2025'!B121</f>
        <v>Frauen</v>
      </c>
      <c r="C3139" s="3">
        <f>'[1]FEB 2025'!C121</f>
        <v>0</v>
      </c>
      <c r="D3139" s="3">
        <f>'[1]FEB 2025'!D121</f>
        <v>0</v>
      </c>
      <c r="E3139" s="3">
        <f>'[1]FEB 2025'!E121</f>
        <v>0</v>
      </c>
      <c r="F3139" s="3">
        <f>'[1]FEB 2025'!F121</f>
        <v>0</v>
      </c>
      <c r="G3139" s="3">
        <f>'[1]FEB 2025'!G121</f>
        <v>0</v>
      </c>
      <c r="H3139" s="3">
        <f>'[1]FEB 2025'!H121</f>
        <v>1000</v>
      </c>
    </row>
    <row r="3140" spans="1:8" x14ac:dyDescent="0.2">
      <c r="A3140" s="20">
        <f>'[1]FEB 2025'!A122</f>
        <v>45706</v>
      </c>
      <c r="B3140" s="12" t="str">
        <f>'[1]FEB 2025'!B122</f>
        <v>Rauchen</v>
      </c>
      <c r="C3140" s="3">
        <f>'[1]FEB 2025'!C122</f>
        <v>0</v>
      </c>
      <c r="D3140" s="3">
        <f>'[1]FEB 2025'!D122</f>
        <v>0</v>
      </c>
      <c r="E3140" s="3">
        <f>'[1]FEB 2025'!E122</f>
        <v>0</v>
      </c>
      <c r="F3140" s="3">
        <f>'[1]FEB 2025'!F122</f>
        <v>0</v>
      </c>
      <c r="G3140" s="3">
        <f>'[1]FEB 2025'!G122</f>
        <v>0</v>
      </c>
      <c r="H3140" s="3">
        <f>'[1]FEB 2025'!H122</f>
        <v>340</v>
      </c>
    </row>
    <row r="3141" spans="1:8" x14ac:dyDescent="0.2">
      <c r="A3141" s="23">
        <f>'[1]FEB 2025'!A123</f>
        <v>45706</v>
      </c>
      <c r="B3141" s="12" t="str">
        <f>'[1]FEB 2025'!B123</f>
        <v>LM</v>
      </c>
      <c r="C3141" s="3">
        <f>'[1]FEB 2025'!C123</f>
        <v>0</v>
      </c>
      <c r="D3141" s="3">
        <f>'[1]FEB 2025'!D123</f>
        <v>0</v>
      </c>
      <c r="E3141" s="3">
        <f>'[1]FEB 2025'!E123</f>
        <v>0</v>
      </c>
      <c r="F3141" s="3">
        <f>'[1]FEB 2025'!F123</f>
        <v>0</v>
      </c>
      <c r="G3141" s="3">
        <f>'[1]FEB 2025'!G123</f>
        <v>0</v>
      </c>
      <c r="H3141" s="3">
        <f>'[1]FEB 2025'!H123</f>
        <v>239</v>
      </c>
    </row>
    <row r="3142" spans="1:8" x14ac:dyDescent="0.2">
      <c r="A3142" s="23">
        <f>'[1]FEB 2025'!A125</f>
        <v>45706</v>
      </c>
      <c r="B3142" s="12" t="str">
        <f>'[1]FEB 2025'!B125</f>
        <v>LM</v>
      </c>
      <c r="C3142" s="3">
        <f>'[1]FEB 2025'!C125</f>
        <v>0</v>
      </c>
      <c r="D3142" s="3">
        <f>'[1]FEB 2025'!D125</f>
        <v>0</v>
      </c>
      <c r="E3142" s="3">
        <f>'[1]FEB 2025'!E125</f>
        <v>0</v>
      </c>
      <c r="F3142" s="3">
        <f>'[1]FEB 2025'!F125</f>
        <v>0</v>
      </c>
      <c r="G3142" s="3">
        <f>'[1]FEB 2025'!G125</f>
        <v>0</v>
      </c>
      <c r="H3142" s="3">
        <f>'[1]FEB 2025'!H125</f>
        <v>962.42</v>
      </c>
    </row>
    <row r="3143" spans="1:8" x14ac:dyDescent="0.2">
      <c r="A3143" s="20">
        <f>'[1]FEB 2025'!A128</f>
        <v>45707</v>
      </c>
      <c r="B3143" s="12" t="str">
        <f>'[1]FEB 2025'!B128</f>
        <v>LM</v>
      </c>
      <c r="C3143" s="3">
        <f>'[1]FEB 2025'!C128</f>
        <v>0</v>
      </c>
      <c r="D3143" s="3">
        <f>'[1]FEB 2025'!D128</f>
        <v>0</v>
      </c>
      <c r="E3143" s="3">
        <f>'[1]FEB 2025'!E128</f>
        <v>0</v>
      </c>
      <c r="F3143" s="3">
        <f>'[1]FEB 2025'!F128</f>
        <v>0</v>
      </c>
      <c r="G3143" s="3">
        <f>'[1]FEB 2025'!G128</f>
        <v>0</v>
      </c>
      <c r="H3143" s="3">
        <f>'[1]FEB 2025'!H128</f>
        <v>2066.77</v>
      </c>
    </row>
    <row r="3144" spans="1:8" x14ac:dyDescent="0.2">
      <c r="A3144" s="23">
        <f>'[1]FEB 2025'!A135</f>
        <v>45708</v>
      </c>
      <c r="B3144" s="12" t="str">
        <f>'[1]FEB 2025'!B135</f>
        <v>Andere</v>
      </c>
      <c r="C3144" s="3">
        <f>'[1]FEB 2025'!C135</f>
        <v>0</v>
      </c>
      <c r="D3144" s="3">
        <f>'[1]FEB 2025'!D135</f>
        <v>0</v>
      </c>
      <c r="E3144" s="3">
        <f>'[1]FEB 2025'!E135</f>
        <v>0</v>
      </c>
      <c r="F3144" s="3">
        <f>'[1]FEB 2025'!F135</f>
        <v>0</v>
      </c>
      <c r="G3144" s="3">
        <f>'[1]FEB 2025'!G135</f>
        <v>0</v>
      </c>
      <c r="H3144" s="3">
        <f>'[1]FEB 2025'!H135</f>
        <v>1</v>
      </c>
    </row>
    <row r="3145" spans="1:8" x14ac:dyDescent="0.2">
      <c r="A3145" s="20">
        <f>'[1]FEB 2025'!A136</f>
        <v>45708</v>
      </c>
      <c r="B3145" s="12" t="str">
        <f>'[1]FEB 2025'!B136</f>
        <v>LM</v>
      </c>
      <c r="C3145" s="3">
        <f>'[1]FEB 2025'!C136</f>
        <v>0</v>
      </c>
      <c r="D3145" s="3">
        <f>'[1]FEB 2025'!D136</f>
        <v>0</v>
      </c>
      <c r="E3145" s="3">
        <f>'[1]FEB 2025'!E136</f>
        <v>0</v>
      </c>
      <c r="F3145" s="3">
        <f>'[1]FEB 2025'!F136</f>
        <v>0</v>
      </c>
      <c r="G3145" s="3">
        <f>'[1]FEB 2025'!G136</f>
        <v>0</v>
      </c>
      <c r="H3145" s="3">
        <f>'[1]FEB 2025'!H136</f>
        <v>813</v>
      </c>
    </row>
    <row r="3146" spans="1:8" x14ac:dyDescent="0.2">
      <c r="A3146" s="20">
        <f>'[1]FEB 2025'!A142</f>
        <v>45709</v>
      </c>
      <c r="B3146" s="12" t="str">
        <f>'[1]FEB 2025'!B142</f>
        <v>LM</v>
      </c>
      <c r="C3146" s="3">
        <f>'[1]FEB 2025'!C142</f>
        <v>0</v>
      </c>
      <c r="D3146" s="3">
        <f>'[1]FEB 2025'!D142</f>
        <v>0</v>
      </c>
      <c r="E3146" s="3">
        <f>'[1]FEB 2025'!E142</f>
        <v>0</v>
      </c>
      <c r="F3146" s="3">
        <f>'[1]FEB 2025'!F142</f>
        <v>0</v>
      </c>
      <c r="G3146" s="3">
        <f>'[1]FEB 2025'!G142</f>
        <v>0</v>
      </c>
      <c r="H3146" s="3">
        <f>'[1]FEB 2025'!H142</f>
        <v>5625.3899999999994</v>
      </c>
    </row>
    <row r="3147" spans="1:8" x14ac:dyDescent="0.2">
      <c r="A3147" s="23">
        <f>'[1]FEB 2025'!A149</f>
        <v>45710</v>
      </c>
      <c r="B3147" s="12" t="str">
        <f>'[1]FEB 2025'!B149</f>
        <v>LM</v>
      </c>
      <c r="C3147" s="3">
        <f>'[1]FEB 2025'!C149</f>
        <v>0</v>
      </c>
      <c r="D3147" s="3">
        <f>'[1]FEB 2025'!D149</f>
        <v>0</v>
      </c>
      <c r="E3147" s="3">
        <f>'[1]FEB 2025'!E149</f>
        <v>0</v>
      </c>
      <c r="F3147" s="3">
        <f>'[1]FEB 2025'!F149</f>
        <v>0</v>
      </c>
      <c r="G3147" s="3">
        <f>'[1]FEB 2025'!G149</f>
        <v>0</v>
      </c>
      <c r="H3147" s="3">
        <f>'[1]FEB 2025'!H149</f>
        <v>2002.97</v>
      </c>
    </row>
    <row r="3148" spans="1:8" x14ac:dyDescent="0.2">
      <c r="A3148" s="20">
        <f>'[1]FEB 2025'!A156</f>
        <v>45711</v>
      </c>
      <c r="B3148" s="12" t="str">
        <f>'[1]FEB 2025'!B156</f>
        <v>LM</v>
      </c>
      <c r="C3148" s="3">
        <f>'[1]FEB 2025'!C156</f>
        <v>0</v>
      </c>
      <c r="D3148" s="3">
        <f>'[1]FEB 2025'!D156</f>
        <v>0</v>
      </c>
      <c r="E3148" s="3">
        <f>'[1]FEB 2025'!E156</f>
        <v>0</v>
      </c>
      <c r="F3148" s="3">
        <f>'[1]FEB 2025'!F156</f>
        <v>0</v>
      </c>
      <c r="G3148" s="3">
        <f>'[1]FEB 2025'!G156</f>
        <v>0</v>
      </c>
      <c r="H3148" s="3">
        <f>'[1]FEB 2025'!H156</f>
        <v>1161.94</v>
      </c>
    </row>
    <row r="3149" spans="1:8" x14ac:dyDescent="0.2">
      <c r="A3149" s="23">
        <f>'[1]FEB 2025'!A157</f>
        <v>45711</v>
      </c>
      <c r="B3149" s="12" t="str">
        <f>'[1]FEB 2025'!B157</f>
        <v>VM</v>
      </c>
      <c r="C3149" s="3">
        <f>'[1]FEB 2025'!C157</f>
        <v>0</v>
      </c>
      <c r="D3149" s="3">
        <f>'[1]FEB 2025'!D157</f>
        <v>0</v>
      </c>
      <c r="E3149" s="3">
        <f>'[1]FEB 2025'!E157</f>
        <v>0</v>
      </c>
      <c r="F3149" s="3">
        <f>'[1]FEB 2025'!F157</f>
        <v>0</v>
      </c>
      <c r="G3149" s="3">
        <f>'[1]FEB 2025'!G157</f>
        <v>0</v>
      </c>
      <c r="H3149" s="3">
        <f>'[1]FEB 2025'!H157</f>
        <v>829</v>
      </c>
    </row>
    <row r="3150" spans="1:8" x14ac:dyDescent="0.2">
      <c r="A3150" s="20">
        <f>'[1]FEB 2025'!A158</f>
        <v>45711</v>
      </c>
      <c r="B3150" s="12" t="str">
        <f>'[1]FEB 2025'!B158</f>
        <v>Rauchen</v>
      </c>
      <c r="C3150" s="3">
        <f>'[1]FEB 2025'!C158</f>
        <v>0</v>
      </c>
      <c r="D3150" s="3">
        <f>'[1]FEB 2025'!D158</f>
        <v>0</v>
      </c>
      <c r="E3150" s="3">
        <f>'[1]FEB 2025'!E158</f>
        <v>0</v>
      </c>
      <c r="F3150" s="3">
        <f>'[1]FEB 2025'!F158</f>
        <v>0</v>
      </c>
      <c r="G3150" s="3">
        <f>'[1]FEB 2025'!G158</f>
        <v>0</v>
      </c>
      <c r="H3150" s="3">
        <f>'[1]FEB 2025'!H158</f>
        <v>340</v>
      </c>
    </row>
    <row r="3151" spans="1:8" x14ac:dyDescent="0.2">
      <c r="A3151" s="20">
        <f>'[1]FEB 2025'!A170</f>
        <v>45713</v>
      </c>
      <c r="B3151" s="12" t="str">
        <f>'[1]FEB 2025'!B170</f>
        <v>Refill</v>
      </c>
      <c r="C3151" s="3">
        <f>'[1]FEB 2025'!C170</f>
        <v>0</v>
      </c>
      <c r="D3151" s="3">
        <f>'[1]FEB 2025'!D170</f>
        <v>0</v>
      </c>
      <c r="E3151" s="3">
        <f>'[1]FEB 2025'!E170</f>
        <v>0</v>
      </c>
      <c r="F3151" s="3">
        <f>'[1]FEB 2025'!F170</f>
        <v>0</v>
      </c>
      <c r="G3151" s="3">
        <f>'[1]FEB 2025'!G170</f>
        <v>4387.03</v>
      </c>
      <c r="H3151" s="3">
        <f>'[1]FEB 2025'!H170</f>
        <v>0</v>
      </c>
    </row>
    <row r="3152" spans="1:8" x14ac:dyDescent="0.2">
      <c r="A3152" s="23">
        <f>'[1]FEB 2025'!A177</f>
        <v>45714</v>
      </c>
      <c r="B3152" s="12" t="str">
        <f>'[1]FEB 2025'!B177</f>
        <v>Refill</v>
      </c>
      <c r="C3152" s="3">
        <f>'[1]FEB 2025'!C177</f>
        <v>0</v>
      </c>
      <c r="D3152" s="3">
        <f>'[1]FEB 2025'!D177</f>
        <v>0</v>
      </c>
      <c r="E3152" s="3">
        <f>'[1]FEB 2025'!E177</f>
        <v>0</v>
      </c>
      <c r="F3152" s="3">
        <f>'[1]FEB 2025'!F177</f>
        <v>0</v>
      </c>
      <c r="G3152" s="3">
        <f>'[1]FEB 2025'!G177</f>
        <v>242.7</v>
      </c>
      <c r="H3152" s="3">
        <f>'[1]FEB 2025'!H177</f>
        <v>0</v>
      </c>
    </row>
    <row r="3153" spans="1:8" x14ac:dyDescent="0.2">
      <c r="A3153" s="20">
        <f>'[1]FEB 2025'!A184</f>
        <v>45715</v>
      </c>
      <c r="B3153" s="12" t="str">
        <f>'[1]FEB 2025'!B184</f>
        <v>Frauen</v>
      </c>
      <c r="C3153" s="3">
        <f>'[1]FEB 2025'!C184</f>
        <v>0</v>
      </c>
      <c r="D3153" s="3">
        <f>'[1]FEB 2025'!D184</f>
        <v>0</v>
      </c>
      <c r="E3153" s="3">
        <f>'[1]FEB 2025'!E184</f>
        <v>0</v>
      </c>
      <c r="F3153" s="3">
        <f>'[1]FEB 2025'!F184</f>
        <v>0</v>
      </c>
      <c r="G3153" s="3">
        <f>'[1]FEB 2025'!G184</f>
        <v>0</v>
      </c>
      <c r="H3153" s="3">
        <f>'[1]FEB 2025'!H184</f>
        <v>650</v>
      </c>
    </row>
    <row r="3154" spans="1:8" x14ac:dyDescent="0.2">
      <c r="A3154" s="23">
        <f>'[1]FEB 2025'!A191</f>
        <v>45716</v>
      </c>
      <c r="B3154" s="12" t="str">
        <f>'[1]FEB 2025'!B191</f>
        <v>LM</v>
      </c>
      <c r="C3154" s="3">
        <f>'[1]FEB 2025'!C191</f>
        <v>0</v>
      </c>
      <c r="D3154" s="3">
        <f>'[1]FEB 2025'!D191</f>
        <v>0</v>
      </c>
      <c r="E3154" s="3">
        <f>'[1]FEB 2025'!E191</f>
        <v>0</v>
      </c>
      <c r="F3154" s="3">
        <f>'[1]FEB 2025'!F191</f>
        <v>0</v>
      </c>
      <c r="G3154" s="3">
        <f>'[1]FEB 2025'!G191</f>
        <v>0</v>
      </c>
      <c r="H3154" s="3">
        <f>'[1]FEB 2025'!H191</f>
        <v>5000</v>
      </c>
    </row>
    <row r="3155" spans="1:8" x14ac:dyDescent="0.2">
      <c r="A3155" s="23">
        <f>'[1]MAR 2025'!A9</f>
        <v>45718</v>
      </c>
      <c r="B3155" s="12" t="str">
        <f>'[1]MAR 2025'!B9</f>
        <v>Andere</v>
      </c>
      <c r="C3155" s="3">
        <f>'[1]MAR 2025'!C9</f>
        <v>0</v>
      </c>
      <c r="D3155" s="3">
        <f>'[1]MAR 2025'!D9</f>
        <v>0</v>
      </c>
      <c r="E3155" s="3">
        <f>'[1]MAR 2025'!E9</f>
        <v>0</v>
      </c>
      <c r="F3155" s="3">
        <f>'[1]MAR 2025'!F9</f>
        <v>0</v>
      </c>
      <c r="G3155" s="3">
        <f>'[1]MAR 2025'!G9</f>
        <v>0</v>
      </c>
      <c r="H3155" s="3">
        <f>'[1]MAR 2025'!H9</f>
        <v>1526</v>
      </c>
    </row>
    <row r="3156" spans="1:8" x14ac:dyDescent="0.2">
      <c r="A3156" s="20">
        <f>'[1]MAR 2025'!A16</f>
        <v>45719</v>
      </c>
      <c r="B3156" s="12" t="str">
        <f>'[1]MAR 2025'!B16</f>
        <v>Andere</v>
      </c>
      <c r="C3156" s="3">
        <f>'[1]MAR 2025'!C16</f>
        <v>0</v>
      </c>
      <c r="D3156" s="3">
        <f>'[1]MAR 2025'!D16</f>
        <v>0</v>
      </c>
      <c r="E3156" s="3">
        <f>'[1]MAR 2025'!E16</f>
        <v>0</v>
      </c>
      <c r="F3156" s="3">
        <f>'[1]MAR 2025'!F16</f>
        <v>0</v>
      </c>
      <c r="G3156" s="3">
        <f>'[1]MAR 2025'!G16</f>
        <v>0</v>
      </c>
      <c r="H3156" s="3">
        <f>'[1]MAR 2025'!H16</f>
        <v>431</v>
      </c>
    </row>
    <row r="3157" spans="1:8" x14ac:dyDescent="0.2">
      <c r="A3157" s="23">
        <f>'[1]MAR 2025'!A17</f>
        <v>45719</v>
      </c>
      <c r="B3157" s="12" t="str">
        <f>'[1]MAR 2025'!B17</f>
        <v>Andere</v>
      </c>
      <c r="C3157" s="3">
        <f>'[1]MAR 2025'!C17</f>
        <v>0</v>
      </c>
      <c r="D3157" s="3">
        <f>'[1]MAR 2025'!D17</f>
        <v>0</v>
      </c>
      <c r="E3157" s="3">
        <f>'[1]MAR 2025'!E17</f>
        <v>0</v>
      </c>
      <c r="F3157" s="3">
        <f>'[1]MAR 2025'!F17</f>
        <v>0</v>
      </c>
      <c r="G3157" s="3">
        <f>'[1]MAR 2025'!G17</f>
        <v>0</v>
      </c>
      <c r="H3157" s="3">
        <f>'[1]MAR 2025'!H17</f>
        <v>16500</v>
      </c>
    </row>
    <row r="3158" spans="1:8" x14ac:dyDescent="0.2">
      <c r="A3158" s="20">
        <f>'[1]MAR 2025'!A18</f>
        <v>45719</v>
      </c>
      <c r="B3158" s="12" t="str">
        <f>'[1]MAR 2025'!B18</f>
        <v>none</v>
      </c>
      <c r="C3158" s="3">
        <f>'[1]MAR 2025'!C18</f>
        <v>0</v>
      </c>
      <c r="D3158" s="3">
        <f>'[1]MAR 2025'!D18</f>
        <v>0</v>
      </c>
      <c r="E3158" s="3">
        <f>'[1]MAR 2025'!E18</f>
        <v>0</v>
      </c>
      <c r="F3158" s="3">
        <f>'[1]MAR 2025'!F18</f>
        <v>0</v>
      </c>
      <c r="G3158" s="3">
        <f>'[1]MAR 2025'!G18</f>
        <v>500</v>
      </c>
      <c r="H3158" s="3">
        <f>'[1]MAR 2025'!H18</f>
        <v>0</v>
      </c>
    </row>
    <row r="3159" spans="1:8" x14ac:dyDescent="0.2">
      <c r="A3159" s="23">
        <f>'[1]MAR 2025'!A19</f>
        <v>45719</v>
      </c>
      <c r="B3159" s="12" t="str">
        <f>'[1]MAR 2025'!B19</f>
        <v>none</v>
      </c>
      <c r="C3159" s="3">
        <f>'[1]MAR 2025'!C19</f>
        <v>0</v>
      </c>
      <c r="D3159" s="3">
        <f>'[1]MAR 2025'!D19</f>
        <v>0</v>
      </c>
      <c r="E3159" s="3">
        <f>'[1]MAR 2025'!E19</f>
        <v>0</v>
      </c>
      <c r="F3159" s="3">
        <f>'[1]MAR 2025'!F19</f>
        <v>0</v>
      </c>
      <c r="G3159" s="3">
        <f>'[1]MAR 2025'!G19</f>
        <v>9388.7099999999991</v>
      </c>
      <c r="H3159" s="3">
        <f>'[1]MAR 2025'!H19</f>
        <v>0</v>
      </c>
    </row>
    <row r="3160" spans="1:8" x14ac:dyDescent="0.2">
      <c r="A3160" s="23">
        <f>'[1]MAR 2025'!A23</f>
        <v>45720</v>
      </c>
      <c r="B3160" s="12" t="str">
        <f>'[1]MAR 2025'!B23</f>
        <v>none</v>
      </c>
      <c r="C3160" s="3">
        <f>'[1]MAR 2025'!C23</f>
        <v>0</v>
      </c>
      <c r="D3160" s="3">
        <f>'[1]MAR 2025'!D23</f>
        <v>0</v>
      </c>
      <c r="E3160" s="3">
        <f>'[1]MAR 2025'!E23</f>
        <v>0</v>
      </c>
      <c r="F3160" s="3">
        <f>'[1]MAR 2025'!F23</f>
        <v>0</v>
      </c>
      <c r="G3160" s="3">
        <f>'[1]MAR 2025'!G23</f>
        <v>500</v>
      </c>
      <c r="H3160" s="3">
        <f>'[1]MAR 2025'!H23</f>
        <v>0</v>
      </c>
    </row>
    <row r="3161" spans="1:8" x14ac:dyDescent="0.2">
      <c r="A3161" s="20">
        <f>'[1]MAR 2025'!A24</f>
        <v>45720</v>
      </c>
      <c r="B3161" s="12" t="str">
        <f>'[1]MAR 2025'!B24</f>
        <v>Frauen</v>
      </c>
      <c r="C3161" s="3">
        <f>'[1]MAR 2025'!C24</f>
        <v>0</v>
      </c>
      <c r="D3161" s="3">
        <f>'[1]MAR 2025'!D24</f>
        <v>0</v>
      </c>
      <c r="E3161" s="3">
        <f>'[1]MAR 2025'!E24</f>
        <v>0</v>
      </c>
      <c r="F3161" s="3">
        <f>'[1]MAR 2025'!F24</f>
        <v>0</v>
      </c>
      <c r="G3161" s="3">
        <f>'[1]MAR 2025'!G24</f>
        <v>0</v>
      </c>
      <c r="H3161" s="3">
        <f>'[1]MAR 2025'!H24</f>
        <v>500</v>
      </c>
    </row>
    <row r="3162" spans="1:8" x14ac:dyDescent="0.2">
      <c r="A3162" s="20">
        <f>'[1]MAR 2025'!A30</f>
        <v>45721</v>
      </c>
      <c r="B3162" s="12" t="str">
        <f>'[1]MAR 2025'!B30</f>
        <v>Andere</v>
      </c>
      <c r="C3162" s="3">
        <f>'[1]MAR 2025'!C30</f>
        <v>0</v>
      </c>
      <c r="D3162" s="3">
        <f>'[1]MAR 2025'!D30</f>
        <v>0</v>
      </c>
      <c r="E3162" s="3">
        <f>'[1]MAR 2025'!E30</f>
        <v>0</v>
      </c>
      <c r="F3162" s="3">
        <f>'[1]MAR 2025'!F30</f>
        <v>0</v>
      </c>
      <c r="G3162" s="3">
        <f>'[1]MAR 2025'!G30</f>
        <v>0</v>
      </c>
      <c r="H3162" s="3">
        <f>'[1]MAR 2025'!H30</f>
        <v>5550.96</v>
      </c>
    </row>
    <row r="3163" spans="1:8" x14ac:dyDescent="0.2">
      <c r="A3163" s="20">
        <f>'[1]MAR 2025'!A32</f>
        <v>45721</v>
      </c>
      <c r="B3163" s="12" t="str">
        <f>'[1]MAR 2025'!B32</f>
        <v>Rauchen</v>
      </c>
      <c r="C3163" s="3">
        <f>'[1]MAR 2025'!C32</f>
        <v>0</v>
      </c>
      <c r="D3163" s="3">
        <f>'[1]MAR 2025'!D32</f>
        <v>0</v>
      </c>
      <c r="E3163" s="3">
        <f>'[1]MAR 2025'!E32</f>
        <v>0</v>
      </c>
      <c r="F3163" s="3">
        <f>'[1]MAR 2025'!F32</f>
        <v>0</v>
      </c>
      <c r="G3163" s="3">
        <f>'[1]MAR 2025'!G32</f>
        <v>0</v>
      </c>
      <c r="H3163" s="3">
        <f>'[1]MAR 2025'!H32</f>
        <v>170</v>
      </c>
    </row>
    <row r="3164" spans="1:8" x14ac:dyDescent="0.2">
      <c r="A3164" s="23">
        <f>'[1]MAR 2025'!A33</f>
        <v>45721</v>
      </c>
      <c r="B3164" s="12" t="str">
        <f>'[1]MAR 2025'!B33</f>
        <v>LM</v>
      </c>
      <c r="C3164" s="3">
        <f>'[1]MAR 2025'!C33</f>
        <v>0</v>
      </c>
      <c r="D3164" s="3">
        <f>'[1]MAR 2025'!D33</f>
        <v>0</v>
      </c>
      <c r="E3164" s="3">
        <f>'[1]MAR 2025'!E33</f>
        <v>0</v>
      </c>
      <c r="F3164" s="3">
        <f>'[1]MAR 2025'!F33</f>
        <v>0</v>
      </c>
      <c r="G3164" s="3">
        <f>'[1]MAR 2025'!G33</f>
        <v>0</v>
      </c>
      <c r="H3164" s="3">
        <f>'[1]MAR 2025'!H33</f>
        <v>257.98</v>
      </c>
    </row>
    <row r="3165" spans="1:8" x14ac:dyDescent="0.2">
      <c r="A3165" s="23">
        <f>'[1]MAR 2025'!A37</f>
        <v>45722</v>
      </c>
      <c r="B3165" s="12" t="str">
        <f>'[1]MAR 2025'!B37</f>
        <v>LM</v>
      </c>
      <c r="C3165" s="3">
        <f>'[1]MAR 2025'!C37</f>
        <v>0</v>
      </c>
      <c r="D3165" s="3">
        <f>'[1]MAR 2025'!D37</f>
        <v>0</v>
      </c>
      <c r="E3165" s="3">
        <f>'[1]MAR 2025'!E37</f>
        <v>0</v>
      </c>
      <c r="F3165" s="3">
        <f>'[1]MAR 2025'!F37</f>
        <v>0</v>
      </c>
      <c r="G3165" s="3">
        <f>'[1]MAR 2025'!G37</f>
        <v>0</v>
      </c>
      <c r="H3165" s="3">
        <f>'[1]MAR 2025'!H37</f>
        <v>478</v>
      </c>
    </row>
    <row r="3166" spans="1:8" x14ac:dyDescent="0.2">
      <c r="A3166" s="20">
        <f>'[1]MAR 2025'!A38</f>
        <v>45722</v>
      </c>
      <c r="B3166" s="12" t="str">
        <f>'[1]MAR 2025'!B38</f>
        <v>Frauen</v>
      </c>
      <c r="C3166" s="3">
        <f>'[1]MAR 2025'!C38</f>
        <v>0</v>
      </c>
      <c r="D3166" s="3">
        <f>'[1]MAR 2025'!D38</f>
        <v>0</v>
      </c>
      <c r="E3166" s="3">
        <f>'[1]MAR 2025'!E38</f>
        <v>0</v>
      </c>
      <c r="F3166" s="3">
        <f>'[1]MAR 2025'!F38</f>
        <v>0</v>
      </c>
      <c r="G3166" s="3">
        <f>'[1]MAR 2025'!G38</f>
        <v>0</v>
      </c>
      <c r="H3166" s="3">
        <f>'[1]MAR 2025'!H38</f>
        <v>3439</v>
      </c>
    </row>
    <row r="3167" spans="1:8" x14ac:dyDescent="0.2">
      <c r="A3167" s="23">
        <f>'[1]MAR 2025'!A39</f>
        <v>45722</v>
      </c>
      <c r="B3167" s="12" t="str">
        <f>'[1]MAR 2025'!B39</f>
        <v>Andere</v>
      </c>
      <c r="C3167" s="3">
        <f>'[1]MAR 2025'!C39</f>
        <v>0</v>
      </c>
      <c r="D3167" s="3">
        <f>'[1]MAR 2025'!D39</f>
        <v>0</v>
      </c>
      <c r="E3167" s="3">
        <f>'[1]MAR 2025'!E39</f>
        <v>0</v>
      </c>
      <c r="F3167" s="3">
        <f>'[1]MAR 2025'!F39</f>
        <v>0</v>
      </c>
      <c r="G3167" s="3">
        <f>'[1]MAR 2025'!G39</f>
        <v>0</v>
      </c>
      <c r="H3167" s="3">
        <f>'[1]MAR 2025'!H39</f>
        <v>3000</v>
      </c>
    </row>
    <row r="3168" spans="1:8" x14ac:dyDescent="0.2">
      <c r="A3168" s="20">
        <f>'[1]MAR 2025'!A40</f>
        <v>45722</v>
      </c>
      <c r="B3168" s="12" t="str">
        <f>'[1]MAR 2025'!B40</f>
        <v>Andere</v>
      </c>
      <c r="C3168" s="3">
        <f>'[1]MAR 2025'!C40</f>
        <v>0</v>
      </c>
      <c r="D3168" s="3">
        <f>'[1]MAR 2025'!D40</f>
        <v>0</v>
      </c>
      <c r="E3168" s="3">
        <f>'[1]MAR 2025'!E40</f>
        <v>0</v>
      </c>
      <c r="F3168" s="3">
        <f>'[1]MAR 2025'!F40</f>
        <v>0</v>
      </c>
      <c r="G3168" s="3">
        <f>'[1]MAR 2025'!G40</f>
        <v>0</v>
      </c>
      <c r="H3168" s="3">
        <f>'[1]MAR 2025'!H40</f>
        <v>790</v>
      </c>
    </row>
    <row r="3169" spans="1:8" x14ac:dyDescent="0.2">
      <c r="A3169" s="23">
        <f>'[1]MAR 2025'!A41</f>
        <v>45722</v>
      </c>
      <c r="B3169" s="12" t="str">
        <f>'[1]MAR 2025'!B41</f>
        <v>Andere</v>
      </c>
      <c r="C3169" s="3">
        <f>'[1]MAR 2025'!C41</f>
        <v>0</v>
      </c>
      <c r="D3169" s="3">
        <f>'[1]MAR 2025'!D41</f>
        <v>0</v>
      </c>
      <c r="E3169" s="3">
        <f>'[1]MAR 2025'!E41</f>
        <v>0</v>
      </c>
      <c r="F3169" s="3">
        <f>'[1]MAR 2025'!F41</f>
        <v>0</v>
      </c>
      <c r="G3169" s="3">
        <f>'[1]MAR 2025'!G41</f>
        <v>0</v>
      </c>
      <c r="H3169" s="3">
        <f>'[1]MAR 2025'!H41</f>
        <v>2197.1999999999998</v>
      </c>
    </row>
    <row r="3170" spans="1:8" x14ac:dyDescent="0.2">
      <c r="A3170" s="20">
        <f>'[1]MAR 2025'!A44</f>
        <v>45723</v>
      </c>
      <c r="B3170" s="12" t="str">
        <f>'[1]MAR 2025'!B44</f>
        <v>Andere</v>
      </c>
      <c r="C3170" s="3">
        <f>'[1]MAR 2025'!C44</f>
        <v>0</v>
      </c>
      <c r="D3170" s="3">
        <f>'[1]MAR 2025'!D44</f>
        <v>0</v>
      </c>
      <c r="E3170" s="3">
        <f>'[1]MAR 2025'!E44</f>
        <v>0</v>
      </c>
      <c r="F3170" s="3">
        <f>'[1]MAR 2025'!F44</f>
        <v>0</v>
      </c>
      <c r="G3170" s="3">
        <f>'[1]MAR 2025'!G44</f>
        <v>0</v>
      </c>
      <c r="H3170" s="3">
        <f>'[1]MAR 2025'!H44</f>
        <v>513</v>
      </c>
    </row>
    <row r="3171" spans="1:8" x14ac:dyDescent="0.2">
      <c r="A3171" s="23">
        <f>'[1]MAR 2025'!A45</f>
        <v>45723</v>
      </c>
      <c r="B3171" s="12" t="str">
        <f>'[1]MAR 2025'!B45</f>
        <v>VM</v>
      </c>
      <c r="C3171" s="3">
        <f>'[1]MAR 2025'!C45</f>
        <v>0</v>
      </c>
      <c r="D3171" s="3">
        <f>'[1]MAR 2025'!D45</f>
        <v>0</v>
      </c>
      <c r="E3171" s="3">
        <f>'[1]MAR 2025'!E45</f>
        <v>0</v>
      </c>
      <c r="F3171" s="3">
        <f>'[1]MAR 2025'!F45</f>
        <v>0</v>
      </c>
      <c r="G3171" s="3">
        <f>'[1]MAR 2025'!G45</f>
        <v>0</v>
      </c>
      <c r="H3171" s="3">
        <f>'[1]MAR 2025'!H45</f>
        <v>140</v>
      </c>
    </row>
    <row r="3172" spans="1:8" x14ac:dyDescent="0.2">
      <c r="A3172" s="20">
        <f>'[1]MAR 2025'!A46</f>
        <v>45723</v>
      </c>
      <c r="B3172" s="12" t="str">
        <f>'[1]MAR 2025'!B46</f>
        <v>Party</v>
      </c>
      <c r="C3172" s="3">
        <f>'[1]MAR 2025'!C46</f>
        <v>0</v>
      </c>
      <c r="D3172" s="3">
        <f>'[1]MAR 2025'!D46</f>
        <v>0</v>
      </c>
      <c r="E3172" s="3">
        <f>'[1]MAR 2025'!E46</f>
        <v>0</v>
      </c>
      <c r="F3172" s="3">
        <f>'[1]MAR 2025'!F46</f>
        <v>0</v>
      </c>
      <c r="G3172" s="3">
        <f>'[1]MAR 2025'!G46</f>
        <v>0</v>
      </c>
      <c r="H3172" s="3">
        <f>'[1]MAR 2025'!H46</f>
        <v>2000</v>
      </c>
    </row>
    <row r="3173" spans="1:8" x14ac:dyDescent="0.2">
      <c r="A3173" s="23">
        <f>'[1]MAR 2025'!A51</f>
        <v>45724</v>
      </c>
      <c r="B3173" s="12" t="str">
        <f>'[1]MAR 2025'!B51</f>
        <v>LM</v>
      </c>
      <c r="C3173" s="3">
        <f>'[1]MAR 2025'!C51</f>
        <v>0</v>
      </c>
      <c r="D3173" s="3">
        <f>'[1]MAR 2025'!D51</f>
        <v>0</v>
      </c>
      <c r="E3173" s="3">
        <f>'[1]MAR 2025'!E51</f>
        <v>0</v>
      </c>
      <c r="F3173" s="3">
        <f>'[1]MAR 2025'!F51</f>
        <v>0</v>
      </c>
      <c r="G3173" s="3">
        <f>'[1]MAR 2025'!G51</f>
        <v>0</v>
      </c>
      <c r="H3173" s="3">
        <f>'[1]MAR 2025'!H51</f>
        <v>3477</v>
      </c>
    </row>
    <row r="3174" spans="1:8" x14ac:dyDescent="0.2">
      <c r="A3174" s="20">
        <f>'[1]MAR 2025'!A52</f>
        <v>45724</v>
      </c>
      <c r="B3174" s="12" t="str">
        <f>'[1]MAR 2025'!B52</f>
        <v>Frauen</v>
      </c>
      <c r="C3174" s="3">
        <f>'[1]MAR 2025'!C52</f>
        <v>0</v>
      </c>
      <c r="D3174" s="3">
        <f>'[1]MAR 2025'!D52</f>
        <v>0</v>
      </c>
      <c r="E3174" s="3">
        <f>'[1]MAR 2025'!E52</f>
        <v>0</v>
      </c>
      <c r="F3174" s="3">
        <f>'[1]MAR 2025'!F52</f>
        <v>0</v>
      </c>
      <c r="G3174" s="3">
        <f>'[1]MAR 2025'!G52</f>
        <v>0</v>
      </c>
      <c r="H3174" s="3">
        <f>'[1]MAR 2025'!H52</f>
        <v>2810</v>
      </c>
    </row>
    <row r="3175" spans="1:8" x14ac:dyDescent="0.2">
      <c r="A3175" s="23">
        <f>'[1]MAR 2025'!A53</f>
        <v>45724</v>
      </c>
      <c r="B3175" s="12" t="str">
        <f>'[1]MAR 2025'!B53</f>
        <v>VM</v>
      </c>
      <c r="C3175" s="3">
        <f>'[1]MAR 2025'!C53</f>
        <v>0</v>
      </c>
      <c r="D3175" s="3">
        <f>'[1]MAR 2025'!D53</f>
        <v>0</v>
      </c>
      <c r="E3175" s="3">
        <f>'[1]MAR 2025'!E53</f>
        <v>0</v>
      </c>
      <c r="F3175" s="3">
        <f>'[1]MAR 2025'!F53</f>
        <v>0</v>
      </c>
      <c r="G3175" s="3">
        <f>'[1]MAR 2025'!G53</f>
        <v>0</v>
      </c>
      <c r="H3175" s="3">
        <f>'[1]MAR 2025'!H53</f>
        <v>140</v>
      </c>
    </row>
    <row r="3176" spans="1:8" x14ac:dyDescent="0.2">
      <c r="A3176" s="20">
        <f>'[1]MAR 2025'!A54</f>
        <v>45724</v>
      </c>
      <c r="B3176" s="12" t="str">
        <f>'[1]MAR 2025'!B54</f>
        <v>Andere</v>
      </c>
      <c r="C3176" s="3">
        <f>'[1]MAR 2025'!C54</f>
        <v>0</v>
      </c>
      <c r="D3176" s="3">
        <f>'[1]MAR 2025'!D54</f>
        <v>0</v>
      </c>
      <c r="E3176" s="3">
        <f>'[1]MAR 2025'!E54</f>
        <v>0</v>
      </c>
      <c r="F3176" s="3">
        <f>'[1]MAR 2025'!F54</f>
        <v>0</v>
      </c>
      <c r="G3176" s="3">
        <f>'[1]MAR 2025'!G54</f>
        <v>0</v>
      </c>
      <c r="H3176" s="3">
        <f>'[1]MAR 2025'!H54</f>
        <v>99</v>
      </c>
    </row>
    <row r="3177" spans="1:8" x14ac:dyDescent="0.2">
      <c r="A3177" s="23">
        <f>'[1]MAR 2025'!A55</f>
        <v>45724</v>
      </c>
      <c r="B3177" s="12" t="str">
        <f>'[1]MAR 2025'!B55</f>
        <v>Andere</v>
      </c>
      <c r="C3177" s="3">
        <f>'[1]MAR 2025'!C55</f>
        <v>0</v>
      </c>
      <c r="D3177" s="3">
        <f>'[1]MAR 2025'!D55</f>
        <v>0</v>
      </c>
      <c r="E3177" s="3">
        <f>'[1]MAR 2025'!E55</f>
        <v>0</v>
      </c>
      <c r="F3177" s="3">
        <f>'[1]MAR 2025'!F55</f>
        <v>0</v>
      </c>
      <c r="G3177" s="3">
        <f>'[1]MAR 2025'!G55</f>
        <v>0</v>
      </c>
      <c r="H3177" s="3">
        <f>'[1]MAR 2025'!H55</f>
        <v>1000</v>
      </c>
    </row>
    <row r="3178" spans="1:8" x14ac:dyDescent="0.2">
      <c r="A3178" s="20">
        <f>'[1]MAR 2025'!A58</f>
        <v>45725</v>
      </c>
      <c r="B3178" s="12" t="str">
        <f>'[1]MAR 2025'!B58</f>
        <v>LM</v>
      </c>
      <c r="C3178" s="3">
        <f>'[1]MAR 2025'!C58</f>
        <v>0</v>
      </c>
      <c r="D3178" s="3">
        <f>'[1]MAR 2025'!D58</f>
        <v>0</v>
      </c>
      <c r="E3178" s="3">
        <f>'[1]MAR 2025'!E58</f>
        <v>0</v>
      </c>
      <c r="F3178" s="3">
        <f>'[1]MAR 2025'!F58</f>
        <v>0</v>
      </c>
      <c r="G3178" s="3">
        <f>'[1]MAR 2025'!G58</f>
        <v>0</v>
      </c>
      <c r="H3178" s="3">
        <f>'[1]MAR 2025'!H58</f>
        <v>3022.82</v>
      </c>
    </row>
    <row r="3179" spans="1:8" x14ac:dyDescent="0.2">
      <c r="A3179" s="23">
        <f>'[1]MAR 2025'!A65</f>
        <v>45726</v>
      </c>
      <c r="B3179" s="12" t="str">
        <f>'[1]MAR 2025'!B65</f>
        <v>Refill</v>
      </c>
      <c r="C3179" s="3">
        <f>'[1]MAR 2025'!C65</f>
        <v>0</v>
      </c>
      <c r="D3179" s="3">
        <f>'[1]MAR 2025'!D65</f>
        <v>0</v>
      </c>
      <c r="E3179" s="3">
        <f>'[1]MAR 2025'!E65</f>
        <v>0</v>
      </c>
      <c r="F3179" s="3">
        <f>'[1]MAR 2025'!F65</f>
        <v>0</v>
      </c>
      <c r="G3179" s="3">
        <f>'[1]MAR 2025'!G65</f>
        <v>241510</v>
      </c>
      <c r="H3179" s="3">
        <f>'[1]MAR 2025'!H65</f>
        <v>0</v>
      </c>
    </row>
    <row r="3180" spans="1:8" x14ac:dyDescent="0.2">
      <c r="A3180" s="20">
        <f>'[1]MAR 2025'!A66</f>
        <v>45726</v>
      </c>
      <c r="B3180" s="12" t="str">
        <f>'[1]MAR 2025'!B66</f>
        <v>none</v>
      </c>
      <c r="C3180" s="3">
        <f>'[1]MAR 2025'!C66</f>
        <v>0</v>
      </c>
      <c r="D3180" s="3">
        <f>'[1]MAR 2025'!D66</f>
        <v>0</v>
      </c>
      <c r="E3180" s="3">
        <f>'[1]MAR 2025'!E66</f>
        <v>0</v>
      </c>
      <c r="F3180" s="3">
        <f>'[1]MAR 2025'!F66</f>
        <v>0</v>
      </c>
      <c r="G3180" s="3">
        <f>'[1]MAR 2025'!G66</f>
        <v>47</v>
      </c>
      <c r="H3180" s="3">
        <f>'[1]MAR 2025'!H66</f>
        <v>0</v>
      </c>
    </row>
    <row r="3181" spans="1:8" x14ac:dyDescent="0.2">
      <c r="A3181" s="20">
        <f>'[1]MAR 2025'!A72</f>
        <v>45727</v>
      </c>
      <c r="B3181" s="12" t="str">
        <f>'[1]MAR 2025'!B72</f>
        <v>VM</v>
      </c>
      <c r="C3181" s="3">
        <f>'[1]MAR 2025'!C72</f>
        <v>0</v>
      </c>
      <c r="D3181" s="3">
        <f>'[1]MAR 2025'!D72</f>
        <v>0</v>
      </c>
      <c r="E3181" s="3">
        <f>'[1]MAR 2025'!E72</f>
        <v>0</v>
      </c>
      <c r="F3181" s="3">
        <f>'[1]MAR 2025'!F72</f>
        <v>0</v>
      </c>
      <c r="G3181" s="3">
        <f>'[1]MAR 2025'!G72</f>
        <v>0</v>
      </c>
      <c r="H3181" s="3">
        <f>'[1]MAR 2025'!H72</f>
        <v>140</v>
      </c>
    </row>
    <row r="3182" spans="1:8" x14ac:dyDescent="0.2">
      <c r="A3182" s="23">
        <f>'[1]MAR 2025'!A73</f>
        <v>45727</v>
      </c>
      <c r="B3182" s="12" t="str">
        <f>'[1]MAR 2025'!B73</f>
        <v>LM</v>
      </c>
      <c r="C3182" s="3">
        <f>'[1]MAR 2025'!C73</f>
        <v>0</v>
      </c>
      <c r="D3182" s="3">
        <f>'[1]MAR 2025'!D73</f>
        <v>0</v>
      </c>
      <c r="E3182" s="3">
        <f>'[1]MAR 2025'!E73</f>
        <v>0</v>
      </c>
      <c r="F3182" s="3">
        <f>'[1]MAR 2025'!F73</f>
        <v>0</v>
      </c>
      <c r="G3182" s="3">
        <f>'[1]MAR 2025'!G73</f>
        <v>0</v>
      </c>
      <c r="H3182" s="3">
        <f>'[1]MAR 2025'!H73</f>
        <v>139</v>
      </c>
    </row>
    <row r="3183" spans="1:8" x14ac:dyDescent="0.2">
      <c r="A3183" s="20">
        <f>'[1]MAR 2025'!A74</f>
        <v>45727</v>
      </c>
      <c r="B3183" s="12" t="str">
        <f>'[1]MAR 2025'!B74</f>
        <v>LM</v>
      </c>
      <c r="C3183" s="3">
        <f>'[1]MAR 2025'!C74</f>
        <v>0</v>
      </c>
      <c r="D3183" s="3">
        <f>'[1]MAR 2025'!D74</f>
        <v>0</v>
      </c>
      <c r="E3183" s="3">
        <f>'[1]MAR 2025'!E74</f>
        <v>0</v>
      </c>
      <c r="F3183" s="3">
        <f>'[1]MAR 2025'!F74</f>
        <v>0</v>
      </c>
      <c r="G3183" s="3">
        <f>'[1]MAR 2025'!G74</f>
        <v>0</v>
      </c>
      <c r="H3183" s="3">
        <f>'[1]MAR 2025'!H74</f>
        <v>2632</v>
      </c>
    </row>
    <row r="3184" spans="1:8" x14ac:dyDescent="0.2">
      <c r="A3184" s="23">
        <f>'[1]MAR 2025'!A79</f>
        <v>45728</v>
      </c>
      <c r="B3184" s="12" t="str">
        <f>'[1]MAR 2025'!B79</f>
        <v>LM</v>
      </c>
      <c r="C3184" s="3">
        <f>'[1]MAR 2025'!C79</f>
        <v>0</v>
      </c>
      <c r="D3184" s="3">
        <f>'[1]MAR 2025'!D79</f>
        <v>0</v>
      </c>
      <c r="E3184" s="3">
        <f>'[1]MAR 2025'!E79</f>
        <v>0</v>
      </c>
      <c r="F3184" s="3">
        <f>'[1]MAR 2025'!F79</f>
        <v>0</v>
      </c>
      <c r="G3184" s="3">
        <f>'[1]MAR 2025'!G79</f>
        <v>0</v>
      </c>
      <c r="H3184" s="3">
        <f>'[1]MAR 2025'!H79</f>
        <v>1423.18</v>
      </c>
    </row>
    <row r="3185" spans="1:8" x14ac:dyDescent="0.2">
      <c r="A3185" s="20">
        <f>'[1]MAR 2025'!A86</f>
        <v>45729</v>
      </c>
      <c r="B3185" s="12" t="str">
        <f>'[1]MAR 2025'!B86</f>
        <v>Frauen</v>
      </c>
      <c r="C3185" s="3">
        <f>'[1]MAR 2025'!C86</f>
        <v>0</v>
      </c>
      <c r="D3185" s="3">
        <f>'[1]MAR 2025'!D86</f>
        <v>0</v>
      </c>
      <c r="E3185" s="3">
        <f>'[1]MAR 2025'!E86</f>
        <v>0</v>
      </c>
      <c r="F3185" s="3">
        <f>'[1]MAR 2025'!F86</f>
        <v>0</v>
      </c>
      <c r="G3185" s="3">
        <f>'[1]MAR 2025'!G86</f>
        <v>0</v>
      </c>
      <c r="H3185" s="3">
        <f>'[1]MAR 2025'!H86</f>
        <v>49500</v>
      </c>
    </row>
    <row r="3186" spans="1:8" x14ac:dyDescent="0.2">
      <c r="A3186" s="23">
        <f>'[1]MAR 2025'!A87</f>
        <v>45729</v>
      </c>
      <c r="B3186" s="12" t="str">
        <f>'[1]MAR 2025'!B87</f>
        <v>LM</v>
      </c>
      <c r="C3186" s="3">
        <f>'[1]MAR 2025'!C87</f>
        <v>0</v>
      </c>
      <c r="D3186" s="3">
        <f>'[1]MAR 2025'!D87</f>
        <v>0</v>
      </c>
      <c r="E3186" s="3">
        <f>'[1]MAR 2025'!E87</f>
        <v>0</v>
      </c>
      <c r="F3186" s="3">
        <f>'[1]MAR 2025'!F87</f>
        <v>0</v>
      </c>
      <c r="G3186" s="3">
        <f>'[1]MAR 2025'!G87</f>
        <v>0</v>
      </c>
      <c r="H3186" s="3">
        <f>'[1]MAR 2025'!H87</f>
        <v>46.99</v>
      </c>
    </row>
    <row r="3187" spans="1:8" x14ac:dyDescent="0.2">
      <c r="A3187" s="23">
        <f>'[1]MAR 2025'!A93</f>
        <v>45730</v>
      </c>
      <c r="B3187" s="12" t="str">
        <f>'[1]MAR 2025'!B93</f>
        <v>Party</v>
      </c>
      <c r="C3187" s="3">
        <f>'[1]MAR 2025'!C93</f>
        <v>0</v>
      </c>
      <c r="D3187" s="3">
        <f>'[1]MAR 2025'!D93</f>
        <v>0</v>
      </c>
      <c r="E3187" s="3">
        <f>'[1]MAR 2025'!E93</f>
        <v>0</v>
      </c>
      <c r="F3187" s="3">
        <f>'[1]MAR 2025'!F93</f>
        <v>0</v>
      </c>
      <c r="G3187" s="3">
        <f>'[1]MAR 2025'!G93</f>
        <v>0</v>
      </c>
      <c r="H3187" s="3">
        <f>'[1]MAR 2025'!H93</f>
        <v>2623.2</v>
      </c>
    </row>
    <row r="3188" spans="1:8" x14ac:dyDescent="0.2">
      <c r="A3188" s="20">
        <f>'[1]MAR 2025'!A94</f>
        <v>45730</v>
      </c>
      <c r="B3188" s="12" t="str">
        <f>'[1]MAR 2025'!B94</f>
        <v>LM</v>
      </c>
      <c r="C3188" s="3">
        <f>'[1]MAR 2025'!C94</f>
        <v>0</v>
      </c>
      <c r="D3188" s="3">
        <f>'[1]MAR 2025'!D94</f>
        <v>0</v>
      </c>
      <c r="E3188" s="3">
        <f>'[1]MAR 2025'!E94</f>
        <v>0</v>
      </c>
      <c r="F3188" s="3">
        <f>'[1]MAR 2025'!F94</f>
        <v>0</v>
      </c>
      <c r="G3188" s="3">
        <f>'[1]MAR 2025'!G94</f>
        <v>0</v>
      </c>
      <c r="H3188" s="3">
        <f>'[1]MAR 2025'!H94</f>
        <v>563</v>
      </c>
    </row>
    <row r="3189" spans="1:8" x14ac:dyDescent="0.2">
      <c r="A3189" s="20">
        <f>'[1]MAR 2025'!A100</f>
        <v>45731</v>
      </c>
      <c r="B3189" s="12" t="str">
        <f>'[1]MAR 2025'!B100</f>
        <v>VM</v>
      </c>
      <c r="C3189" s="3">
        <f>'[1]MAR 2025'!C100</f>
        <v>0</v>
      </c>
      <c r="D3189" s="3">
        <f>'[1]MAR 2025'!D100</f>
        <v>0</v>
      </c>
      <c r="E3189" s="3">
        <f>'[1]MAR 2025'!E100</f>
        <v>0</v>
      </c>
      <c r="F3189" s="3">
        <f>'[1]MAR 2025'!F100</f>
        <v>0</v>
      </c>
      <c r="G3189" s="3">
        <f>'[1]MAR 2025'!G100</f>
        <v>0</v>
      </c>
      <c r="H3189" s="3">
        <f>'[1]MAR 2025'!H100</f>
        <v>1291</v>
      </c>
    </row>
    <row r="3190" spans="1:8" x14ac:dyDescent="0.2">
      <c r="A3190" s="23">
        <f>'[1]MAR 2025'!A101</f>
        <v>45731</v>
      </c>
      <c r="B3190" s="12" t="str">
        <f>'[1]MAR 2025'!B101</f>
        <v>VM</v>
      </c>
      <c r="C3190" s="3">
        <f>'[1]MAR 2025'!C101</f>
        <v>0</v>
      </c>
      <c r="D3190" s="3">
        <f>'[1]MAR 2025'!D101</f>
        <v>0</v>
      </c>
      <c r="E3190" s="3">
        <f>'[1]MAR 2025'!E101</f>
        <v>0</v>
      </c>
      <c r="F3190" s="3">
        <f>'[1]MAR 2025'!F101</f>
        <v>0</v>
      </c>
      <c r="G3190" s="3">
        <f>'[1]MAR 2025'!G101</f>
        <v>0</v>
      </c>
      <c r="H3190" s="3">
        <f>'[1]MAR 2025'!H101</f>
        <v>1535</v>
      </c>
    </row>
    <row r="3191" spans="1:8" x14ac:dyDescent="0.2">
      <c r="A3191" s="20">
        <f>'[1]MAR 2025'!A102</f>
        <v>45731</v>
      </c>
      <c r="B3191" s="12" t="str">
        <f>'[1]MAR 2025'!B102</f>
        <v>LM</v>
      </c>
      <c r="C3191" s="3">
        <f>'[1]MAR 2025'!C102</f>
        <v>0</v>
      </c>
      <c r="D3191" s="3">
        <f>'[1]MAR 2025'!D102</f>
        <v>0</v>
      </c>
      <c r="E3191" s="3">
        <f>'[1]MAR 2025'!E102</f>
        <v>0</v>
      </c>
      <c r="F3191" s="3">
        <f>'[1]MAR 2025'!F102</f>
        <v>0</v>
      </c>
      <c r="G3191" s="3">
        <f>'[1]MAR 2025'!G102</f>
        <v>0</v>
      </c>
      <c r="H3191" s="3">
        <f>'[1]MAR 2025'!H102</f>
        <v>84</v>
      </c>
    </row>
    <row r="3192" spans="1:8" x14ac:dyDescent="0.2">
      <c r="A3192" s="23">
        <f>'[1]MAR 2025'!A103</f>
        <v>45731</v>
      </c>
      <c r="B3192" s="12" t="str">
        <f>'[1]MAR 2025'!B103</f>
        <v>Andere</v>
      </c>
      <c r="C3192" s="3">
        <f>'[1]MAR 2025'!C103</f>
        <v>0</v>
      </c>
      <c r="D3192" s="3">
        <f>'[1]MAR 2025'!D103</f>
        <v>0</v>
      </c>
      <c r="E3192" s="3">
        <f>'[1]MAR 2025'!E103</f>
        <v>0</v>
      </c>
      <c r="F3192" s="3">
        <f>'[1]MAR 2025'!F103</f>
        <v>0</v>
      </c>
      <c r="G3192" s="3">
        <f>'[1]MAR 2025'!G103</f>
        <v>0</v>
      </c>
      <c r="H3192" s="3">
        <f>'[1]MAR 2025'!H103</f>
        <v>1421</v>
      </c>
    </row>
    <row r="3193" spans="1:8" x14ac:dyDescent="0.2">
      <c r="A3193" s="23">
        <f>'[1]MAR 2025'!A107</f>
        <v>45732</v>
      </c>
      <c r="B3193" s="12" t="str">
        <f>'[1]MAR 2025'!B107</f>
        <v>Frauen</v>
      </c>
      <c r="C3193" s="3">
        <f>'[1]MAR 2025'!C107</f>
        <v>0</v>
      </c>
      <c r="D3193" s="3">
        <f>'[1]MAR 2025'!D107</f>
        <v>0</v>
      </c>
      <c r="E3193" s="3">
        <f>'[1]MAR 2025'!E107</f>
        <v>0</v>
      </c>
      <c r="F3193" s="3">
        <f>'[1]MAR 2025'!F107</f>
        <v>0</v>
      </c>
      <c r="G3193" s="3">
        <f>'[1]MAR 2025'!G107</f>
        <v>0</v>
      </c>
      <c r="H3193" s="3">
        <f>'[1]MAR 2025'!H107</f>
        <v>1400</v>
      </c>
    </row>
    <row r="3194" spans="1:8" x14ac:dyDescent="0.2">
      <c r="A3194" s="20">
        <f>'[1]MAR 2025'!A108</f>
        <v>45732</v>
      </c>
      <c r="B3194" s="12" t="str">
        <f>'[1]MAR 2025'!B108</f>
        <v>Andere</v>
      </c>
      <c r="C3194" s="3">
        <f>'[1]MAR 2025'!C108</f>
        <v>0</v>
      </c>
      <c r="D3194" s="3">
        <f>'[1]MAR 2025'!D108</f>
        <v>0</v>
      </c>
      <c r="E3194" s="3">
        <f>'[1]MAR 2025'!E108</f>
        <v>0</v>
      </c>
      <c r="F3194" s="3">
        <f>'[1]MAR 2025'!F108</f>
        <v>0</v>
      </c>
      <c r="G3194" s="3">
        <f>'[1]MAR 2025'!G108</f>
        <v>0</v>
      </c>
      <c r="H3194" s="3">
        <f>'[1]MAR 2025'!H108</f>
        <v>3190</v>
      </c>
    </row>
    <row r="3195" spans="1:8" x14ac:dyDescent="0.2">
      <c r="A3195" s="23">
        <f>'[1]MAR 2025'!A109</f>
        <v>45732</v>
      </c>
      <c r="B3195" s="12" t="str">
        <f>'[1]MAR 2025'!B109</f>
        <v>Andere</v>
      </c>
      <c r="C3195" s="3">
        <f>'[1]MAR 2025'!C109</f>
        <v>0</v>
      </c>
      <c r="D3195" s="3">
        <f>'[1]MAR 2025'!D109</f>
        <v>0</v>
      </c>
      <c r="E3195" s="3">
        <f>'[1]MAR 2025'!E109</f>
        <v>0</v>
      </c>
      <c r="F3195" s="3">
        <f>'[1]MAR 2025'!F109</f>
        <v>0</v>
      </c>
      <c r="G3195" s="3">
        <f>'[1]MAR 2025'!G109</f>
        <v>0</v>
      </c>
      <c r="H3195" s="3">
        <f>'[1]MAR 2025'!H109</f>
        <v>100</v>
      </c>
    </row>
    <row r="3196" spans="1:8" x14ac:dyDescent="0.2">
      <c r="A3196" s="20">
        <f>'[1]MAR 2025'!A110</f>
        <v>45732</v>
      </c>
      <c r="B3196" s="12" t="str">
        <f>'[1]MAR 2025'!B110</f>
        <v>none</v>
      </c>
      <c r="C3196" s="3">
        <f>'[1]MAR 2025'!C110</f>
        <v>0</v>
      </c>
      <c r="D3196" s="3">
        <f>'[1]MAR 2025'!D110</f>
        <v>0</v>
      </c>
      <c r="E3196" s="3">
        <f>'[1]MAR 2025'!E110</f>
        <v>0</v>
      </c>
      <c r="F3196" s="3">
        <f>'[1]MAR 2025'!F110</f>
        <v>500</v>
      </c>
      <c r="G3196" s="3">
        <f>'[1]MAR 2025'!G110</f>
        <v>1150</v>
      </c>
      <c r="H3196" s="3">
        <f>'[1]MAR 2025'!H110</f>
        <v>0</v>
      </c>
    </row>
    <row r="3197" spans="1:8" x14ac:dyDescent="0.2">
      <c r="A3197" s="23">
        <f>'[1]MAR 2025'!A111</f>
        <v>45732</v>
      </c>
      <c r="B3197" s="12" t="str">
        <f>'[1]MAR 2025'!B111</f>
        <v>Refill</v>
      </c>
      <c r="C3197" s="3">
        <f>'[1]MAR 2025'!C111</f>
        <v>0</v>
      </c>
      <c r="D3197" s="3">
        <f>'[1]MAR 2025'!D111</f>
        <v>0</v>
      </c>
      <c r="E3197" s="3">
        <f>'[1]MAR 2025'!E111</f>
        <v>0</v>
      </c>
      <c r="F3197" s="3">
        <f>'[1]MAR 2025'!F111</f>
        <v>0</v>
      </c>
      <c r="G3197" s="3">
        <f>'[1]MAR 2025'!G111</f>
        <v>12000</v>
      </c>
      <c r="H3197" s="3">
        <f>'[1]MAR 2025'!H111</f>
        <v>0</v>
      </c>
    </row>
    <row r="3198" spans="1:8" x14ac:dyDescent="0.2">
      <c r="A3198" s="20">
        <f>'[1]MAR 2025'!A112</f>
        <v>45732</v>
      </c>
      <c r="B3198" s="12" t="str">
        <f>'[1]MAR 2025'!B112</f>
        <v>LM</v>
      </c>
      <c r="C3198" s="3">
        <f>'[1]MAR 2025'!C112</f>
        <v>0</v>
      </c>
      <c r="D3198" s="3">
        <f>'[1]MAR 2025'!D112</f>
        <v>0</v>
      </c>
      <c r="E3198" s="3">
        <f>'[1]MAR 2025'!E112</f>
        <v>0</v>
      </c>
      <c r="F3198" s="3">
        <f>'[1]MAR 2025'!F112</f>
        <v>0</v>
      </c>
      <c r="G3198" s="3">
        <f>'[1]MAR 2025'!G112</f>
        <v>0</v>
      </c>
      <c r="H3198" s="3">
        <f>'[1]MAR 2025'!H112</f>
        <v>441</v>
      </c>
    </row>
    <row r="3199" spans="1:8" x14ac:dyDescent="0.2">
      <c r="A3199" s="20">
        <f>'[1]MAR 2025'!A114</f>
        <v>45733</v>
      </c>
      <c r="B3199" s="12" t="str">
        <f>'[1]MAR 2025'!B114</f>
        <v>Andere</v>
      </c>
      <c r="C3199" s="3">
        <f>'[1]MAR 2025'!C114</f>
        <v>0</v>
      </c>
      <c r="D3199" s="3">
        <f>'[1]MAR 2025'!D114</f>
        <v>0</v>
      </c>
      <c r="E3199" s="3">
        <f>'[1]MAR 2025'!E114</f>
        <v>0</v>
      </c>
      <c r="F3199" s="3">
        <f>'[1]MAR 2025'!F114</f>
        <v>0</v>
      </c>
      <c r="G3199" s="3">
        <f>'[1]MAR 2025'!G114</f>
        <v>0</v>
      </c>
      <c r="H3199" s="3">
        <f>'[1]MAR 2025'!H114</f>
        <v>1988</v>
      </c>
    </row>
    <row r="3200" spans="1:8" x14ac:dyDescent="0.2">
      <c r="A3200" s="23">
        <f>'[1]MAR 2025'!A115</f>
        <v>45733</v>
      </c>
      <c r="B3200" s="12" t="str">
        <f>'[1]MAR 2025'!B115</f>
        <v>VM</v>
      </c>
      <c r="C3200" s="3">
        <f>'[1]MAR 2025'!C115</f>
        <v>0</v>
      </c>
      <c r="D3200" s="3">
        <f>'[1]MAR 2025'!D115</f>
        <v>0</v>
      </c>
      <c r="E3200" s="3">
        <f>'[1]MAR 2025'!E115</f>
        <v>0</v>
      </c>
      <c r="F3200" s="3">
        <f>'[1]MAR 2025'!F115</f>
        <v>0</v>
      </c>
      <c r="G3200" s="3">
        <f>'[1]MAR 2025'!G115</f>
        <v>0</v>
      </c>
      <c r="H3200" s="3">
        <f>'[1]MAR 2025'!H115</f>
        <v>159</v>
      </c>
    </row>
    <row r="3201" spans="1:8" x14ac:dyDescent="0.2">
      <c r="A3201" s="20">
        <f>'[1]MAR 2025'!A116</f>
        <v>45733</v>
      </c>
      <c r="B3201" s="12" t="str">
        <f>'[1]MAR 2025'!B116</f>
        <v>rent</v>
      </c>
      <c r="C3201" s="3">
        <f>'[1]MAR 2025'!C116</f>
        <v>0</v>
      </c>
      <c r="D3201" s="3">
        <f>'[1]MAR 2025'!D116</f>
        <v>0</v>
      </c>
      <c r="E3201" s="3">
        <f>'[1]MAR 2025'!E116</f>
        <v>0</v>
      </c>
      <c r="F3201" s="3">
        <f>'[1]MAR 2025'!F116</f>
        <v>0</v>
      </c>
      <c r="G3201" s="3">
        <f>'[1]MAR 2025'!G116</f>
        <v>0</v>
      </c>
      <c r="H3201" s="3">
        <f>'[1]MAR 2025'!H116</f>
        <v>55000</v>
      </c>
    </row>
    <row r="3202" spans="1:8" x14ac:dyDescent="0.2">
      <c r="A3202" s="23">
        <f>'[1]MAR 2025'!A117</f>
        <v>45733</v>
      </c>
      <c r="B3202" s="12" t="str">
        <f>'[1]MAR 2025'!B117</f>
        <v>Frauen</v>
      </c>
      <c r="C3202" s="3">
        <f>'[1]MAR 2025'!C117</f>
        <v>0</v>
      </c>
      <c r="D3202" s="3">
        <f>'[1]MAR 2025'!D117</f>
        <v>0</v>
      </c>
      <c r="E3202" s="3">
        <f>'[1]MAR 2025'!E117</f>
        <v>0</v>
      </c>
      <c r="F3202" s="3">
        <f>'[1]MAR 2025'!F117</f>
        <v>0</v>
      </c>
      <c r="G3202" s="3">
        <f>'[1]MAR 2025'!G117</f>
        <v>0</v>
      </c>
      <c r="H3202" s="3">
        <f>'[1]MAR 2025'!H117</f>
        <v>504</v>
      </c>
    </row>
    <row r="3203" spans="1:8" x14ac:dyDescent="0.2">
      <c r="A3203" s="23">
        <f>'[1]MAR 2025'!A121</f>
        <v>45734</v>
      </c>
      <c r="B3203" s="12" t="str">
        <f>'[1]MAR 2025'!B121</f>
        <v>Andere</v>
      </c>
      <c r="C3203" s="3">
        <f>'[1]MAR 2025'!C121</f>
        <v>0</v>
      </c>
      <c r="D3203" s="3">
        <f>'[1]MAR 2025'!D121</f>
        <v>0</v>
      </c>
      <c r="E3203" s="3">
        <f>'[1]MAR 2025'!E121</f>
        <v>0</v>
      </c>
      <c r="F3203" s="3">
        <f>'[1]MAR 2025'!F121</f>
        <v>0</v>
      </c>
      <c r="G3203" s="3">
        <f>'[1]MAR 2025'!G121</f>
        <v>0</v>
      </c>
      <c r="H3203" s="3">
        <f>'[1]MAR 2025'!H121</f>
        <v>350</v>
      </c>
    </row>
    <row r="3204" spans="1:8" x14ac:dyDescent="0.2">
      <c r="A3204" s="20">
        <f>'[1]MAR 2025'!A128</f>
        <v>45735</v>
      </c>
      <c r="B3204" s="12" t="str">
        <f>'[1]MAR 2025'!B128</f>
        <v>Andere</v>
      </c>
      <c r="C3204" s="3">
        <f>'[1]MAR 2025'!C128</f>
        <v>0</v>
      </c>
      <c r="D3204" s="3">
        <f>'[1]MAR 2025'!D128</f>
        <v>0</v>
      </c>
      <c r="E3204" s="3">
        <f>'[1]MAR 2025'!E128</f>
        <v>0</v>
      </c>
      <c r="F3204" s="3">
        <f>'[1]MAR 2025'!F128</f>
        <v>0</v>
      </c>
      <c r="G3204" s="3">
        <f>'[1]MAR 2025'!G128</f>
        <v>0</v>
      </c>
      <c r="H3204" s="3">
        <f>'[1]MAR 2025'!H128</f>
        <v>80</v>
      </c>
    </row>
    <row r="3205" spans="1:8" x14ac:dyDescent="0.2">
      <c r="A3205" s="23">
        <f>'[1]MAR 2025'!A135</f>
        <v>45736</v>
      </c>
      <c r="B3205" s="12" t="str">
        <f>'[1]MAR 2025'!B135</f>
        <v>Andere</v>
      </c>
      <c r="C3205" s="3">
        <f>'[1]MAR 2025'!C135</f>
        <v>0</v>
      </c>
      <c r="D3205" s="3">
        <f>'[1]MAR 2025'!D135</f>
        <v>0</v>
      </c>
      <c r="E3205" s="3">
        <f>'[1]MAR 2025'!E135</f>
        <v>0</v>
      </c>
      <c r="F3205" s="3">
        <f>'[1]MAR 2025'!F135</f>
        <v>0</v>
      </c>
      <c r="G3205" s="3">
        <f>'[1]MAR 2025'!G135</f>
        <v>0</v>
      </c>
      <c r="H3205" s="3">
        <f>'[1]MAR 2025'!H135</f>
        <v>6000</v>
      </c>
    </row>
    <row r="3206" spans="1:8" x14ac:dyDescent="0.2">
      <c r="A3206" s="20">
        <f>'[1]MAR 2025'!A136</f>
        <v>45736</v>
      </c>
      <c r="B3206" s="12" t="str">
        <f>'[1]MAR 2025'!B136</f>
        <v>LM</v>
      </c>
      <c r="C3206" s="3">
        <f>'[1]MAR 2025'!C136</f>
        <v>0</v>
      </c>
      <c r="D3206" s="3">
        <f>'[1]MAR 2025'!D136</f>
        <v>0</v>
      </c>
      <c r="E3206" s="3">
        <f>'[1]MAR 2025'!E136</f>
        <v>0</v>
      </c>
      <c r="F3206" s="3">
        <f>'[1]MAR 2025'!F136</f>
        <v>0</v>
      </c>
      <c r="G3206" s="3">
        <f>'[1]MAR 2025'!G136</f>
        <v>0</v>
      </c>
      <c r="H3206" s="3">
        <f>'[1]MAR 2025'!H136</f>
        <v>325</v>
      </c>
    </row>
    <row r="3207" spans="1:8" x14ac:dyDescent="0.2">
      <c r="A3207" s="20">
        <f>'[1]MAR 2025'!A142</f>
        <v>45737</v>
      </c>
      <c r="B3207" s="12" t="str">
        <f>'[1]MAR 2025'!B142</f>
        <v>Andere</v>
      </c>
      <c r="C3207" s="3">
        <f>'[1]MAR 2025'!C142</f>
        <v>0</v>
      </c>
      <c r="D3207" s="3">
        <f>'[1]MAR 2025'!D142</f>
        <v>0</v>
      </c>
      <c r="E3207" s="3">
        <f>'[1]MAR 2025'!E142</f>
        <v>0</v>
      </c>
      <c r="F3207" s="3">
        <f>'[1]MAR 2025'!F142</f>
        <v>0</v>
      </c>
      <c r="G3207" s="3">
        <f>'[1]MAR 2025'!G142</f>
        <v>0</v>
      </c>
      <c r="H3207" s="3">
        <f>'[1]MAR 2025'!H142</f>
        <v>149</v>
      </c>
    </row>
    <row r="3208" spans="1:8" x14ac:dyDescent="0.2">
      <c r="A3208" s="23">
        <f>'[1]MAR 2025'!A143</f>
        <v>45737</v>
      </c>
      <c r="B3208" s="12" t="str">
        <f>'[1]MAR 2025'!B143</f>
        <v>LM</v>
      </c>
      <c r="C3208" s="3">
        <f>'[1]MAR 2025'!C143</f>
        <v>0</v>
      </c>
      <c r="D3208" s="3">
        <f>'[1]MAR 2025'!D143</f>
        <v>0</v>
      </c>
      <c r="E3208" s="3">
        <f>'[1]MAR 2025'!E143</f>
        <v>0</v>
      </c>
      <c r="F3208" s="3">
        <f>'[1]MAR 2025'!F143</f>
        <v>0</v>
      </c>
      <c r="G3208" s="3">
        <f>'[1]MAR 2025'!G143</f>
        <v>0</v>
      </c>
      <c r="H3208" s="3">
        <f>'[1]MAR 2025'!H143</f>
        <v>1576.3999999999999</v>
      </c>
    </row>
    <row r="3209" spans="1:8" x14ac:dyDescent="0.2">
      <c r="A3209" s="23">
        <f>'[1]MAR 2025'!A149</f>
        <v>45738</v>
      </c>
      <c r="B3209" s="12" t="str">
        <f>'[1]MAR 2025'!B149</f>
        <v>LM</v>
      </c>
      <c r="C3209" s="3">
        <f>'[1]MAR 2025'!C149</f>
        <v>0</v>
      </c>
      <c r="D3209" s="3">
        <f>'[1]MAR 2025'!D149</f>
        <v>0</v>
      </c>
      <c r="E3209" s="3">
        <f>'[1]MAR 2025'!E149</f>
        <v>0</v>
      </c>
      <c r="F3209" s="3">
        <f>'[1]MAR 2025'!F149</f>
        <v>0</v>
      </c>
      <c r="G3209" s="3">
        <f>'[1]MAR 2025'!G149</f>
        <v>0</v>
      </c>
      <c r="H3209" s="3">
        <f>'[1]MAR 2025'!H149</f>
        <v>900</v>
      </c>
    </row>
    <row r="3210" spans="1:8" x14ac:dyDescent="0.2">
      <c r="A3210" s="20">
        <f>'[1]MAR 2025'!A150</f>
        <v>45738</v>
      </c>
      <c r="B3210" s="12" t="str">
        <f>'[1]MAR 2025'!B150</f>
        <v>VM</v>
      </c>
      <c r="C3210" s="3">
        <f>'[1]MAR 2025'!C150</f>
        <v>0</v>
      </c>
      <c r="D3210" s="3">
        <f>'[1]MAR 2025'!D150</f>
        <v>0</v>
      </c>
      <c r="E3210" s="3">
        <f>'[1]MAR 2025'!E150</f>
        <v>0</v>
      </c>
      <c r="F3210" s="3">
        <f>'[1]MAR 2025'!F150</f>
        <v>0</v>
      </c>
      <c r="G3210" s="3">
        <f>'[1]MAR 2025'!G150</f>
        <v>0</v>
      </c>
      <c r="H3210" s="3">
        <f>'[1]MAR 2025'!H150</f>
        <v>768</v>
      </c>
    </row>
    <row r="3211" spans="1:8" x14ac:dyDescent="0.2">
      <c r="A3211" s="23">
        <f>'[1]MAR 2025'!A151</f>
        <v>45738</v>
      </c>
      <c r="B3211" s="12" t="str">
        <f>'[1]MAR 2025'!B151</f>
        <v>LM</v>
      </c>
      <c r="C3211" s="3">
        <f>'[1]MAR 2025'!C151</f>
        <v>0</v>
      </c>
      <c r="D3211" s="3">
        <f>'[1]MAR 2025'!D151</f>
        <v>0</v>
      </c>
      <c r="E3211" s="3">
        <f>'[1]MAR 2025'!E151</f>
        <v>0</v>
      </c>
      <c r="F3211" s="3">
        <f>'[1]MAR 2025'!F151</f>
        <v>0</v>
      </c>
      <c r="G3211" s="3">
        <f>'[1]MAR 2025'!G151</f>
        <v>0</v>
      </c>
      <c r="H3211" s="3">
        <f>'[1]MAR 2025'!H151</f>
        <v>454.93</v>
      </c>
    </row>
    <row r="3212" spans="1:8" x14ac:dyDescent="0.2">
      <c r="A3212" s="20">
        <f>'[1]MAR 2025'!A156</f>
        <v>45739</v>
      </c>
      <c r="B3212" s="12" t="str">
        <f>'[1]MAR 2025'!B156</f>
        <v>VM</v>
      </c>
      <c r="C3212" s="3">
        <f>'[1]MAR 2025'!C156</f>
        <v>0</v>
      </c>
      <c r="D3212" s="3">
        <f>'[1]MAR 2025'!D156</f>
        <v>0</v>
      </c>
      <c r="E3212" s="3">
        <f>'[1]MAR 2025'!E156</f>
        <v>0</v>
      </c>
      <c r="F3212" s="3">
        <f>'[1]MAR 2025'!F156</f>
        <v>0</v>
      </c>
      <c r="G3212" s="3">
        <f>'[1]MAR 2025'!G156</f>
        <v>0</v>
      </c>
      <c r="H3212" s="3">
        <f>'[1]MAR 2025'!H156</f>
        <v>345</v>
      </c>
    </row>
    <row r="3213" spans="1:8" x14ac:dyDescent="0.2">
      <c r="A3213" s="23">
        <f>'[1]MAR 2025'!A157</f>
        <v>45739</v>
      </c>
      <c r="B3213" s="12" t="str">
        <f>'[1]MAR 2025'!B157</f>
        <v>LM</v>
      </c>
      <c r="C3213" s="3">
        <f>'[1]MAR 2025'!C157</f>
        <v>0</v>
      </c>
      <c r="D3213" s="3">
        <f>'[1]MAR 2025'!D157</f>
        <v>0</v>
      </c>
      <c r="E3213" s="3">
        <f>'[1]MAR 2025'!E157</f>
        <v>0</v>
      </c>
      <c r="F3213" s="3">
        <f>'[1]MAR 2025'!F157</f>
        <v>0</v>
      </c>
      <c r="G3213" s="3">
        <f>'[1]MAR 2025'!G157</f>
        <v>0</v>
      </c>
      <c r="H3213" s="3">
        <f>'[1]MAR 2025'!H157</f>
        <v>4218.96</v>
      </c>
    </row>
    <row r="3214" spans="1:8" x14ac:dyDescent="0.2">
      <c r="A3214" s="23">
        <f>'[1]MAR 2025'!A163</f>
        <v>45740</v>
      </c>
      <c r="B3214" s="12" t="str">
        <f>'[1]MAR 2025'!B163</f>
        <v>LM</v>
      </c>
      <c r="C3214" s="3">
        <f>'[1]MAR 2025'!C163</f>
        <v>0</v>
      </c>
      <c r="D3214" s="3">
        <f>'[1]MAR 2025'!D163</f>
        <v>0</v>
      </c>
      <c r="E3214" s="3">
        <f>'[1]MAR 2025'!E163</f>
        <v>0</v>
      </c>
      <c r="F3214" s="3">
        <f>'[1]MAR 2025'!F163</f>
        <v>0</v>
      </c>
      <c r="G3214" s="3">
        <f>'[1]MAR 2025'!G163</f>
        <v>0</v>
      </c>
      <c r="H3214" s="3">
        <f>'[1]MAR 2025'!H163</f>
        <v>1021.94</v>
      </c>
    </row>
    <row r="3215" spans="1:8" x14ac:dyDescent="0.2">
      <c r="A3215" s="20">
        <f>'[1]MAR 2025'!A170</f>
        <v>45741</v>
      </c>
      <c r="B3215" s="12" t="str">
        <f>'[1]MAR 2025'!B170</f>
        <v>Refill</v>
      </c>
      <c r="C3215" s="3">
        <f>'[1]MAR 2025'!C170</f>
        <v>0</v>
      </c>
      <c r="D3215" s="3">
        <f>'[1]MAR 2025'!D170</f>
        <v>0</v>
      </c>
      <c r="E3215" s="3">
        <f>'[1]MAR 2025'!E170</f>
        <v>0</v>
      </c>
      <c r="F3215" s="3">
        <f>'[1]MAR 2025'!F170</f>
        <v>0</v>
      </c>
      <c r="G3215" s="3">
        <f>'[1]MAR 2025'!G170</f>
        <v>73370.33</v>
      </c>
      <c r="H3215" s="3">
        <f>'[1]MAR 2025'!H170</f>
        <v>0</v>
      </c>
    </row>
    <row r="3216" spans="1:8" x14ac:dyDescent="0.2">
      <c r="A3216" s="23">
        <f>'[1]MAR 2025'!A171</f>
        <v>45741</v>
      </c>
      <c r="B3216" s="12" t="str">
        <f>'[1]MAR 2025'!B171</f>
        <v>VM</v>
      </c>
      <c r="C3216" s="3">
        <f>'[1]MAR 2025'!C171</f>
        <v>0</v>
      </c>
      <c r="D3216" s="3">
        <f>'[1]MAR 2025'!D171</f>
        <v>0</v>
      </c>
      <c r="E3216" s="3">
        <f>'[1]MAR 2025'!E171</f>
        <v>0</v>
      </c>
      <c r="F3216" s="3">
        <f>'[1]MAR 2025'!F171</f>
        <v>0</v>
      </c>
      <c r="G3216" s="3">
        <f>'[1]MAR 2025'!G171</f>
        <v>0</v>
      </c>
      <c r="H3216" s="3">
        <f>'[1]MAR 2025'!H171</f>
        <v>795</v>
      </c>
    </row>
    <row r="3217" spans="1:8" x14ac:dyDescent="0.2">
      <c r="A3217" s="20">
        <f>'[1]MAR 2025'!A172</f>
        <v>45741</v>
      </c>
      <c r="B3217" s="12" t="str">
        <f>'[1]MAR 2025'!B172</f>
        <v>Refill</v>
      </c>
      <c r="C3217" s="3">
        <f>'[1]MAR 2025'!C172</f>
        <v>0</v>
      </c>
      <c r="D3217" s="3">
        <f>'[1]MAR 2025'!D172</f>
        <v>0</v>
      </c>
      <c r="E3217" s="3">
        <f>'[1]MAR 2025'!E172</f>
        <v>0</v>
      </c>
      <c r="F3217" s="3">
        <f>'[1]MAR 2025'!F172</f>
        <v>0</v>
      </c>
      <c r="G3217" s="3">
        <f>'[1]MAR 2025'!G172</f>
        <v>18194.32</v>
      </c>
      <c r="H3217" s="3">
        <f>'[1]MAR 2025'!H172</f>
        <v>0</v>
      </c>
    </row>
    <row r="3218" spans="1:8" x14ac:dyDescent="0.2">
      <c r="A3218" s="23">
        <f>'[1]MAR 2025'!A173</f>
        <v>45741</v>
      </c>
      <c r="B3218" s="12" t="str">
        <f>'[1]MAR 2025'!B173</f>
        <v>Andere</v>
      </c>
      <c r="C3218" s="3">
        <f>'[1]MAR 2025'!C173</f>
        <v>0</v>
      </c>
      <c r="D3218" s="3">
        <f>'[1]MAR 2025'!D173</f>
        <v>0</v>
      </c>
      <c r="E3218" s="3">
        <f>'[1]MAR 2025'!E173</f>
        <v>0</v>
      </c>
      <c r="F3218" s="3">
        <f>'[1]MAR 2025'!F173</f>
        <v>0</v>
      </c>
      <c r="G3218" s="3">
        <f>'[1]MAR 2025'!G173</f>
        <v>0</v>
      </c>
      <c r="H3218" s="3">
        <f>'[1]MAR 2025'!H173</f>
        <v>979.98</v>
      </c>
    </row>
    <row r="3219" spans="1:8" x14ac:dyDescent="0.2">
      <c r="A3219" s="23">
        <f>'[1]MAR 2025'!A177</f>
        <v>45742</v>
      </c>
      <c r="B3219" s="12" t="str">
        <f>'[1]MAR 2025'!B177</f>
        <v>Frauen</v>
      </c>
      <c r="C3219" s="3">
        <f>'[1]MAR 2025'!C177</f>
        <v>0</v>
      </c>
      <c r="D3219" s="3">
        <f>'[1]MAR 2025'!D177</f>
        <v>0</v>
      </c>
      <c r="E3219" s="3">
        <f>'[1]MAR 2025'!E177</f>
        <v>0</v>
      </c>
      <c r="F3219" s="3">
        <f>'[1]MAR 2025'!F177</f>
        <v>0</v>
      </c>
      <c r="G3219" s="3">
        <f>'[1]MAR 2025'!G177</f>
        <v>0</v>
      </c>
      <c r="H3219" s="3">
        <f>'[1]MAR 2025'!H177</f>
        <v>2000</v>
      </c>
    </row>
    <row r="3220" spans="1:8" x14ac:dyDescent="0.2">
      <c r="A3220" s="20">
        <f>'[1]MAR 2025'!A178</f>
        <v>45742</v>
      </c>
      <c r="B3220" s="12" t="str">
        <f>'[1]MAR 2025'!B178</f>
        <v>VM</v>
      </c>
      <c r="C3220" s="3">
        <f>'[1]MAR 2025'!C178</f>
        <v>0</v>
      </c>
      <c r="D3220" s="3">
        <f>'[1]MAR 2025'!D178</f>
        <v>0</v>
      </c>
      <c r="E3220" s="3">
        <f>'[1]MAR 2025'!E178</f>
        <v>0</v>
      </c>
      <c r="F3220" s="3">
        <f>'[1]MAR 2025'!F178</f>
        <v>0</v>
      </c>
      <c r="G3220" s="3">
        <f>'[1]MAR 2025'!G178</f>
        <v>0</v>
      </c>
      <c r="H3220" s="3">
        <f>'[1]MAR 2025'!H178</f>
        <v>140</v>
      </c>
    </row>
    <row r="3221" spans="1:8" x14ac:dyDescent="0.2">
      <c r="A3221" s="23">
        <f>'[1]MAR 2025'!A179</f>
        <v>45742</v>
      </c>
      <c r="B3221" s="12" t="str">
        <f>'[1]MAR 2025'!B179</f>
        <v>LM</v>
      </c>
      <c r="C3221" s="3">
        <f>'[1]MAR 2025'!C179</f>
        <v>0</v>
      </c>
      <c r="D3221" s="3">
        <f>'[1]MAR 2025'!D179</f>
        <v>0</v>
      </c>
      <c r="E3221" s="3">
        <f>'[1]MAR 2025'!E179</f>
        <v>0</v>
      </c>
      <c r="F3221" s="3">
        <f>'[1]MAR 2025'!F179</f>
        <v>0</v>
      </c>
      <c r="G3221" s="3">
        <f>'[1]MAR 2025'!G179</f>
        <v>0</v>
      </c>
      <c r="H3221" s="3">
        <f>'[1]MAR 2025'!H179</f>
        <v>639.25</v>
      </c>
    </row>
    <row r="3222" spans="1:8" x14ac:dyDescent="0.2">
      <c r="A3222" s="20">
        <f>'[1]MAR 2025'!A184</f>
        <v>45743</v>
      </c>
      <c r="B3222" s="12" t="str">
        <f>'[1]MAR 2025'!B184</f>
        <v>LM</v>
      </c>
      <c r="C3222" s="3">
        <f>'[1]MAR 2025'!C184</f>
        <v>0</v>
      </c>
      <c r="D3222" s="3">
        <f>'[1]MAR 2025'!D184</f>
        <v>0</v>
      </c>
      <c r="E3222" s="3">
        <f>'[1]MAR 2025'!E184</f>
        <v>0</v>
      </c>
      <c r="F3222" s="3">
        <f>'[1]MAR 2025'!F184</f>
        <v>0</v>
      </c>
      <c r="G3222" s="3">
        <f>'[1]MAR 2025'!G184</f>
        <v>0</v>
      </c>
      <c r="H3222" s="3">
        <f>'[1]MAR 2025'!H184</f>
        <v>994.84999999999991</v>
      </c>
    </row>
    <row r="3223" spans="1:8" x14ac:dyDescent="0.2">
      <c r="A3223" s="23">
        <f>'[1]MAR 2025'!A185</f>
        <v>45743</v>
      </c>
      <c r="B3223" s="12" t="str">
        <f>'[1]MAR 2025'!B185</f>
        <v>Andere</v>
      </c>
      <c r="C3223" s="3">
        <f>'[1]MAR 2025'!C185</f>
        <v>0</v>
      </c>
      <c r="D3223" s="3">
        <f>'[1]MAR 2025'!D185</f>
        <v>0</v>
      </c>
      <c r="E3223" s="3">
        <f>'[1]MAR 2025'!E185</f>
        <v>0</v>
      </c>
      <c r="F3223" s="3">
        <f>'[1]MAR 2025'!F185</f>
        <v>0</v>
      </c>
      <c r="G3223" s="3">
        <f>'[1]MAR 2025'!G185</f>
        <v>0</v>
      </c>
      <c r="H3223" s="3">
        <f>'[1]MAR 2025'!H185</f>
        <v>1127</v>
      </c>
    </row>
    <row r="3224" spans="1:8" x14ac:dyDescent="0.2">
      <c r="A3224" s="23">
        <f>'[1]MAR 2025'!A191</f>
        <v>45744</v>
      </c>
      <c r="B3224" s="12" t="str">
        <f>'[1]MAR 2025'!B191</f>
        <v>LM</v>
      </c>
      <c r="C3224" s="3">
        <f>'[1]MAR 2025'!C191</f>
        <v>0</v>
      </c>
      <c r="D3224" s="3">
        <f>'[1]MAR 2025'!D191</f>
        <v>0</v>
      </c>
      <c r="E3224" s="3">
        <f>'[1]MAR 2025'!E191</f>
        <v>0</v>
      </c>
      <c r="F3224" s="3">
        <f>'[1]MAR 2025'!F191</f>
        <v>0</v>
      </c>
      <c r="G3224" s="3">
        <f>'[1]MAR 2025'!G191</f>
        <v>0</v>
      </c>
      <c r="H3224" s="3">
        <f>'[1]MAR 2025'!H191</f>
        <v>680.87</v>
      </c>
    </row>
    <row r="3225" spans="1:8" x14ac:dyDescent="0.2">
      <c r="A3225" s="20">
        <f>'[1]MAR 2025'!A192</f>
        <v>45744</v>
      </c>
      <c r="B3225" s="12" t="str">
        <f>'[1]MAR 2025'!B192</f>
        <v>Andere</v>
      </c>
      <c r="C3225" s="3">
        <f>'[1]MAR 2025'!C192</f>
        <v>0</v>
      </c>
      <c r="D3225" s="3">
        <f>'[1]MAR 2025'!D192</f>
        <v>0</v>
      </c>
      <c r="E3225" s="3">
        <f>'[1]MAR 2025'!E192</f>
        <v>0</v>
      </c>
      <c r="F3225" s="3">
        <f>'[1]MAR 2025'!F192</f>
        <v>0</v>
      </c>
      <c r="G3225" s="3">
        <f>'[1]MAR 2025'!G192</f>
        <v>0</v>
      </c>
      <c r="H3225" s="3">
        <f>'[1]MAR 2025'!H192</f>
        <v>2630</v>
      </c>
    </row>
    <row r="3226" spans="1:8" x14ac:dyDescent="0.2">
      <c r="A3226" s="23">
        <f>'[1]MAR 2025'!A193</f>
        <v>45744</v>
      </c>
      <c r="B3226" s="12" t="str">
        <f>'[1]MAR 2025'!B193</f>
        <v>Andere</v>
      </c>
      <c r="C3226" s="3">
        <f>'[1]MAR 2025'!C193</f>
        <v>0</v>
      </c>
      <c r="D3226" s="3">
        <f>'[1]MAR 2025'!D193</f>
        <v>0</v>
      </c>
      <c r="E3226" s="3">
        <f>'[1]MAR 2025'!E193</f>
        <v>0</v>
      </c>
      <c r="F3226" s="3">
        <f>'[1]MAR 2025'!F193</f>
        <v>0</v>
      </c>
      <c r="G3226" s="3">
        <f>'[1]MAR 2025'!G193</f>
        <v>0</v>
      </c>
      <c r="H3226" s="3">
        <f>'[1]MAR 2025'!H193</f>
        <v>400</v>
      </c>
    </row>
    <row r="3227" spans="1:8" x14ac:dyDescent="0.2">
      <c r="A3227" s="20">
        <f>'[1]MAR 2025'!A198</f>
        <v>45745</v>
      </c>
      <c r="B3227" s="12" t="str">
        <f>'[1]MAR 2025'!B198</f>
        <v>Party</v>
      </c>
      <c r="C3227" s="3">
        <f>'[1]MAR 2025'!C198</f>
        <v>0</v>
      </c>
      <c r="D3227" s="3">
        <f>'[1]MAR 2025'!D198</f>
        <v>0</v>
      </c>
      <c r="E3227" s="3">
        <f>'[1]MAR 2025'!E198</f>
        <v>0</v>
      </c>
      <c r="F3227" s="3">
        <f>'[1]MAR 2025'!F198</f>
        <v>0</v>
      </c>
      <c r="G3227" s="3">
        <f>'[1]MAR 2025'!G198</f>
        <v>0</v>
      </c>
      <c r="H3227" s="3">
        <f>'[1]MAR 2025'!H198</f>
        <v>2280</v>
      </c>
    </row>
    <row r="3228" spans="1:8" x14ac:dyDescent="0.2">
      <c r="A3228" s="23">
        <f>'[1]MAR 2025'!A199</f>
        <v>45745</v>
      </c>
      <c r="B3228" s="12" t="str">
        <f>'[1]MAR 2025'!B199</f>
        <v>LM</v>
      </c>
      <c r="C3228" s="3">
        <f>'[1]MAR 2025'!C199</f>
        <v>0</v>
      </c>
      <c r="D3228" s="3">
        <f>'[1]MAR 2025'!D199</f>
        <v>0</v>
      </c>
      <c r="E3228" s="3">
        <f>'[1]MAR 2025'!E199</f>
        <v>0</v>
      </c>
      <c r="F3228" s="3">
        <f>'[1]MAR 2025'!F199</f>
        <v>0</v>
      </c>
      <c r="G3228" s="3">
        <f>'[1]MAR 2025'!G199</f>
        <v>0</v>
      </c>
      <c r="H3228" s="3">
        <f>'[1]MAR 2025'!H199</f>
        <v>1045.97</v>
      </c>
    </row>
    <row r="3229" spans="1:8" x14ac:dyDescent="0.2">
      <c r="A3229" s="20">
        <f>'[1]MAR 2025'!A200</f>
        <v>45745</v>
      </c>
      <c r="B3229" s="12" t="str">
        <f>'[1]MAR 2025'!B200</f>
        <v>VM</v>
      </c>
      <c r="C3229" s="3">
        <f>'[1]MAR 2025'!C200</f>
        <v>0</v>
      </c>
      <c r="D3229" s="3">
        <f>'[1]MAR 2025'!D200</f>
        <v>0</v>
      </c>
      <c r="E3229" s="3">
        <f>'[1]MAR 2025'!E200</f>
        <v>0</v>
      </c>
      <c r="F3229" s="3">
        <f>'[1]MAR 2025'!F200</f>
        <v>0</v>
      </c>
      <c r="G3229" s="3">
        <f>'[1]MAR 2025'!G200</f>
        <v>0</v>
      </c>
      <c r="H3229" s="3">
        <f>'[1]MAR 2025'!H200</f>
        <v>70</v>
      </c>
    </row>
    <row r="3230" spans="1:8" x14ac:dyDescent="0.2">
      <c r="A3230" s="23">
        <f>'[1]MAR 2025'!A201</f>
        <v>45745</v>
      </c>
      <c r="B3230" s="12" t="str">
        <f>'[1]MAR 2025'!B201</f>
        <v>Andere</v>
      </c>
      <c r="C3230" s="3">
        <f>'[1]MAR 2025'!C201</f>
        <v>0</v>
      </c>
      <c r="D3230" s="3">
        <f>'[1]MAR 2025'!D201</f>
        <v>0</v>
      </c>
      <c r="E3230" s="3">
        <f>'[1]MAR 2025'!E201</f>
        <v>0</v>
      </c>
      <c r="F3230" s="3">
        <f>'[1]MAR 2025'!F201</f>
        <v>0</v>
      </c>
      <c r="G3230" s="3">
        <f>'[1]MAR 2025'!G201</f>
        <v>0</v>
      </c>
      <c r="H3230" s="3">
        <f>'[1]MAR 2025'!H201</f>
        <v>1413</v>
      </c>
    </row>
    <row r="3231" spans="1:8" x14ac:dyDescent="0.2">
      <c r="A3231" s="23">
        <f>'[1]MAR 2025'!A205</f>
        <v>45746</v>
      </c>
      <c r="B3231" s="12" t="str">
        <f>'[1]MAR 2025'!B205</f>
        <v>LM</v>
      </c>
      <c r="C3231" s="3">
        <f>'[1]MAR 2025'!C205</f>
        <v>0</v>
      </c>
      <c r="D3231" s="3">
        <f>'[1]MAR 2025'!D205</f>
        <v>0</v>
      </c>
      <c r="E3231" s="3">
        <f>'[1]MAR 2025'!E205</f>
        <v>0</v>
      </c>
      <c r="F3231" s="3">
        <f>'[1]MAR 2025'!F205</f>
        <v>0</v>
      </c>
      <c r="G3231" s="3">
        <f>'[1]MAR 2025'!G205</f>
        <v>0</v>
      </c>
      <c r="H3231" s="3">
        <f>'[1]MAR 2025'!H205</f>
        <v>1116.98</v>
      </c>
    </row>
    <row r="3232" spans="1:8" x14ac:dyDescent="0.2">
      <c r="A3232" s="20">
        <f>'[1]MAR 2025'!A212</f>
        <v>45747</v>
      </c>
      <c r="B3232" s="12" t="str">
        <f>'[1]MAR 2025'!B212</f>
        <v>LM</v>
      </c>
      <c r="C3232" s="3">
        <f>'[1]MAR 2025'!C212</f>
        <v>0</v>
      </c>
      <c r="D3232" s="3">
        <f>'[1]MAR 2025'!D212</f>
        <v>0</v>
      </c>
      <c r="E3232" s="3">
        <f>'[1]MAR 2025'!E212</f>
        <v>0</v>
      </c>
      <c r="F3232" s="3">
        <f>'[1]MAR 2025'!F212</f>
        <v>0</v>
      </c>
      <c r="G3232" s="3">
        <f>'[1]MAR 2025'!G212</f>
        <v>0</v>
      </c>
      <c r="H3232" s="3">
        <f>'[1]MAR 2025'!H212</f>
        <v>3017.72</v>
      </c>
    </row>
    <row r="3233" spans="1:8" x14ac:dyDescent="0.2">
      <c r="A3233" s="23">
        <f>'[1]APR 2025'!A2</f>
        <v>45748</v>
      </c>
      <c r="B3233" s="12" t="str">
        <f>'[1]APR 2025'!B2</f>
        <v>LM</v>
      </c>
      <c r="C3233" s="3">
        <f>'[1]APR 2025'!C2</f>
        <v>0</v>
      </c>
      <c r="D3233" s="3">
        <f>'[1]APR 2025'!D2</f>
        <v>0</v>
      </c>
      <c r="E3233" s="3">
        <f>'[1]APR 2025'!E2</f>
        <v>0</v>
      </c>
      <c r="F3233" s="3">
        <f>'[1]APR 2025'!F2</f>
        <v>0</v>
      </c>
      <c r="G3233" s="3">
        <f>'[1]APR 2025'!G2</f>
        <v>0</v>
      </c>
      <c r="H3233" s="3">
        <f>'[1]APR 2025'!H2</f>
        <v>264.95999999999998</v>
      </c>
    </row>
    <row r="3234" spans="1:8" x14ac:dyDescent="0.2">
      <c r="A3234" s="23">
        <f>'[1]APR 2025'!A4</f>
        <v>45748</v>
      </c>
      <c r="B3234" s="12" t="str">
        <f>'[1]APR 2025'!B4</f>
        <v>Andere</v>
      </c>
      <c r="C3234" s="3">
        <f>'[1]APR 2025'!C4</f>
        <v>0</v>
      </c>
      <c r="D3234" s="3">
        <f>'[1]APR 2025'!D4</f>
        <v>0</v>
      </c>
      <c r="E3234" s="3">
        <f>'[1]APR 2025'!E4</f>
        <v>0</v>
      </c>
      <c r="F3234" s="3">
        <f>'[1]APR 2025'!F4</f>
        <v>0</v>
      </c>
      <c r="G3234" s="3">
        <f>'[1]APR 2025'!G4</f>
        <v>0</v>
      </c>
      <c r="H3234" s="3">
        <f>'[1]APR 2025'!H4</f>
        <v>4269</v>
      </c>
    </row>
    <row r="3235" spans="1:8" x14ac:dyDescent="0.2">
      <c r="A3235" s="20">
        <f>'[1]APR 2025'!A9</f>
        <v>45749</v>
      </c>
      <c r="B3235" s="12" t="str">
        <f>'[1]APR 2025'!B9</f>
        <v>LM</v>
      </c>
      <c r="C3235" s="3">
        <f>'[1]APR 2025'!C9</f>
        <v>0</v>
      </c>
      <c r="D3235" s="3">
        <f>'[1]APR 2025'!D9</f>
        <v>0</v>
      </c>
      <c r="E3235" s="3">
        <f>'[1]APR 2025'!E9</f>
        <v>0</v>
      </c>
      <c r="F3235" s="3">
        <f>'[1]APR 2025'!F9</f>
        <v>0</v>
      </c>
      <c r="G3235" s="3">
        <f>'[1]APR 2025'!G9</f>
        <v>0</v>
      </c>
      <c r="H3235" s="3">
        <f>'[1]APR 2025'!H9</f>
        <v>2673</v>
      </c>
    </row>
    <row r="3236" spans="1:8" x14ac:dyDescent="0.2">
      <c r="A3236" s="23">
        <f>'[1]APR 2025'!A10</f>
        <v>45749</v>
      </c>
      <c r="B3236" s="12" t="str">
        <f>'[1]APR 2025'!B10</f>
        <v>VM</v>
      </c>
      <c r="C3236" s="3">
        <f>'[1]APR 2025'!C10</f>
        <v>0</v>
      </c>
      <c r="D3236" s="3">
        <f>'[1]APR 2025'!D10</f>
        <v>0</v>
      </c>
      <c r="E3236" s="3">
        <f>'[1]APR 2025'!E10</f>
        <v>0</v>
      </c>
      <c r="F3236" s="3">
        <f>'[1]APR 2025'!F10</f>
        <v>0</v>
      </c>
      <c r="G3236" s="3">
        <f>'[1]APR 2025'!G10</f>
        <v>0</v>
      </c>
      <c r="H3236" s="3">
        <f>'[1]APR 2025'!H10</f>
        <v>140</v>
      </c>
    </row>
    <row r="3237" spans="1:8" x14ac:dyDescent="0.2">
      <c r="A3237" s="23">
        <f>'[1]APR 2025'!A16</f>
        <v>45750</v>
      </c>
      <c r="B3237" s="12" t="str">
        <f>'[1]APR 2025'!B16</f>
        <v>none</v>
      </c>
      <c r="C3237" s="3">
        <f>'[1]APR 2025'!C16</f>
        <v>0</v>
      </c>
      <c r="D3237" s="3">
        <f>'[1]APR 2025'!D16</f>
        <v>0</v>
      </c>
      <c r="E3237" s="3">
        <f>'[1]APR 2025'!E16</f>
        <v>0</v>
      </c>
      <c r="F3237" s="3">
        <f>'[1]APR 2025'!F16</f>
        <v>0</v>
      </c>
      <c r="G3237" s="3">
        <f>'[1]APR 2025'!G16</f>
        <v>4968.49</v>
      </c>
      <c r="H3237" s="3">
        <f>'[1]APR 2025'!H16</f>
        <v>0</v>
      </c>
    </row>
    <row r="3238" spans="1:8" x14ac:dyDescent="0.2">
      <c r="A3238" s="20">
        <f>'[1]APR 2025'!A17</f>
        <v>45750</v>
      </c>
      <c r="B3238" s="12" t="str">
        <f>'[1]APR 2025'!B17</f>
        <v>LM</v>
      </c>
      <c r="C3238" s="3">
        <f>'[1]APR 2025'!C17</f>
        <v>0</v>
      </c>
      <c r="D3238" s="3">
        <f>'[1]APR 2025'!D17</f>
        <v>0</v>
      </c>
      <c r="E3238" s="3">
        <f>'[1]APR 2025'!E17</f>
        <v>0</v>
      </c>
      <c r="F3238" s="3">
        <f>'[1]APR 2025'!F17</f>
        <v>0</v>
      </c>
      <c r="G3238" s="3">
        <f>'[1]APR 2025'!G17</f>
        <v>0</v>
      </c>
      <c r="H3238" s="3">
        <f>'[1]APR 2025'!H17</f>
        <v>1264.18</v>
      </c>
    </row>
    <row r="3239" spans="1:8" x14ac:dyDescent="0.2">
      <c r="A3239" s="20">
        <f>'[1]APR 2025'!A23</f>
        <v>45751</v>
      </c>
      <c r="B3239" s="12" t="str">
        <f>'[1]APR 2025'!B23</f>
        <v>LM</v>
      </c>
      <c r="C3239" s="3">
        <f>'[1]APR 2025'!C23</f>
        <v>0</v>
      </c>
      <c r="D3239" s="3">
        <f>'[1]APR 2025'!D23</f>
        <v>0</v>
      </c>
      <c r="E3239" s="3">
        <f>'[1]APR 2025'!E23</f>
        <v>0</v>
      </c>
      <c r="F3239" s="3">
        <f>'[1]APR 2025'!F23</f>
        <v>0</v>
      </c>
      <c r="G3239" s="3">
        <f>'[1]APR 2025'!G23</f>
        <v>0</v>
      </c>
      <c r="H3239" s="3">
        <f>'[1]APR 2025'!H23</f>
        <v>4412.8500000000004</v>
      </c>
    </row>
    <row r="3240" spans="1:8" x14ac:dyDescent="0.2">
      <c r="A3240" s="23">
        <f>'[1]APR 2025'!A24</f>
        <v>45751</v>
      </c>
      <c r="B3240" s="12" t="str">
        <f>'[1]APR 2025'!B24</f>
        <v>VM</v>
      </c>
      <c r="C3240" s="3">
        <f>'[1]APR 2025'!C24</f>
        <v>0</v>
      </c>
      <c r="D3240" s="3">
        <f>'[1]APR 2025'!D24</f>
        <v>0</v>
      </c>
      <c r="E3240" s="3">
        <f>'[1]APR 2025'!E24</f>
        <v>0</v>
      </c>
      <c r="F3240" s="3">
        <f>'[1]APR 2025'!F24</f>
        <v>0</v>
      </c>
      <c r="G3240" s="3">
        <f>'[1]APR 2025'!G24</f>
        <v>0</v>
      </c>
      <c r="H3240" s="3">
        <f>'[1]APR 2025'!H24</f>
        <v>210</v>
      </c>
    </row>
    <row r="3241" spans="1:8" x14ac:dyDescent="0.2">
      <c r="A3241" s="23">
        <f>'[1]APR 2025'!A30</f>
        <v>45752</v>
      </c>
      <c r="B3241" s="12" t="str">
        <f>'[1]APR 2025'!B30</f>
        <v>LM</v>
      </c>
      <c r="C3241" s="3">
        <f>'[1]APR 2025'!C30</f>
        <v>0</v>
      </c>
      <c r="D3241" s="3">
        <f>'[1]APR 2025'!D30</f>
        <v>0</v>
      </c>
      <c r="E3241" s="3">
        <f>'[1]APR 2025'!E30</f>
        <v>0</v>
      </c>
      <c r="F3241" s="3">
        <f>'[1]APR 2025'!F30</f>
        <v>0</v>
      </c>
      <c r="G3241" s="3">
        <f>'[1]APR 2025'!G30</f>
        <v>0</v>
      </c>
      <c r="H3241" s="3">
        <f>'[1]APR 2025'!H30</f>
        <v>615.92999999999995</v>
      </c>
    </row>
    <row r="3242" spans="1:8" x14ac:dyDescent="0.2">
      <c r="A3242" s="20">
        <f>'[1]APR 2025'!A31</f>
        <v>45752</v>
      </c>
      <c r="B3242" s="12" t="str">
        <f>'[1]APR 2025'!B31</f>
        <v>Party</v>
      </c>
      <c r="C3242" s="3">
        <f>'[1]APR 2025'!C31</f>
        <v>0</v>
      </c>
      <c r="D3242" s="3">
        <f>'[1]APR 2025'!D31</f>
        <v>0</v>
      </c>
      <c r="E3242" s="3">
        <f>'[1]APR 2025'!E31</f>
        <v>0</v>
      </c>
      <c r="F3242" s="3">
        <f>'[1]APR 2025'!F31</f>
        <v>0</v>
      </c>
      <c r="G3242" s="3">
        <f>'[1]APR 2025'!G31</f>
        <v>0</v>
      </c>
      <c r="H3242" s="3">
        <f>'[1]APR 2025'!H31</f>
        <v>2609</v>
      </c>
    </row>
    <row r="3243" spans="1:8" x14ac:dyDescent="0.2">
      <c r="A3243" s="23">
        <f>'[1]APR 2025'!A32</f>
        <v>45752</v>
      </c>
      <c r="B3243" s="12" t="str">
        <f>'[1]APR 2025'!B32</f>
        <v>Frauen</v>
      </c>
      <c r="C3243" s="3">
        <f>'[1]APR 2025'!C32</f>
        <v>0</v>
      </c>
      <c r="D3243" s="3">
        <f>'[1]APR 2025'!D32</f>
        <v>0</v>
      </c>
      <c r="E3243" s="3">
        <f>'[1]APR 2025'!E32</f>
        <v>0</v>
      </c>
      <c r="F3243" s="3">
        <f>'[1]APR 2025'!F32</f>
        <v>0</v>
      </c>
      <c r="G3243" s="3">
        <f>'[1]APR 2025'!G32</f>
        <v>0</v>
      </c>
      <c r="H3243" s="3">
        <f>'[1]APR 2025'!H32</f>
        <v>2150</v>
      </c>
    </row>
    <row r="3244" spans="1:8" x14ac:dyDescent="0.2">
      <c r="A3244" s="20">
        <f>'[1]APR 2025'!A37</f>
        <v>45753</v>
      </c>
      <c r="B3244" s="12" t="str">
        <f>'[1]APR 2025'!B37</f>
        <v>VM</v>
      </c>
      <c r="C3244" s="3">
        <f>'[1]APR 2025'!C37</f>
        <v>0</v>
      </c>
      <c r="D3244" s="3">
        <f>'[1]APR 2025'!D37</f>
        <v>0</v>
      </c>
      <c r="E3244" s="3">
        <f>'[1]APR 2025'!E37</f>
        <v>0</v>
      </c>
      <c r="F3244" s="3">
        <f>'[1]APR 2025'!F37</f>
        <v>0</v>
      </c>
      <c r="G3244" s="3">
        <f>'[1]APR 2025'!G37</f>
        <v>0</v>
      </c>
      <c r="H3244" s="3">
        <f>'[1]APR 2025'!H37</f>
        <v>70</v>
      </c>
    </row>
    <row r="3245" spans="1:8" x14ac:dyDescent="0.2">
      <c r="A3245" s="23">
        <f>'[1]APR 2025'!A38</f>
        <v>45753</v>
      </c>
      <c r="B3245" s="12" t="str">
        <f>'[1]APR 2025'!B38</f>
        <v>Frauen</v>
      </c>
      <c r="C3245" s="3">
        <f>'[1]APR 2025'!C38</f>
        <v>0</v>
      </c>
      <c r="D3245" s="3">
        <f>'[1]APR 2025'!D38</f>
        <v>0</v>
      </c>
      <c r="E3245" s="3">
        <f>'[1]APR 2025'!E38</f>
        <v>0</v>
      </c>
      <c r="F3245" s="3">
        <f>'[1]APR 2025'!F38</f>
        <v>0</v>
      </c>
      <c r="G3245" s="3">
        <f>'[1]APR 2025'!G38</f>
        <v>0</v>
      </c>
      <c r="H3245" s="3">
        <f>'[1]APR 2025'!H38</f>
        <v>3823</v>
      </c>
    </row>
    <row r="3246" spans="1:8" x14ac:dyDescent="0.2">
      <c r="A3246" s="20">
        <f>'[1]APR 2025'!A39</f>
        <v>45753</v>
      </c>
      <c r="B3246" s="12" t="str">
        <f>'[1]APR 2025'!B39</f>
        <v>VM</v>
      </c>
      <c r="C3246" s="3">
        <f>'[1]APR 2025'!C39</f>
        <v>0</v>
      </c>
      <c r="D3246" s="3">
        <f>'[1]APR 2025'!D39</f>
        <v>0</v>
      </c>
      <c r="E3246" s="3">
        <f>'[1]APR 2025'!E39</f>
        <v>0</v>
      </c>
      <c r="F3246" s="3">
        <f>'[1]APR 2025'!F39</f>
        <v>0</v>
      </c>
      <c r="G3246" s="3">
        <f>'[1]APR 2025'!G39</f>
        <v>0</v>
      </c>
      <c r="H3246" s="3">
        <f>'[1]APR 2025'!H39</f>
        <v>18942</v>
      </c>
    </row>
    <row r="3247" spans="1:8" x14ac:dyDescent="0.2">
      <c r="A3247" s="23">
        <f>'[1]APR 2025'!A40</f>
        <v>45753</v>
      </c>
      <c r="B3247" s="12" t="str">
        <f>'[1]APR 2025'!B40</f>
        <v>Frauen</v>
      </c>
      <c r="C3247" s="3">
        <f>'[1]APR 2025'!C40</f>
        <v>0</v>
      </c>
      <c r="D3247" s="3">
        <f>'[1]APR 2025'!D40</f>
        <v>0</v>
      </c>
      <c r="E3247" s="3">
        <f>'[1]APR 2025'!E40</f>
        <v>0</v>
      </c>
      <c r="F3247" s="3">
        <f>'[1]APR 2025'!F40</f>
        <v>0</v>
      </c>
      <c r="G3247" s="3">
        <f>'[1]APR 2025'!G40</f>
        <v>0</v>
      </c>
      <c r="H3247" s="3">
        <f>'[1]APR 2025'!H40</f>
        <v>18942</v>
      </c>
    </row>
    <row r="3248" spans="1:8" x14ac:dyDescent="0.2">
      <c r="A3248" s="20">
        <f>'[1]APR 2025'!A41</f>
        <v>45753</v>
      </c>
      <c r="B3248" s="12" t="str">
        <f>'[1]APR 2025'!B41</f>
        <v>VM</v>
      </c>
      <c r="C3248" s="3">
        <f>'[1]APR 2025'!C41</f>
        <v>0</v>
      </c>
      <c r="D3248" s="3">
        <f>'[1]APR 2025'!D41</f>
        <v>0</v>
      </c>
      <c r="E3248" s="3">
        <f>'[1]APR 2025'!E41</f>
        <v>0</v>
      </c>
      <c r="F3248" s="3">
        <f>'[1]APR 2025'!F41</f>
        <v>0</v>
      </c>
      <c r="G3248" s="3">
        <f>'[1]APR 2025'!G41</f>
        <v>0</v>
      </c>
      <c r="H3248" s="3">
        <f>'[1]APR 2025'!H41</f>
        <v>1228</v>
      </c>
    </row>
    <row r="3249" spans="1:8" x14ac:dyDescent="0.2">
      <c r="A3249" s="23">
        <f>'[1]APR 2025'!A44</f>
        <v>45754</v>
      </c>
      <c r="B3249" s="12" t="str">
        <f>'[1]APR 2025'!B44</f>
        <v>LM</v>
      </c>
      <c r="C3249" s="3">
        <f>'[1]APR 2025'!C44</f>
        <v>0</v>
      </c>
      <c r="D3249" s="3">
        <f>'[1]APR 2025'!D44</f>
        <v>0</v>
      </c>
      <c r="E3249" s="3">
        <f>'[1]APR 2025'!E44</f>
        <v>0</v>
      </c>
      <c r="F3249" s="3">
        <f>'[1]APR 2025'!F44</f>
        <v>0</v>
      </c>
      <c r="G3249" s="3">
        <f>'[1]APR 2025'!G44</f>
        <v>0</v>
      </c>
      <c r="H3249" s="3">
        <f>'[1]APR 2025'!H44</f>
        <v>10000</v>
      </c>
    </row>
    <row r="3250" spans="1:8" x14ac:dyDescent="0.2">
      <c r="A3250" s="20">
        <f>'[1]APR 2025'!A65</f>
        <v>45757</v>
      </c>
      <c r="B3250" s="12" t="str">
        <f>'[1]APR 2025'!B65</f>
        <v>Refill</v>
      </c>
      <c r="C3250" s="3">
        <f>'[1]APR 2025'!C65</f>
        <v>0</v>
      </c>
      <c r="D3250" s="3">
        <f>'[1]APR 2025'!D65</f>
        <v>0</v>
      </c>
      <c r="E3250" s="3">
        <f>'[1]APR 2025'!E65</f>
        <v>0</v>
      </c>
      <c r="F3250" s="3">
        <f>'[1]APR 2025'!F65</f>
        <v>0</v>
      </c>
      <c r="G3250" s="3">
        <f>'[1]APR 2025'!G65</f>
        <v>146740.81</v>
      </c>
      <c r="H3250" s="3">
        <f>'[1]APR 2025'!H65</f>
        <v>0</v>
      </c>
    </row>
    <row r="3251" spans="1:8" x14ac:dyDescent="0.2">
      <c r="A3251" s="20">
        <f>'[1]APR 2025'!A93</f>
        <v>45761</v>
      </c>
      <c r="B3251" s="12" t="str">
        <f>'[1]APR 2025'!B93</f>
        <v>Andere</v>
      </c>
      <c r="C3251" s="3">
        <f>'[1]APR 2025'!C93</f>
        <v>0</v>
      </c>
      <c r="D3251" s="3">
        <f>'[1]APR 2025'!D93</f>
        <v>0</v>
      </c>
      <c r="E3251" s="3">
        <f>'[1]APR 2025'!E93</f>
        <v>0</v>
      </c>
      <c r="F3251" s="3">
        <f>'[1]APR 2025'!F93</f>
        <v>0</v>
      </c>
      <c r="G3251" s="3">
        <f>'[1]APR 2025'!G93</f>
        <v>0</v>
      </c>
      <c r="H3251" s="3">
        <f>'[1]APR 2025'!H93</f>
        <v>875</v>
      </c>
    </row>
    <row r="3252" spans="1:8" x14ac:dyDescent="0.2">
      <c r="A3252" s="20">
        <f>'[1]APR 2025'!A107</f>
        <v>45763</v>
      </c>
      <c r="B3252" s="12" t="str">
        <f>'[1]APR 2025'!B107</f>
        <v>Refill</v>
      </c>
      <c r="C3252" s="3">
        <f>'[1]APR 2025'!C107</f>
        <v>0</v>
      </c>
      <c r="D3252" s="3">
        <f>'[1]APR 2025'!D107</f>
        <v>0</v>
      </c>
      <c r="E3252" s="3">
        <f>'[1]APR 2025'!E107</f>
        <v>0</v>
      </c>
      <c r="F3252" s="3">
        <f>'[1]APR 2025'!F107</f>
        <v>0</v>
      </c>
      <c r="G3252" s="3">
        <f>'[1]APR 2025'!G107</f>
        <v>12000</v>
      </c>
      <c r="H3252" s="3">
        <f>'[1]APR 2025'!H107</f>
        <v>0</v>
      </c>
    </row>
    <row r="3253" spans="1:8" x14ac:dyDescent="0.2">
      <c r="A3253" s="23">
        <f>'[1]APR 2025'!A114</f>
        <v>45764</v>
      </c>
      <c r="B3253" s="12" t="str">
        <f>'[1]APR 2025'!B114</f>
        <v>Frauen</v>
      </c>
      <c r="C3253" s="3">
        <f>'[1]APR 2025'!C114</f>
        <v>0</v>
      </c>
      <c r="D3253" s="3">
        <f>'[1]APR 2025'!D114</f>
        <v>0</v>
      </c>
      <c r="E3253" s="3">
        <f>'[1]APR 2025'!E114</f>
        <v>0</v>
      </c>
      <c r="F3253" s="3">
        <f>'[1]APR 2025'!F114</f>
        <v>0</v>
      </c>
      <c r="G3253" s="3">
        <f>'[1]APR 2025'!G114</f>
        <v>0</v>
      </c>
      <c r="H3253" s="3">
        <f>'[1]APR 2025'!H114</f>
        <v>4697</v>
      </c>
    </row>
    <row r="3254" spans="1:8" x14ac:dyDescent="0.2">
      <c r="A3254" s="20">
        <f>'[1]APR 2025'!A121</f>
        <v>45765</v>
      </c>
      <c r="B3254" s="12" t="str">
        <f>'[1]APR 2025'!B121</f>
        <v>rent</v>
      </c>
      <c r="C3254" s="3">
        <f>'[1]APR 2025'!C121</f>
        <v>0</v>
      </c>
      <c r="D3254" s="3">
        <f>'[1]APR 2025'!D121</f>
        <v>0</v>
      </c>
      <c r="E3254" s="3">
        <f>'[1]APR 2025'!E121</f>
        <v>0</v>
      </c>
      <c r="F3254" s="3">
        <f>'[1]APR 2025'!F121</f>
        <v>0</v>
      </c>
      <c r="G3254" s="3">
        <f>'[1]APR 2025'!G121</f>
        <v>0</v>
      </c>
      <c r="H3254" s="3">
        <f>'[1]APR 2025'!H121</f>
        <v>64400</v>
      </c>
    </row>
    <row r="3255" spans="1:8" x14ac:dyDescent="0.2">
      <c r="A3255" s="23">
        <f>'[1]APR 2025'!A122</f>
        <v>45765</v>
      </c>
      <c r="B3255" s="12" t="str">
        <f>'[1]APR 2025'!B122</f>
        <v>Andere</v>
      </c>
      <c r="C3255" s="3">
        <f>'[1]APR 2025'!C122</f>
        <v>0</v>
      </c>
      <c r="D3255" s="3">
        <f>'[1]APR 2025'!D122</f>
        <v>0</v>
      </c>
      <c r="E3255" s="3">
        <f>'[1]APR 2025'!E122</f>
        <v>0</v>
      </c>
      <c r="F3255" s="3">
        <f>'[1]APR 2025'!F122</f>
        <v>0</v>
      </c>
      <c r="G3255" s="3">
        <f>'[1]APR 2025'!G122</f>
        <v>0</v>
      </c>
      <c r="H3255" s="3">
        <f>'[1]APR 2025'!H122</f>
        <v>4200</v>
      </c>
    </row>
    <row r="3256" spans="1:8" x14ac:dyDescent="0.2">
      <c r="A3256" s="20">
        <f>'[1]APR 2025'!A123</f>
        <v>45765</v>
      </c>
      <c r="B3256" s="12" t="str">
        <f>'[1]APR 2025'!B123</f>
        <v>VM</v>
      </c>
      <c r="C3256" s="3">
        <f>'[1]APR 2025'!C123</f>
        <v>0</v>
      </c>
      <c r="D3256" s="3">
        <f>'[1]APR 2025'!D123</f>
        <v>0</v>
      </c>
      <c r="E3256" s="3">
        <f>'[1]APR 2025'!E123</f>
        <v>0</v>
      </c>
      <c r="F3256" s="3">
        <f>'[1]APR 2025'!F123</f>
        <v>0</v>
      </c>
      <c r="G3256" s="3">
        <f>'[1]APR 2025'!G123</f>
        <v>0</v>
      </c>
      <c r="H3256" s="3">
        <f>'[1]APR 2025'!H123</f>
        <v>382.71</v>
      </c>
    </row>
    <row r="3257" spans="1:8" x14ac:dyDescent="0.2">
      <c r="A3257" s="20">
        <f>'[1]APR 2025'!A129</f>
        <v>45766</v>
      </c>
      <c r="B3257" s="12" t="str">
        <f>'[1]APR 2025'!B129</f>
        <v>Andere</v>
      </c>
      <c r="C3257" s="3">
        <f>'[1]APR 2025'!C129</f>
        <v>0</v>
      </c>
      <c r="D3257" s="3">
        <f>'[1]APR 2025'!D129</f>
        <v>0</v>
      </c>
      <c r="E3257" s="3">
        <f>'[1]APR 2025'!E129</f>
        <v>0</v>
      </c>
      <c r="F3257" s="3">
        <f>'[1]APR 2025'!F129</f>
        <v>0</v>
      </c>
      <c r="G3257" s="3">
        <f>'[1]APR 2025'!G129</f>
        <v>0</v>
      </c>
      <c r="H3257" s="3">
        <f>'[1]APR 2025'!H129</f>
        <v>10000</v>
      </c>
    </row>
    <row r="3258" spans="1:8" x14ac:dyDescent="0.2">
      <c r="A3258" s="23">
        <f>'[1]APR 2025'!A130</f>
        <v>45766</v>
      </c>
      <c r="B3258" s="12" t="str">
        <f>'[1]APR 2025'!B130</f>
        <v>VM</v>
      </c>
      <c r="C3258" s="3">
        <f>'[1]APR 2025'!C130</f>
        <v>0</v>
      </c>
      <c r="D3258" s="3">
        <f>'[1]APR 2025'!D130</f>
        <v>0</v>
      </c>
      <c r="E3258" s="3">
        <f>'[1]APR 2025'!E130</f>
        <v>0</v>
      </c>
      <c r="F3258" s="3">
        <f>'[1]APR 2025'!F130</f>
        <v>0</v>
      </c>
      <c r="G3258" s="3">
        <f>'[1]APR 2025'!G130</f>
        <v>0</v>
      </c>
      <c r="H3258" s="3">
        <f>'[1]APR 2025'!H130</f>
        <v>880</v>
      </c>
    </row>
    <row r="3259" spans="1:8" x14ac:dyDescent="0.2">
      <c r="A3259" s="20">
        <f>'[1]APR 2025'!A131</f>
        <v>45766</v>
      </c>
      <c r="B3259" s="12" t="str">
        <f>'[1]APR 2025'!B131</f>
        <v>LM</v>
      </c>
      <c r="C3259" s="3">
        <f>'[1]APR 2025'!C131</f>
        <v>0</v>
      </c>
      <c r="D3259" s="3">
        <f>'[1]APR 2025'!D131</f>
        <v>0</v>
      </c>
      <c r="E3259" s="3">
        <f>'[1]APR 2025'!E131</f>
        <v>0</v>
      </c>
      <c r="F3259" s="3">
        <f>'[1]APR 2025'!F131</f>
        <v>0</v>
      </c>
      <c r="G3259" s="3">
        <f>'[1]APR 2025'!G131</f>
        <v>0</v>
      </c>
      <c r="H3259" s="3">
        <f>'[1]APR 2025'!H131</f>
        <v>1647.13</v>
      </c>
    </row>
    <row r="3260" spans="1:8" x14ac:dyDescent="0.2">
      <c r="A3260" s="20">
        <f>'[1]APR 2025'!A135</f>
        <v>45767</v>
      </c>
      <c r="B3260" s="12" t="str">
        <f>'[1]APR 2025'!B135</f>
        <v>LM</v>
      </c>
      <c r="C3260" s="3">
        <f>'[1]APR 2025'!C135</f>
        <v>0</v>
      </c>
      <c r="D3260" s="3">
        <f>'[1]APR 2025'!D135</f>
        <v>0</v>
      </c>
      <c r="E3260" s="3">
        <f>'[1]APR 2025'!E135</f>
        <v>0</v>
      </c>
      <c r="F3260" s="3">
        <f>'[1]APR 2025'!F135</f>
        <v>0</v>
      </c>
      <c r="G3260" s="3">
        <f>'[1]APR 2025'!G135</f>
        <v>0</v>
      </c>
      <c r="H3260" s="3">
        <f>'[1]APR 2025'!H135</f>
        <v>1564.7400000000002</v>
      </c>
    </row>
    <row r="3261" spans="1:8" x14ac:dyDescent="0.2">
      <c r="A3261" s="23">
        <f>'[1]APR 2025'!A136</f>
        <v>45767</v>
      </c>
      <c r="B3261" s="12" t="str">
        <f>'[1]APR 2025'!B136</f>
        <v>VM</v>
      </c>
      <c r="C3261" s="3">
        <f>'[1]APR 2025'!C136</f>
        <v>0</v>
      </c>
      <c r="D3261" s="3">
        <f>'[1]APR 2025'!D136</f>
        <v>0</v>
      </c>
      <c r="E3261" s="3">
        <f>'[1]APR 2025'!E136</f>
        <v>0</v>
      </c>
      <c r="F3261" s="3">
        <f>'[1]APR 2025'!F136</f>
        <v>0</v>
      </c>
      <c r="G3261" s="3">
        <f>'[1]APR 2025'!G136</f>
        <v>0</v>
      </c>
      <c r="H3261" s="3">
        <f>'[1]APR 2025'!H136</f>
        <v>298</v>
      </c>
    </row>
    <row r="3262" spans="1:8" x14ac:dyDescent="0.2">
      <c r="A3262" s="20">
        <f>'[1]APR 2025'!A137</f>
        <v>45767</v>
      </c>
      <c r="B3262" s="12" t="str">
        <f>'[1]APR 2025'!B137</f>
        <v>Andere</v>
      </c>
      <c r="C3262" s="3">
        <f>'[1]APR 2025'!C137</f>
        <v>0</v>
      </c>
      <c r="D3262" s="3">
        <f>'[1]APR 2025'!D137</f>
        <v>0</v>
      </c>
      <c r="E3262" s="3">
        <f>'[1]APR 2025'!E137</f>
        <v>0</v>
      </c>
      <c r="F3262" s="3">
        <f>'[1]APR 2025'!F137</f>
        <v>0</v>
      </c>
      <c r="G3262" s="3">
        <f>'[1]APR 2025'!G137</f>
        <v>0</v>
      </c>
      <c r="H3262" s="3">
        <f>'[1]APR 2025'!H137</f>
        <v>1190</v>
      </c>
    </row>
    <row r="3263" spans="1:8" x14ac:dyDescent="0.2">
      <c r="A3263" s="23">
        <f>'[1]APR 2025'!A138</f>
        <v>45767</v>
      </c>
      <c r="B3263" s="12" t="str">
        <f>'[1]APR 2025'!B138</f>
        <v>none</v>
      </c>
      <c r="C3263" s="3">
        <f>'[1]APR 2025'!C138</f>
        <v>0</v>
      </c>
      <c r="D3263" s="3">
        <f>'[1]APR 2025'!D138</f>
        <v>0</v>
      </c>
      <c r="E3263" s="3">
        <f>'[1]APR 2025'!E138</f>
        <v>0</v>
      </c>
      <c r="F3263" s="3">
        <f>'[1]APR 2025'!F138</f>
        <v>0</v>
      </c>
      <c r="G3263" s="3">
        <f>'[1]APR 2025'!G138</f>
        <v>0</v>
      </c>
      <c r="H3263" s="3">
        <f>'[1]APR 2025'!H138</f>
        <v>206.36</v>
      </c>
    </row>
    <row r="3264" spans="1:8" x14ac:dyDescent="0.2">
      <c r="A3264" s="23">
        <f>'[1]APR 2025'!A142</f>
        <v>45768</v>
      </c>
      <c r="B3264" s="12" t="str">
        <f>'[1]APR 2025'!B142</f>
        <v>Andere</v>
      </c>
      <c r="C3264" s="3">
        <f>'[1]APR 2025'!C142</f>
        <v>0</v>
      </c>
      <c r="D3264" s="3">
        <f>'[1]APR 2025'!D142</f>
        <v>0</v>
      </c>
      <c r="E3264" s="3">
        <f>'[1]APR 2025'!E142</f>
        <v>0</v>
      </c>
      <c r="F3264" s="3">
        <f>'[1]APR 2025'!F142</f>
        <v>0</v>
      </c>
      <c r="G3264" s="3">
        <f>'[1]APR 2025'!G142</f>
        <v>0</v>
      </c>
      <c r="H3264" s="3">
        <f>'[1]APR 2025'!H142</f>
        <v>1792</v>
      </c>
    </row>
    <row r="3265" spans="1:8" x14ac:dyDescent="0.2">
      <c r="A3265" s="20">
        <f>'[1]APR 2025'!A143</f>
        <v>45768</v>
      </c>
      <c r="B3265" s="12" t="str">
        <f>'[1]APR 2025'!B143</f>
        <v>LM</v>
      </c>
      <c r="C3265" s="3">
        <f>'[1]APR 2025'!C143</f>
        <v>0</v>
      </c>
      <c r="D3265" s="3">
        <f>'[1]APR 2025'!D143</f>
        <v>0</v>
      </c>
      <c r="E3265" s="3">
        <f>'[1]APR 2025'!E143</f>
        <v>0</v>
      </c>
      <c r="F3265" s="3">
        <f>'[1]APR 2025'!F143</f>
        <v>0</v>
      </c>
      <c r="G3265" s="3">
        <f>'[1]APR 2025'!G143</f>
        <v>0</v>
      </c>
      <c r="H3265" s="3">
        <f>'[1]APR 2025'!H143</f>
        <v>1805.8700000000001</v>
      </c>
    </row>
    <row r="3266" spans="1:8" x14ac:dyDescent="0.2">
      <c r="A3266" s="20">
        <f>'[1]APR 2025'!A149</f>
        <v>45769</v>
      </c>
      <c r="B3266" s="12" t="str">
        <f>'[1]APR 2025'!B149</f>
        <v>LM</v>
      </c>
      <c r="C3266" s="3">
        <f>'[1]APR 2025'!C149</f>
        <v>0</v>
      </c>
      <c r="D3266" s="3">
        <f>'[1]APR 2025'!D149</f>
        <v>0</v>
      </c>
      <c r="E3266" s="3">
        <f>'[1]APR 2025'!E149</f>
        <v>0</v>
      </c>
      <c r="F3266" s="3">
        <f>'[1]APR 2025'!F149</f>
        <v>0</v>
      </c>
      <c r="G3266" s="3">
        <f>'[1]APR 2025'!G149</f>
        <v>0</v>
      </c>
      <c r="H3266" s="3">
        <f>'[1]APR 2025'!H149</f>
        <v>776.95</v>
      </c>
    </row>
    <row r="3267" spans="1:8" x14ac:dyDescent="0.2">
      <c r="A3267" s="23">
        <f>'[1]APR 2025'!A150</f>
        <v>45769</v>
      </c>
      <c r="B3267" s="12" t="str">
        <f>'[1]APR 2025'!B150</f>
        <v>Rauchen</v>
      </c>
      <c r="C3267" s="3">
        <f>'[1]APR 2025'!C150</f>
        <v>0</v>
      </c>
      <c r="D3267" s="3">
        <f>'[1]APR 2025'!D150</f>
        <v>0</v>
      </c>
      <c r="E3267" s="3">
        <f>'[1]APR 2025'!E150</f>
        <v>0</v>
      </c>
      <c r="F3267" s="3">
        <f>'[1]APR 2025'!F150</f>
        <v>0</v>
      </c>
      <c r="G3267" s="3">
        <f>'[1]APR 2025'!G150</f>
        <v>0</v>
      </c>
      <c r="H3267" s="3">
        <f>'[1]APR 2025'!H150</f>
        <v>200</v>
      </c>
    </row>
    <row r="3268" spans="1:8" x14ac:dyDescent="0.2">
      <c r="A3268" s="23">
        <f>'[1]APR 2025'!A156</f>
        <v>45770</v>
      </c>
      <c r="B3268" s="12" t="str">
        <f>'[1]APR 2025'!B156</f>
        <v>LM</v>
      </c>
      <c r="C3268" s="3">
        <f>'[1]APR 2025'!C156</f>
        <v>0</v>
      </c>
      <c r="D3268" s="3">
        <f>'[1]APR 2025'!D156</f>
        <v>0</v>
      </c>
      <c r="E3268" s="3">
        <f>'[1]APR 2025'!E156</f>
        <v>0</v>
      </c>
      <c r="F3268" s="3">
        <f>'[1]APR 2025'!F156</f>
        <v>0</v>
      </c>
      <c r="G3268" s="3">
        <f>'[1]APR 2025'!G156</f>
        <v>0</v>
      </c>
      <c r="H3268" s="3">
        <f>'[1]APR 2025'!H156</f>
        <v>1407.54</v>
      </c>
    </row>
    <row r="3269" spans="1:8" x14ac:dyDescent="0.2">
      <c r="A3269" s="20">
        <f>'[1]APR 2025'!A163</f>
        <v>45771</v>
      </c>
      <c r="B3269" s="12" t="str">
        <f>'[1]APR 2025'!B163</f>
        <v>Andere</v>
      </c>
      <c r="C3269" s="3">
        <f>'[1]APR 2025'!C163</f>
        <v>0</v>
      </c>
      <c r="D3269" s="3">
        <f>'[1]APR 2025'!D163</f>
        <v>0</v>
      </c>
      <c r="E3269" s="3">
        <f>'[1]APR 2025'!E163</f>
        <v>0</v>
      </c>
      <c r="F3269" s="3">
        <f>'[1]APR 2025'!F163</f>
        <v>0</v>
      </c>
      <c r="G3269" s="3">
        <f>'[1]APR 2025'!G163</f>
        <v>0</v>
      </c>
      <c r="H3269" s="3">
        <f>'[1]APR 2025'!H163</f>
        <v>993</v>
      </c>
    </row>
    <row r="3270" spans="1:8" x14ac:dyDescent="0.2">
      <c r="A3270" s="23">
        <f>'[1]APR 2025'!A164</f>
        <v>45771</v>
      </c>
      <c r="B3270" s="12" t="str">
        <f>'[1]APR 2025'!B164</f>
        <v>VM</v>
      </c>
      <c r="C3270" s="3">
        <f>'[1]APR 2025'!C164</f>
        <v>0</v>
      </c>
      <c r="D3270" s="3">
        <f>'[1]APR 2025'!D164</f>
        <v>0</v>
      </c>
      <c r="E3270" s="3">
        <f>'[1]APR 2025'!E164</f>
        <v>0</v>
      </c>
      <c r="F3270" s="3">
        <f>'[1]APR 2025'!F164</f>
        <v>0</v>
      </c>
      <c r="G3270" s="3">
        <f>'[1]APR 2025'!G164</f>
        <v>0</v>
      </c>
      <c r="H3270" s="3">
        <f>'[1]APR 2025'!H164</f>
        <v>234</v>
      </c>
    </row>
    <row r="3271" spans="1:8" x14ac:dyDescent="0.2">
      <c r="A3271" s="20">
        <f>'[1]APR 2025'!A165</f>
        <v>45771</v>
      </c>
      <c r="B3271" s="12" t="str">
        <f>'[1]APR 2025'!B165</f>
        <v>LM</v>
      </c>
      <c r="C3271" s="3">
        <f>'[1]APR 2025'!C165</f>
        <v>0</v>
      </c>
      <c r="D3271" s="3">
        <f>'[1]APR 2025'!D165</f>
        <v>0</v>
      </c>
      <c r="E3271" s="3">
        <f>'[1]APR 2025'!E165</f>
        <v>0</v>
      </c>
      <c r="F3271" s="3">
        <f>'[1]APR 2025'!F165</f>
        <v>0</v>
      </c>
      <c r="G3271" s="3">
        <f>'[1]APR 2025'!G165</f>
        <v>0</v>
      </c>
      <c r="H3271" s="3">
        <f>'[1]APR 2025'!H165</f>
        <v>369.99</v>
      </c>
    </row>
    <row r="3272" spans="1:8" x14ac:dyDescent="0.2">
      <c r="A3272" s="23">
        <f>'[1]APR 2025'!A166</f>
        <v>45771</v>
      </c>
      <c r="B3272" s="12" t="str">
        <f>'[1]APR 2025'!B166</f>
        <v>Frauen</v>
      </c>
      <c r="C3272" s="3">
        <f>'[1]APR 2025'!C166</f>
        <v>0</v>
      </c>
      <c r="D3272" s="3">
        <f>'[1]APR 2025'!D166</f>
        <v>0</v>
      </c>
      <c r="E3272" s="3">
        <f>'[1]APR 2025'!E166</f>
        <v>0</v>
      </c>
      <c r="F3272" s="3">
        <f>'[1]APR 2025'!F166</f>
        <v>0</v>
      </c>
      <c r="G3272" s="3">
        <f>'[1]APR 2025'!G166</f>
        <v>0</v>
      </c>
      <c r="H3272" s="3">
        <f>'[1]APR 2025'!H166</f>
        <v>1327.3</v>
      </c>
    </row>
    <row r="3273" spans="1:8" x14ac:dyDescent="0.2">
      <c r="A3273" s="20">
        <f>'[1]APR 2025'!A167</f>
        <v>45771</v>
      </c>
      <c r="B3273" s="12" t="str">
        <f>'[1]APR 2025'!B167</f>
        <v>Refill</v>
      </c>
      <c r="C3273" s="3">
        <f>'[1]APR 2025'!C167</f>
        <v>0</v>
      </c>
      <c r="D3273" s="3">
        <f>'[1]APR 2025'!D167</f>
        <v>0</v>
      </c>
      <c r="E3273" s="3">
        <f>'[1]APR 2025'!E167</f>
        <v>0</v>
      </c>
      <c r="F3273" s="3">
        <f>'[1]APR 2025'!F167</f>
        <v>0</v>
      </c>
      <c r="G3273" s="3">
        <f>'[1]APR 2025'!G167</f>
        <v>30700</v>
      </c>
      <c r="H3273" s="3">
        <f>'[1]APR 2025'!H167</f>
        <v>0</v>
      </c>
    </row>
    <row r="3274" spans="1:8" x14ac:dyDescent="0.2">
      <c r="A3274" s="23">
        <f>'[1]APR 2025'!A170</f>
        <v>45772</v>
      </c>
      <c r="B3274" s="12" t="str">
        <f>'[1]APR 2025'!B170</f>
        <v>LM</v>
      </c>
      <c r="C3274" s="3">
        <f>'[1]APR 2025'!C170</f>
        <v>0</v>
      </c>
      <c r="D3274" s="3">
        <f>'[1]APR 2025'!D170</f>
        <v>0</v>
      </c>
      <c r="E3274" s="3">
        <f>'[1]APR 2025'!E170</f>
        <v>0</v>
      </c>
      <c r="F3274" s="3">
        <f>'[1]APR 2025'!F170</f>
        <v>0</v>
      </c>
      <c r="G3274" s="3">
        <f>'[1]APR 2025'!G170</f>
        <v>0</v>
      </c>
      <c r="H3274" s="3">
        <f>'[1]APR 2025'!H170</f>
        <v>1777.12</v>
      </c>
    </row>
    <row r="3275" spans="1:8" x14ac:dyDescent="0.2">
      <c r="A3275" s="20">
        <f>'[1]APR 2025'!A171</f>
        <v>45772</v>
      </c>
      <c r="B3275" s="12" t="str">
        <f>'[1]APR 2025'!B171</f>
        <v>Refill</v>
      </c>
      <c r="C3275" s="3">
        <f>'[1]APR 2025'!C171</f>
        <v>0</v>
      </c>
      <c r="D3275" s="3">
        <f>'[1]APR 2025'!D171</f>
        <v>0</v>
      </c>
      <c r="E3275" s="3">
        <f>'[1]APR 2025'!E171</f>
        <v>0</v>
      </c>
      <c r="F3275" s="3">
        <f>'[1]APR 2025'!F171</f>
        <v>0</v>
      </c>
      <c r="G3275" s="3">
        <f>'[1]APR 2025'!G171</f>
        <v>115557.5</v>
      </c>
      <c r="H3275" s="3">
        <f>'[1]APR 2025'!H171</f>
        <v>0</v>
      </c>
    </row>
    <row r="3276" spans="1:8" x14ac:dyDescent="0.2">
      <c r="A3276" s="23">
        <f>'[1]APR 2025'!A172</f>
        <v>45772</v>
      </c>
      <c r="B3276" s="12" t="str">
        <f>'[1]APR 2025'!B172</f>
        <v>Rauchen</v>
      </c>
      <c r="C3276" s="3">
        <f>'[1]APR 2025'!C172</f>
        <v>0</v>
      </c>
      <c r="D3276" s="3">
        <f>'[1]APR 2025'!D172</f>
        <v>0</v>
      </c>
      <c r="E3276" s="3">
        <f>'[1]APR 2025'!E172</f>
        <v>0</v>
      </c>
      <c r="F3276" s="3">
        <f>'[1]APR 2025'!F172</f>
        <v>0</v>
      </c>
      <c r="G3276" s="3">
        <f>'[1]APR 2025'!G172</f>
        <v>0</v>
      </c>
      <c r="H3276" s="3">
        <f>'[1]APR 2025'!H172</f>
        <v>200</v>
      </c>
    </row>
    <row r="3277" spans="1:8" x14ac:dyDescent="0.2">
      <c r="A3277" s="20">
        <f>'[1]APR 2025'!A173</f>
        <v>45772</v>
      </c>
      <c r="B3277" s="12" t="str">
        <f>'[1]APR 2025'!B173</f>
        <v>Refill</v>
      </c>
      <c r="C3277" s="3">
        <f>'[1]APR 2025'!C173</f>
        <v>0</v>
      </c>
      <c r="D3277" s="3">
        <f>'[1]APR 2025'!D173</f>
        <v>0</v>
      </c>
      <c r="E3277" s="3">
        <f>'[1]APR 2025'!E173</f>
        <v>0</v>
      </c>
      <c r="F3277" s="3">
        <f>'[1]APR 2025'!F173</f>
        <v>0</v>
      </c>
      <c r="G3277" s="3">
        <f>'[1]APR 2025'!G173</f>
        <v>24078.080000000002</v>
      </c>
      <c r="H3277" s="3">
        <f>'[1]APR 2025'!H173</f>
        <v>0</v>
      </c>
    </row>
    <row r="3278" spans="1:8" x14ac:dyDescent="0.2">
      <c r="A3278" s="23">
        <f>'[1]APR 2025'!A174</f>
        <v>45772</v>
      </c>
      <c r="B3278" s="12" t="str">
        <f>'[1]APR 2025'!B174</f>
        <v>Refill</v>
      </c>
      <c r="C3278" s="3">
        <f>'[1]APR 2025'!C174</f>
        <v>0</v>
      </c>
      <c r="D3278" s="3">
        <f>'[1]APR 2025'!D174</f>
        <v>0</v>
      </c>
      <c r="E3278" s="3">
        <f>'[1]APR 2025'!E174</f>
        <v>0</v>
      </c>
      <c r="F3278" s="3">
        <f>'[1]APR 2025'!F174</f>
        <v>0</v>
      </c>
      <c r="G3278" s="3">
        <f>'[1]APR 2025'!G174</f>
        <v>4047.92</v>
      </c>
      <c r="H3278" s="3">
        <f>'[1]APR 2025'!H174</f>
        <v>0</v>
      </c>
    </row>
    <row r="3279" spans="1:8" x14ac:dyDescent="0.2">
      <c r="A3279" s="20">
        <f>'[1]APR 2025'!A177</f>
        <v>45773</v>
      </c>
      <c r="B3279" s="12" t="str">
        <f>'[1]APR 2025'!B177</f>
        <v>Party</v>
      </c>
      <c r="C3279" s="3">
        <f>'[1]APR 2025'!C177</f>
        <v>0</v>
      </c>
      <c r="D3279" s="3">
        <f>'[1]APR 2025'!D177</f>
        <v>0</v>
      </c>
      <c r="E3279" s="3">
        <f>'[1]APR 2025'!E177</f>
        <v>0</v>
      </c>
      <c r="F3279" s="3">
        <f>'[1]APR 2025'!F177</f>
        <v>0</v>
      </c>
      <c r="G3279" s="3">
        <f>'[1]APR 2025'!G177</f>
        <v>0</v>
      </c>
      <c r="H3279" s="3">
        <f>'[1]APR 2025'!H177</f>
        <v>1500</v>
      </c>
    </row>
    <row r="3280" spans="1:8" x14ac:dyDescent="0.2">
      <c r="A3280" s="23">
        <f>'[1]APR 2025'!A178</f>
        <v>45773</v>
      </c>
      <c r="B3280" s="12" t="str">
        <f>'[1]APR 2025'!B178</f>
        <v>LM</v>
      </c>
      <c r="C3280" s="3">
        <f>'[1]APR 2025'!C178</f>
        <v>0</v>
      </c>
      <c r="D3280" s="3">
        <f>'[1]APR 2025'!D178</f>
        <v>0</v>
      </c>
      <c r="E3280" s="3">
        <f>'[1]APR 2025'!E178</f>
        <v>0</v>
      </c>
      <c r="F3280" s="3">
        <f>'[1]APR 2025'!F178</f>
        <v>0</v>
      </c>
      <c r="G3280" s="3">
        <f>'[1]APR 2025'!G178</f>
        <v>0</v>
      </c>
      <c r="H3280" s="3">
        <f>'[1]APR 2025'!H178</f>
        <v>1036.5</v>
      </c>
    </row>
    <row r="3281" spans="1:8" x14ac:dyDescent="0.2">
      <c r="A3281" s="23">
        <f>'[1]APR 2025'!A184</f>
        <v>45774</v>
      </c>
      <c r="B3281" s="12" t="str">
        <f>'[1]APR 2025'!B184</f>
        <v>LM</v>
      </c>
      <c r="C3281" s="3">
        <f>'[1]APR 2025'!C184</f>
        <v>0</v>
      </c>
      <c r="D3281" s="3">
        <f>'[1]APR 2025'!D184</f>
        <v>0</v>
      </c>
      <c r="E3281" s="3">
        <f>'[1]APR 2025'!E184</f>
        <v>0</v>
      </c>
      <c r="F3281" s="3">
        <f>'[1]APR 2025'!F184</f>
        <v>0</v>
      </c>
      <c r="G3281" s="3">
        <f>'[1]APR 2025'!G184</f>
        <v>0</v>
      </c>
      <c r="H3281" s="3">
        <f>'[1]APR 2025'!H184</f>
        <v>3568.79</v>
      </c>
    </row>
    <row r="3282" spans="1:8" x14ac:dyDescent="0.2">
      <c r="A3282" s="23">
        <f>'[1]APR 2025'!A198</f>
        <v>45776</v>
      </c>
      <c r="B3282" s="12" t="str">
        <f>'[1]APR 2025'!B198</f>
        <v>Rauchen</v>
      </c>
      <c r="C3282" s="3">
        <f>'[1]APR 2025'!C198</f>
        <v>0</v>
      </c>
      <c r="D3282" s="3">
        <f>'[1]APR 2025'!D198</f>
        <v>0</v>
      </c>
      <c r="E3282" s="3">
        <f>'[1]APR 2025'!E198</f>
        <v>0</v>
      </c>
      <c r="F3282" s="3">
        <f>'[1]APR 2025'!F198</f>
        <v>0</v>
      </c>
      <c r="G3282" s="3">
        <f>'[1]APR 2025'!G198</f>
        <v>0</v>
      </c>
      <c r="H3282" s="3">
        <f>'[1]APR 2025'!H198</f>
        <v>200</v>
      </c>
    </row>
    <row r="3283" spans="1:8" x14ac:dyDescent="0.2">
      <c r="A3283" s="20">
        <f>'[1]APR 2025'!A199</f>
        <v>45776</v>
      </c>
      <c r="B3283" s="12" t="str">
        <f>'[1]APR 2025'!B199</f>
        <v>Andere</v>
      </c>
      <c r="C3283" s="3">
        <f>'[1]APR 2025'!C199</f>
        <v>0</v>
      </c>
      <c r="D3283" s="3">
        <f>'[1]APR 2025'!D199</f>
        <v>0</v>
      </c>
      <c r="E3283" s="3">
        <f>'[1]APR 2025'!E199</f>
        <v>0</v>
      </c>
      <c r="F3283" s="3">
        <f>'[1]APR 2025'!F199</f>
        <v>0</v>
      </c>
      <c r="G3283" s="3">
        <f>'[1]APR 2025'!G199</f>
        <v>0</v>
      </c>
      <c r="H3283" s="3">
        <f>'[1]APR 2025'!H199</f>
        <v>1836</v>
      </c>
    </row>
    <row r="3284" spans="1:8" x14ac:dyDescent="0.2">
      <c r="A3284" s="20">
        <f>'[1]APR 2025'!A205</f>
        <v>45777</v>
      </c>
      <c r="B3284" s="12" t="str">
        <f>'[1]APR 2025'!B205</f>
        <v>LM</v>
      </c>
      <c r="C3284" s="3">
        <f>'[1]APR 2025'!C205</f>
        <v>0</v>
      </c>
      <c r="D3284" s="3">
        <f>'[1]APR 2025'!D205</f>
        <v>0</v>
      </c>
      <c r="E3284" s="3">
        <f>'[1]APR 2025'!E205</f>
        <v>0</v>
      </c>
      <c r="F3284" s="3">
        <f>'[1]APR 2025'!F205</f>
        <v>0</v>
      </c>
      <c r="G3284" s="3">
        <f>'[1]APR 2025'!G205</f>
        <v>0</v>
      </c>
      <c r="H3284" s="3">
        <f>'[1]APR 2025'!H205</f>
        <v>1423.6399999999999</v>
      </c>
    </row>
    <row r="3285" spans="1:8" x14ac:dyDescent="0.2">
      <c r="A3285" s="23">
        <f>'[1]MAY 2025'!A2</f>
        <v>45778</v>
      </c>
      <c r="B3285" s="12" t="str">
        <f>'[1]MAY 2025'!B2</f>
        <v>LM</v>
      </c>
      <c r="C3285" s="3">
        <f>'[1]MAY 2025'!C2</f>
        <v>0</v>
      </c>
      <c r="D3285" s="3">
        <f>'[1]MAY 2025'!D2</f>
        <v>0</v>
      </c>
      <c r="E3285" s="3">
        <f>'[1]MAY 2025'!E2</f>
        <v>0</v>
      </c>
      <c r="F3285" s="3">
        <f>'[1]MAY 2025'!F2</f>
        <v>0</v>
      </c>
      <c r="G3285" s="3">
        <f>'[1]MAY 2025'!G2</f>
        <v>0</v>
      </c>
      <c r="H3285" s="3">
        <f>'[1]MAY 2025'!H2</f>
        <v>1554.8200000000002</v>
      </c>
    </row>
    <row r="3286" spans="1:8" x14ac:dyDescent="0.2">
      <c r="A3286" s="20">
        <f>'[1]MAY 2025'!A3</f>
        <v>45778</v>
      </c>
      <c r="B3286" s="12" t="str">
        <f>'[1]MAY 2025'!B3</f>
        <v>VM</v>
      </c>
      <c r="C3286" s="3">
        <f>'[1]MAY 2025'!C3</f>
        <v>0</v>
      </c>
      <c r="D3286" s="3">
        <f>'[1]MAY 2025'!D3</f>
        <v>0</v>
      </c>
      <c r="E3286" s="3">
        <f>'[1]MAY 2025'!E3</f>
        <v>0</v>
      </c>
      <c r="F3286" s="3">
        <f>'[1]MAY 2025'!F3</f>
        <v>0</v>
      </c>
      <c r="G3286" s="3">
        <f>'[1]MAY 2025'!G3</f>
        <v>0</v>
      </c>
      <c r="H3286" s="3">
        <f>'[1]MAY 2025'!H3</f>
        <v>1027</v>
      </c>
    </row>
    <row r="3287" spans="1:8" x14ac:dyDescent="0.2">
      <c r="A3287" s="23">
        <f>'[1]MAY 2025'!A4</f>
        <v>45778</v>
      </c>
      <c r="B3287" s="12" t="str">
        <f>'[1]MAY 2025'!B4</f>
        <v>Andere</v>
      </c>
      <c r="C3287" s="3">
        <f>'[1]MAY 2025'!C4</f>
        <v>0</v>
      </c>
      <c r="D3287" s="3">
        <f>'[1]MAY 2025'!D4</f>
        <v>0</v>
      </c>
      <c r="E3287" s="3">
        <f>'[1]MAY 2025'!E4</f>
        <v>0</v>
      </c>
      <c r="F3287" s="3">
        <f>'[1]MAY 2025'!F4</f>
        <v>0</v>
      </c>
      <c r="G3287" s="3">
        <f>'[1]MAY 2025'!G4</f>
        <v>0</v>
      </c>
      <c r="H3287" s="3">
        <f>'[1]MAY 2025'!H4</f>
        <v>990</v>
      </c>
    </row>
    <row r="3288" spans="1:8" x14ac:dyDescent="0.2">
      <c r="A3288" s="20">
        <f>'[1]MAY 2025'!A9</f>
        <v>45779</v>
      </c>
      <c r="B3288" s="12" t="str">
        <f>'[1]MAY 2025'!B9</f>
        <v>VM</v>
      </c>
      <c r="C3288" s="3">
        <f>'[1]MAY 2025'!C9</f>
        <v>0</v>
      </c>
      <c r="D3288" s="3">
        <f>'[1]MAY 2025'!D9</f>
        <v>0</v>
      </c>
      <c r="E3288" s="3">
        <f>'[1]MAY 2025'!E9</f>
        <v>0</v>
      </c>
      <c r="F3288" s="3">
        <f>'[1]MAY 2025'!F9</f>
        <v>0</v>
      </c>
      <c r="G3288" s="3">
        <f>'[1]MAY 2025'!G9</f>
        <v>0</v>
      </c>
      <c r="H3288" s="3">
        <f>'[1]MAY 2025'!H9</f>
        <v>679</v>
      </c>
    </row>
    <row r="3289" spans="1:8" x14ac:dyDescent="0.2">
      <c r="A3289" s="23">
        <f>'[1]MAY 2025'!A10</f>
        <v>45779</v>
      </c>
      <c r="B3289" s="12" t="str">
        <f>'[1]MAY 2025'!B10</f>
        <v>LM</v>
      </c>
      <c r="C3289" s="3">
        <f>'[1]MAY 2025'!C10</f>
        <v>0</v>
      </c>
      <c r="D3289" s="3">
        <f>'[1]MAY 2025'!D10</f>
        <v>0</v>
      </c>
      <c r="E3289" s="3">
        <f>'[1]MAY 2025'!E10</f>
        <v>0</v>
      </c>
      <c r="F3289" s="3">
        <f>'[1]MAY 2025'!F10</f>
        <v>0</v>
      </c>
      <c r="G3289" s="3">
        <f>'[1]MAY 2025'!G10</f>
        <v>0</v>
      </c>
      <c r="H3289" s="3">
        <f>'[1]MAY 2025'!H10</f>
        <v>344.98</v>
      </c>
    </row>
    <row r="3290" spans="1:8" x14ac:dyDescent="0.2">
      <c r="A3290" s="20">
        <f>'[1]MAY 2025'!A11</f>
        <v>45779</v>
      </c>
      <c r="B3290" s="12" t="str">
        <f>'[1]MAY 2025'!B11</f>
        <v>Frauen</v>
      </c>
      <c r="C3290" s="3">
        <f>'[1]MAY 2025'!C11</f>
        <v>0</v>
      </c>
      <c r="D3290" s="3">
        <f>'[1]MAY 2025'!D11</f>
        <v>0</v>
      </c>
      <c r="E3290" s="3">
        <f>'[1]MAY 2025'!E11</f>
        <v>0</v>
      </c>
      <c r="F3290" s="3">
        <f>'[1]MAY 2025'!F11</f>
        <v>0</v>
      </c>
      <c r="G3290" s="3">
        <f>'[1]MAY 2025'!G11</f>
        <v>0</v>
      </c>
      <c r="H3290" s="3">
        <f>'[1]MAY 2025'!H11</f>
        <v>2500</v>
      </c>
    </row>
    <row r="3291" spans="1:8" x14ac:dyDescent="0.2">
      <c r="A3291" s="23">
        <f>'[1]MAY 2025'!A16</f>
        <v>45780</v>
      </c>
      <c r="B3291" s="12" t="str">
        <f>'[1]MAY 2025'!B16</f>
        <v>Frauen</v>
      </c>
      <c r="C3291" s="3">
        <f>'[1]MAY 2025'!C16</f>
        <v>0</v>
      </c>
      <c r="D3291" s="3">
        <f>'[1]MAY 2025'!D16</f>
        <v>0</v>
      </c>
      <c r="E3291" s="3">
        <f>'[1]MAY 2025'!E16</f>
        <v>0</v>
      </c>
      <c r="F3291" s="3">
        <f>'[1]MAY 2025'!F16</f>
        <v>0</v>
      </c>
      <c r="G3291" s="3">
        <f>'[1]MAY 2025'!G16</f>
        <v>0</v>
      </c>
      <c r="H3291" s="3">
        <f>'[1]MAY 2025'!H16</f>
        <v>981.64</v>
      </c>
    </row>
    <row r="3292" spans="1:8" x14ac:dyDescent="0.2">
      <c r="A3292" s="20">
        <f>'[1]MAY 2025'!A17</f>
        <v>45780</v>
      </c>
      <c r="B3292" s="12" t="str">
        <f>'[1]MAY 2025'!B17</f>
        <v>Andere</v>
      </c>
      <c r="C3292" s="3">
        <f>'[1]MAY 2025'!C17</f>
        <v>0</v>
      </c>
      <c r="D3292" s="3">
        <f>'[1]MAY 2025'!D17</f>
        <v>0</v>
      </c>
      <c r="E3292" s="3">
        <f>'[1]MAY 2025'!E17</f>
        <v>0</v>
      </c>
      <c r="F3292" s="3">
        <f>'[1]MAY 2025'!F17</f>
        <v>0</v>
      </c>
      <c r="G3292" s="3">
        <f>'[1]MAY 2025'!G17</f>
        <v>0</v>
      </c>
      <c r="H3292" s="3">
        <f>'[1]MAY 2025'!H17</f>
        <v>618</v>
      </c>
    </row>
    <row r="3293" spans="1:8" x14ac:dyDescent="0.2">
      <c r="A3293" s="23">
        <f>'[1]MAY 2025'!A18</f>
        <v>45780</v>
      </c>
      <c r="B3293" s="12" t="str">
        <f>'[1]MAY 2025'!B18</f>
        <v>LM</v>
      </c>
      <c r="C3293" s="3">
        <f>'[1]MAY 2025'!C18</f>
        <v>0</v>
      </c>
      <c r="D3293" s="3">
        <f>'[1]MAY 2025'!D18</f>
        <v>0</v>
      </c>
      <c r="E3293" s="3">
        <f>'[1]MAY 2025'!E18</f>
        <v>0</v>
      </c>
      <c r="F3293" s="3">
        <f>'[1]MAY 2025'!F18</f>
        <v>0</v>
      </c>
      <c r="G3293" s="3">
        <f>'[1]MAY 2025'!G18</f>
        <v>0</v>
      </c>
      <c r="H3293" s="3">
        <f>'[1]MAY 2025'!H18</f>
        <v>2198.56</v>
      </c>
    </row>
    <row r="3294" spans="1:8" x14ac:dyDescent="0.2">
      <c r="A3294" s="20">
        <f>'[1]MAY 2025'!A19</f>
        <v>45780</v>
      </c>
      <c r="B3294" s="12" t="str">
        <f>'[1]MAY 2025'!B19</f>
        <v>VM</v>
      </c>
      <c r="C3294" s="3">
        <f>'[1]MAY 2025'!C19</f>
        <v>0</v>
      </c>
      <c r="D3294" s="3">
        <f>'[1]MAY 2025'!D19</f>
        <v>0</v>
      </c>
      <c r="E3294" s="3">
        <f>'[1]MAY 2025'!E19</f>
        <v>0</v>
      </c>
      <c r="F3294" s="3">
        <f>'[1]MAY 2025'!F19</f>
        <v>0</v>
      </c>
      <c r="G3294" s="3">
        <f>'[1]MAY 2025'!G19</f>
        <v>0</v>
      </c>
      <c r="H3294" s="3">
        <f>'[1]MAY 2025'!H19</f>
        <v>1432</v>
      </c>
    </row>
    <row r="3295" spans="1:8" x14ac:dyDescent="0.2">
      <c r="A3295" s="20">
        <f>'[1]MAY 2025'!A23</f>
        <v>45781</v>
      </c>
      <c r="B3295" s="12" t="str">
        <f>'[1]MAY 2025'!B23</f>
        <v>Andere</v>
      </c>
      <c r="C3295" s="3">
        <f>'[1]MAY 2025'!C23</f>
        <v>0</v>
      </c>
      <c r="D3295" s="3">
        <f>'[1]MAY 2025'!D23</f>
        <v>0</v>
      </c>
      <c r="E3295" s="3">
        <f>'[1]MAY 2025'!E23</f>
        <v>0</v>
      </c>
      <c r="F3295" s="3">
        <f>'[1]MAY 2025'!F23</f>
        <v>0</v>
      </c>
      <c r="G3295" s="3">
        <f>'[1]MAY 2025'!G23</f>
        <v>0</v>
      </c>
      <c r="H3295" s="3">
        <f>'[1]MAY 2025'!H23</f>
        <v>2500</v>
      </c>
    </row>
    <row r="3296" spans="1:8" x14ac:dyDescent="0.2">
      <c r="A3296" s="23">
        <f>'[1]MAY 2025'!A24</f>
        <v>45781</v>
      </c>
      <c r="B3296" s="12" t="str">
        <f>'[1]MAY 2025'!B24</f>
        <v>LM</v>
      </c>
      <c r="C3296" s="3">
        <f>'[1]MAY 2025'!C24</f>
        <v>0</v>
      </c>
      <c r="D3296" s="3">
        <f>'[1]MAY 2025'!D24</f>
        <v>0</v>
      </c>
      <c r="E3296" s="3">
        <f>'[1]MAY 2025'!E24</f>
        <v>0</v>
      </c>
      <c r="F3296" s="3">
        <f>'[1]MAY 2025'!F24</f>
        <v>0</v>
      </c>
      <c r="G3296" s="3">
        <f>'[1]MAY 2025'!G24</f>
        <v>0</v>
      </c>
      <c r="H3296" s="3">
        <f>'[1]MAY 2025'!H24</f>
        <v>1984.98</v>
      </c>
    </row>
    <row r="3297" spans="1:8" x14ac:dyDescent="0.2">
      <c r="A3297" s="20">
        <f>'[1]MAY 2025'!A25</f>
        <v>45781</v>
      </c>
      <c r="B3297" s="12" t="str">
        <f>'[1]MAY 2025'!B25</f>
        <v>Rauchen</v>
      </c>
      <c r="C3297" s="3">
        <f>'[1]MAY 2025'!C25</f>
        <v>0</v>
      </c>
      <c r="D3297" s="3">
        <f>'[1]MAY 2025'!D25</f>
        <v>0</v>
      </c>
      <c r="E3297" s="3">
        <f>'[1]MAY 2025'!E25</f>
        <v>0</v>
      </c>
      <c r="F3297" s="3">
        <f>'[1]MAY 2025'!F25</f>
        <v>0</v>
      </c>
      <c r="G3297" s="3">
        <f>'[1]MAY 2025'!G25</f>
        <v>0</v>
      </c>
      <c r="H3297" s="3">
        <f>'[1]MAY 2025'!H25</f>
        <v>200</v>
      </c>
    </row>
    <row r="3298" spans="1:8" x14ac:dyDescent="0.2">
      <c r="A3298" s="23">
        <f>'[1]MAY 2025'!A26</f>
        <v>45781</v>
      </c>
      <c r="B3298" s="12" t="str">
        <f>'[1]MAY 2025'!B26</f>
        <v>none</v>
      </c>
      <c r="C3298" s="3">
        <f>'[1]MAY 2025'!C26</f>
        <v>0</v>
      </c>
      <c r="D3298" s="3">
        <f>'[1]MAY 2025'!D26</f>
        <v>0</v>
      </c>
      <c r="E3298" s="3">
        <f>'[1]MAY 2025'!E26</f>
        <v>0</v>
      </c>
      <c r="F3298" s="3">
        <f>'[1]MAY 2025'!F26</f>
        <v>0</v>
      </c>
      <c r="G3298" s="3">
        <f>'[1]MAY 2025'!G26</f>
        <v>6000</v>
      </c>
      <c r="H3298" s="3">
        <f>'[1]MAY 2025'!H26</f>
        <v>0</v>
      </c>
    </row>
    <row r="3299" spans="1:8" x14ac:dyDescent="0.2">
      <c r="A3299" s="23">
        <f>'[1]MAY 2025'!A30</f>
        <v>45782</v>
      </c>
      <c r="B3299" s="12" t="str">
        <f>'[1]MAY 2025'!B30</f>
        <v>LM</v>
      </c>
      <c r="C3299" s="3">
        <f>'[1]MAY 2025'!C30</f>
        <v>0</v>
      </c>
      <c r="D3299" s="3">
        <f>'[1]MAY 2025'!D30</f>
        <v>0</v>
      </c>
      <c r="E3299" s="3">
        <f>'[1]MAY 2025'!E30</f>
        <v>0</v>
      </c>
      <c r="F3299" s="3">
        <f>'[1]MAY 2025'!F30</f>
        <v>0</v>
      </c>
      <c r="G3299" s="3">
        <f>'[1]MAY 2025'!G30</f>
        <v>0</v>
      </c>
      <c r="H3299" s="3">
        <f>'[1]MAY 2025'!H30</f>
        <v>4688.74</v>
      </c>
    </row>
    <row r="3300" spans="1:8" x14ac:dyDescent="0.2">
      <c r="A3300" s="20">
        <f>'[1]MAY 2025'!A37</f>
        <v>45783</v>
      </c>
      <c r="B3300" s="12" t="str">
        <f>'[1]MAY 2025'!B37</f>
        <v>LM</v>
      </c>
      <c r="C3300" s="3">
        <f>'[1]MAY 2025'!C37</f>
        <v>0</v>
      </c>
      <c r="D3300" s="3">
        <f>'[1]MAY 2025'!D37</f>
        <v>0</v>
      </c>
      <c r="E3300" s="3">
        <f>'[1]MAY 2025'!E37</f>
        <v>0</v>
      </c>
      <c r="F3300" s="3">
        <f>'[1]MAY 2025'!F37</f>
        <v>0</v>
      </c>
      <c r="G3300" s="3">
        <f>'[1]MAY 2025'!G37</f>
        <v>0</v>
      </c>
      <c r="H3300" s="3">
        <f>'[1]MAY 2025'!H37</f>
        <v>457.99</v>
      </c>
    </row>
    <row r="3301" spans="1:8" x14ac:dyDescent="0.2">
      <c r="A3301" s="23">
        <f>'[1]MAY 2025'!A38</f>
        <v>45783</v>
      </c>
      <c r="B3301" s="12" t="str">
        <f>'[1]MAY 2025'!B38</f>
        <v>Frauen</v>
      </c>
      <c r="C3301" s="3">
        <f>'[1]MAY 2025'!C38</f>
        <v>0</v>
      </c>
      <c r="D3301" s="3">
        <f>'[1]MAY 2025'!D38</f>
        <v>0</v>
      </c>
      <c r="E3301" s="3">
        <f>'[1]MAY 2025'!E38</f>
        <v>0</v>
      </c>
      <c r="F3301" s="3">
        <f>'[1]MAY 2025'!F38</f>
        <v>0</v>
      </c>
      <c r="G3301" s="3">
        <f>'[1]MAY 2025'!G38</f>
        <v>0</v>
      </c>
      <c r="H3301" s="3">
        <f>'[1]MAY 2025'!H38</f>
        <v>985</v>
      </c>
    </row>
    <row r="3302" spans="1:8" x14ac:dyDescent="0.2">
      <c r="A3302" s="20">
        <f>'[1]MAY 2025'!A39</f>
        <v>45783</v>
      </c>
      <c r="B3302" s="12" t="str">
        <f>'[1]MAY 2025'!B39</f>
        <v>VM</v>
      </c>
      <c r="C3302" s="3">
        <f>'[1]MAY 2025'!C39</f>
        <v>0</v>
      </c>
      <c r="D3302" s="3">
        <f>'[1]MAY 2025'!D39</f>
        <v>0</v>
      </c>
      <c r="E3302" s="3">
        <f>'[1]MAY 2025'!E39</f>
        <v>0</v>
      </c>
      <c r="F3302" s="3">
        <f>'[1]MAY 2025'!F39</f>
        <v>0</v>
      </c>
      <c r="G3302" s="3">
        <f>'[1]MAY 2025'!G39</f>
        <v>0</v>
      </c>
      <c r="H3302" s="3">
        <f>'[1]MAY 2025'!H39</f>
        <v>1177</v>
      </c>
    </row>
    <row r="3303" spans="1:8" x14ac:dyDescent="0.2">
      <c r="A3303" s="23">
        <f>'[1]MAY 2025'!A44</f>
        <v>45784</v>
      </c>
      <c r="B3303" s="12" t="str">
        <f>'[1]MAY 2025'!B44</f>
        <v>Refill</v>
      </c>
      <c r="C3303" s="3">
        <f>'[1]MAY 2025'!C44</f>
        <v>0</v>
      </c>
      <c r="D3303" s="3">
        <f>'[1]MAY 2025'!D44</f>
        <v>0</v>
      </c>
      <c r="E3303" s="3">
        <f>'[1]MAY 2025'!E44</f>
        <v>0</v>
      </c>
      <c r="F3303" s="3">
        <f>'[1]MAY 2025'!F44</f>
        <v>0</v>
      </c>
      <c r="G3303" s="3">
        <f>'[1]MAY 2025'!G44</f>
        <v>115557.5</v>
      </c>
      <c r="H3303" s="3">
        <f>'[1]MAY 2025'!H44</f>
        <v>0</v>
      </c>
    </row>
    <row r="3304" spans="1:8" x14ac:dyDescent="0.2">
      <c r="A3304" s="20">
        <f>'[1]MAY 2025'!A45</f>
        <v>45784</v>
      </c>
      <c r="B3304" s="12" t="str">
        <f>'[1]MAY 2025'!B45</f>
        <v>Andere</v>
      </c>
      <c r="C3304" s="3">
        <f>'[1]MAY 2025'!C45</f>
        <v>0</v>
      </c>
      <c r="D3304" s="3">
        <f>'[1]MAY 2025'!D45</f>
        <v>0</v>
      </c>
      <c r="E3304" s="3">
        <f>'[1]MAY 2025'!E45</f>
        <v>0</v>
      </c>
      <c r="F3304" s="3">
        <f>'[1]MAY 2025'!F45</f>
        <v>0</v>
      </c>
      <c r="G3304" s="3">
        <f>'[1]MAY 2025'!G45</f>
        <v>0</v>
      </c>
      <c r="H3304" s="3">
        <f>'[1]MAY 2025'!H45</f>
        <v>3850</v>
      </c>
    </row>
    <row r="3305" spans="1:8" x14ac:dyDescent="0.2">
      <c r="A3305" s="23">
        <f>'[1]MAY 2025'!A46</f>
        <v>45784</v>
      </c>
      <c r="B3305" s="12" t="str">
        <f>'[1]MAY 2025'!B46</f>
        <v>LM</v>
      </c>
      <c r="C3305" s="3">
        <f>'[1]MAY 2025'!C46</f>
        <v>0</v>
      </c>
      <c r="D3305" s="3">
        <f>'[1]MAY 2025'!D46</f>
        <v>0</v>
      </c>
      <c r="E3305" s="3">
        <f>'[1]MAY 2025'!E46</f>
        <v>0</v>
      </c>
      <c r="F3305" s="3">
        <f>'[1]MAY 2025'!F46</f>
        <v>0</v>
      </c>
      <c r="G3305" s="3">
        <f>'[1]MAY 2025'!G46</f>
        <v>0</v>
      </c>
      <c r="H3305" s="3">
        <f>'[1]MAY 2025'!H46</f>
        <v>2343.94</v>
      </c>
    </row>
    <row r="3306" spans="1:8" x14ac:dyDescent="0.2">
      <c r="A3306" s="20">
        <f>'[1]MAY 2025'!A47</f>
        <v>45784</v>
      </c>
      <c r="B3306" s="12" t="str">
        <f>'[1]MAY 2025'!B47</f>
        <v>none</v>
      </c>
      <c r="C3306" s="3">
        <f>'[1]MAY 2025'!C47</f>
        <v>0</v>
      </c>
      <c r="D3306" s="3">
        <f>'[1]MAY 2025'!D47</f>
        <v>0</v>
      </c>
      <c r="E3306" s="3">
        <f>'[1]MAY 2025'!E47</f>
        <v>0</v>
      </c>
      <c r="F3306" s="3">
        <f>'[1]MAY 2025'!F47</f>
        <v>0</v>
      </c>
      <c r="G3306" s="3">
        <f>'[1]MAY 2025'!G47</f>
        <v>0</v>
      </c>
      <c r="H3306" s="3">
        <f>'[1]MAY 2025'!H47</f>
        <v>360.32</v>
      </c>
    </row>
    <row r="3307" spans="1:8" x14ac:dyDescent="0.2">
      <c r="A3307" s="20">
        <f>'[1]MAY 2025'!A51</f>
        <v>45785</v>
      </c>
      <c r="B3307" s="12" t="str">
        <f>'[1]MAY 2025'!B51</f>
        <v>Rauchen</v>
      </c>
      <c r="C3307" s="3">
        <f>'[1]MAY 2025'!C51</f>
        <v>0</v>
      </c>
      <c r="D3307" s="3">
        <f>'[1]MAY 2025'!D51</f>
        <v>0</v>
      </c>
      <c r="E3307" s="3">
        <f>'[1]MAY 2025'!E51</f>
        <v>0</v>
      </c>
      <c r="F3307" s="3">
        <f>'[1]MAY 2025'!F51</f>
        <v>0</v>
      </c>
      <c r="G3307" s="3">
        <f>'[1]MAY 2025'!G51</f>
        <v>0</v>
      </c>
      <c r="H3307" s="3">
        <f>'[1]MAY 2025'!H51</f>
        <v>200</v>
      </c>
    </row>
    <row r="3308" spans="1:8" x14ac:dyDescent="0.2">
      <c r="A3308" s="23">
        <f>'[1]MAY 2025'!A58</f>
        <v>45786</v>
      </c>
      <c r="B3308" s="12" t="str">
        <f>'[1]MAY 2025'!B58</f>
        <v>VM</v>
      </c>
      <c r="C3308" s="3">
        <f>'[1]MAY 2025'!C58</f>
        <v>0</v>
      </c>
      <c r="D3308" s="3">
        <f>'[1]MAY 2025'!D58</f>
        <v>0</v>
      </c>
      <c r="E3308" s="3">
        <f>'[1]MAY 2025'!E58</f>
        <v>0</v>
      </c>
      <c r="F3308" s="3">
        <f>'[1]MAY 2025'!F58</f>
        <v>0</v>
      </c>
      <c r="G3308" s="3">
        <f>'[1]MAY 2025'!G58</f>
        <v>0</v>
      </c>
      <c r="H3308" s="3">
        <f>'[1]MAY 2025'!H58</f>
        <v>1672</v>
      </c>
    </row>
    <row r="3309" spans="1:8" x14ac:dyDescent="0.2">
      <c r="A3309" s="20">
        <f>'[1]MAY 2025'!A59</f>
        <v>45786</v>
      </c>
      <c r="B3309" s="12" t="str">
        <f>'[1]MAY 2025'!B59</f>
        <v>LM</v>
      </c>
      <c r="C3309" s="3">
        <f>'[1]MAY 2025'!C59</f>
        <v>0</v>
      </c>
      <c r="D3309" s="3">
        <f>'[1]MAY 2025'!D59</f>
        <v>0</v>
      </c>
      <c r="E3309" s="3">
        <f>'[1]MAY 2025'!E59</f>
        <v>0</v>
      </c>
      <c r="F3309" s="3">
        <f>'[1]MAY 2025'!F59</f>
        <v>0</v>
      </c>
      <c r="G3309" s="3">
        <f>'[1]MAY 2025'!G59</f>
        <v>0</v>
      </c>
      <c r="H3309" s="3">
        <f>'[1]MAY 2025'!H59</f>
        <v>1582.27</v>
      </c>
    </row>
    <row r="3310" spans="1:8" x14ac:dyDescent="0.2">
      <c r="A3310" s="23">
        <f>'[1]MAY 2025'!A60</f>
        <v>45786</v>
      </c>
      <c r="B3310" s="12" t="str">
        <f>'[1]MAY 2025'!B60</f>
        <v>LM</v>
      </c>
      <c r="C3310" s="3">
        <f>'[1]MAY 2025'!C60</f>
        <v>0</v>
      </c>
      <c r="D3310" s="3">
        <f>'[1]MAY 2025'!D60</f>
        <v>0</v>
      </c>
      <c r="E3310" s="3">
        <f>'[1]MAY 2025'!E60</f>
        <v>0</v>
      </c>
      <c r="F3310" s="3">
        <f>'[1]MAY 2025'!F60</f>
        <v>0</v>
      </c>
      <c r="G3310" s="3">
        <f>'[1]MAY 2025'!G60</f>
        <v>0</v>
      </c>
      <c r="H3310" s="3">
        <f>'[1]MAY 2025'!H60</f>
        <v>1576.1699999999998</v>
      </c>
    </row>
    <row r="3311" spans="1:8" x14ac:dyDescent="0.2">
      <c r="A3311" s="20">
        <f>'[1]MAY 2025'!A65</f>
        <v>45787</v>
      </c>
      <c r="B3311" s="12" t="str">
        <f>'[1]MAY 2025'!B65</f>
        <v>VM</v>
      </c>
      <c r="C3311" s="3">
        <f>'[1]MAY 2025'!C65</f>
        <v>0</v>
      </c>
      <c r="D3311" s="3">
        <f>'[1]MAY 2025'!D65</f>
        <v>0</v>
      </c>
      <c r="E3311" s="3">
        <f>'[1]MAY 2025'!E65</f>
        <v>0</v>
      </c>
      <c r="F3311" s="3">
        <f>'[1]MAY 2025'!F65</f>
        <v>0</v>
      </c>
      <c r="G3311" s="3">
        <f>'[1]MAY 2025'!G65</f>
        <v>0</v>
      </c>
      <c r="H3311" s="3">
        <f>'[1]MAY 2025'!H65</f>
        <v>140</v>
      </c>
    </row>
    <row r="3312" spans="1:8" x14ac:dyDescent="0.2">
      <c r="A3312" s="23">
        <f>'[1]MAY 2025'!A66</f>
        <v>45787</v>
      </c>
      <c r="B3312" s="12" t="str">
        <f>'[1]MAY 2025'!B66</f>
        <v>LM</v>
      </c>
      <c r="C3312" s="3">
        <f>'[1]MAY 2025'!C66</f>
        <v>0</v>
      </c>
      <c r="D3312" s="3">
        <f>'[1]MAY 2025'!D66</f>
        <v>0</v>
      </c>
      <c r="E3312" s="3">
        <f>'[1]MAY 2025'!E66</f>
        <v>0</v>
      </c>
      <c r="F3312" s="3">
        <f>'[1]MAY 2025'!F66</f>
        <v>0</v>
      </c>
      <c r="G3312" s="3">
        <f>'[1]MAY 2025'!G66</f>
        <v>0</v>
      </c>
      <c r="H3312" s="3">
        <f>'[1]MAY 2025'!H66</f>
        <v>3906.44</v>
      </c>
    </row>
    <row r="3313" spans="1:8" x14ac:dyDescent="0.2">
      <c r="A3313" s="23">
        <f>'[1]MAY 2025'!A72</f>
        <v>45788</v>
      </c>
      <c r="B3313" s="12" t="str">
        <f>'[1]MAY 2025'!B72</f>
        <v>Rauchen</v>
      </c>
      <c r="C3313" s="3">
        <f>'[1]MAY 2025'!C72</f>
        <v>0</v>
      </c>
      <c r="D3313" s="3">
        <f>'[1]MAY 2025'!D72</f>
        <v>0</v>
      </c>
      <c r="E3313" s="3">
        <f>'[1]MAY 2025'!E72</f>
        <v>0</v>
      </c>
      <c r="F3313" s="3">
        <f>'[1]MAY 2025'!F72</f>
        <v>0</v>
      </c>
      <c r="G3313" s="3">
        <f>'[1]MAY 2025'!G72</f>
        <v>0</v>
      </c>
      <c r="H3313" s="3">
        <f>'[1]MAY 2025'!H72</f>
        <v>200</v>
      </c>
    </row>
    <row r="3314" spans="1:8" x14ac:dyDescent="0.2">
      <c r="A3314" s="20">
        <f>'[1]MAY 2025'!A79</f>
        <v>45789</v>
      </c>
      <c r="B3314" s="12" t="str">
        <f>'[1]MAY 2025'!B79</f>
        <v>LM</v>
      </c>
      <c r="C3314" s="3">
        <f>'[1]MAY 2025'!C79</f>
        <v>0</v>
      </c>
      <c r="D3314" s="3">
        <f>'[1]MAY 2025'!D79</f>
        <v>0</v>
      </c>
      <c r="E3314" s="3">
        <f>'[1]MAY 2025'!E79</f>
        <v>0</v>
      </c>
      <c r="F3314" s="3">
        <f>'[1]MAY 2025'!F79</f>
        <v>0</v>
      </c>
      <c r="G3314" s="3">
        <f>'[1]MAY 2025'!G79</f>
        <v>0</v>
      </c>
      <c r="H3314" s="3">
        <f>'[1]MAY 2025'!H79</f>
        <v>300.88</v>
      </c>
    </row>
    <row r="3315" spans="1:8" x14ac:dyDescent="0.2">
      <c r="A3315" s="23">
        <f>'[1]MAY 2025'!A86</f>
        <v>45790</v>
      </c>
      <c r="B3315" s="12" t="str">
        <f>'[1]MAY 2025'!B86</f>
        <v>LM</v>
      </c>
      <c r="C3315" s="3">
        <f>'[1]MAY 2025'!C86</f>
        <v>0</v>
      </c>
      <c r="D3315" s="3">
        <f>'[1]MAY 2025'!D86</f>
        <v>0</v>
      </c>
      <c r="E3315" s="3">
        <f>'[1]MAY 2025'!E86</f>
        <v>0</v>
      </c>
      <c r="F3315" s="3">
        <f>'[1]MAY 2025'!F86</f>
        <v>0</v>
      </c>
      <c r="G3315" s="3">
        <f>'[1]MAY 2025'!G86</f>
        <v>0</v>
      </c>
      <c r="H3315" s="3">
        <f>'[1]MAY 2025'!H86</f>
        <v>1503</v>
      </c>
    </row>
    <row r="3316" spans="1:8" x14ac:dyDescent="0.2">
      <c r="A3316" s="20">
        <f>'[1]MAY 2025'!A87</f>
        <v>45790</v>
      </c>
      <c r="B3316" s="12" t="str">
        <f>'[1]MAY 2025'!B87</f>
        <v>VM</v>
      </c>
      <c r="C3316" s="3">
        <f>'[1]MAY 2025'!C87</f>
        <v>0</v>
      </c>
      <c r="D3316" s="3">
        <f>'[1]MAY 2025'!D87</f>
        <v>0</v>
      </c>
      <c r="E3316" s="3">
        <f>'[1]MAY 2025'!E87</f>
        <v>0</v>
      </c>
      <c r="F3316" s="3">
        <f>'[1]MAY 2025'!F87</f>
        <v>0</v>
      </c>
      <c r="G3316" s="3">
        <f>'[1]MAY 2025'!G87</f>
        <v>0</v>
      </c>
      <c r="H3316" s="3">
        <f>'[1]MAY 2025'!H87</f>
        <v>140</v>
      </c>
    </row>
    <row r="3317" spans="1:8" x14ac:dyDescent="0.2">
      <c r="A3317" s="20">
        <f>'[1]MAY 2025'!A93</f>
        <v>45791</v>
      </c>
      <c r="B3317" s="12" t="str">
        <f>'[1]MAY 2025'!B93</f>
        <v>Frauen</v>
      </c>
      <c r="C3317" s="3">
        <f>'[1]MAY 2025'!C93</f>
        <v>0</v>
      </c>
      <c r="D3317" s="3">
        <f>'[1]MAY 2025'!D93</f>
        <v>0</v>
      </c>
      <c r="E3317" s="3">
        <f>'[1]MAY 2025'!E93</f>
        <v>0</v>
      </c>
      <c r="F3317" s="3">
        <f>'[1]MAY 2025'!F93</f>
        <v>0</v>
      </c>
      <c r="G3317" s="3">
        <f>'[1]MAY 2025'!G93</f>
        <v>0</v>
      </c>
      <c r="H3317" s="3">
        <f>'[1]MAY 2025'!H93</f>
        <v>1000</v>
      </c>
    </row>
    <row r="3318" spans="1:8" x14ac:dyDescent="0.2">
      <c r="A3318" s="23">
        <f>'[1]MAY 2025'!A94</f>
        <v>45791</v>
      </c>
      <c r="B3318" s="12" t="str">
        <f>'[1]MAY 2025'!B94</f>
        <v>Rauchen</v>
      </c>
      <c r="C3318" s="3">
        <f>'[1]MAY 2025'!C94</f>
        <v>0</v>
      </c>
      <c r="D3318" s="3">
        <f>'[1]MAY 2025'!D94</f>
        <v>0</v>
      </c>
      <c r="E3318" s="3">
        <f>'[1]MAY 2025'!E94</f>
        <v>0</v>
      </c>
      <c r="F3318" s="3">
        <f>'[1]MAY 2025'!F94</f>
        <v>0</v>
      </c>
      <c r="G3318" s="3">
        <f>'[1]MAY 2025'!G94</f>
        <v>0</v>
      </c>
      <c r="H3318" s="3">
        <f>'[1]MAY 2025'!H94</f>
        <v>200</v>
      </c>
    </row>
    <row r="3319" spans="1:8" x14ac:dyDescent="0.2">
      <c r="A3319" s="20">
        <f>'[1]MAY 2025'!A95</f>
        <v>45791</v>
      </c>
      <c r="B3319" s="12" t="str">
        <f>'[1]MAY 2025'!B95</f>
        <v>LM</v>
      </c>
      <c r="C3319" s="3">
        <f>'[1]MAY 2025'!C95</f>
        <v>0</v>
      </c>
      <c r="D3319" s="3">
        <f>'[1]MAY 2025'!D95</f>
        <v>0</v>
      </c>
      <c r="E3319" s="3">
        <f>'[1]MAY 2025'!E95</f>
        <v>0</v>
      </c>
      <c r="F3319" s="3">
        <f>'[1]MAY 2025'!F95</f>
        <v>0</v>
      </c>
      <c r="G3319" s="3">
        <f>'[1]MAY 2025'!G95</f>
        <v>0</v>
      </c>
      <c r="H3319" s="3">
        <f>'[1]MAY 2025'!H95</f>
        <v>339.98</v>
      </c>
    </row>
    <row r="3320" spans="1:8" x14ac:dyDescent="0.2">
      <c r="A3320" s="23">
        <f>'[1]MAY 2025'!A100</f>
        <v>45792</v>
      </c>
      <c r="B3320" s="12" t="str">
        <f>'[1]MAY 2025'!B100</f>
        <v>VM</v>
      </c>
      <c r="C3320" s="3">
        <f>'[1]MAY 2025'!C100</f>
        <v>0</v>
      </c>
      <c r="D3320" s="3">
        <f>'[1]MAY 2025'!D100</f>
        <v>0</v>
      </c>
      <c r="E3320" s="3">
        <f>'[1]MAY 2025'!E100</f>
        <v>0</v>
      </c>
      <c r="F3320" s="3">
        <f>'[1]MAY 2025'!F100</f>
        <v>0</v>
      </c>
      <c r="G3320" s="3">
        <f>'[1]MAY 2025'!G100</f>
        <v>0</v>
      </c>
      <c r="H3320" s="3">
        <f>'[1]MAY 2025'!H100</f>
        <v>3728.26</v>
      </c>
    </row>
    <row r="3321" spans="1:8" x14ac:dyDescent="0.2">
      <c r="A3321" s="20">
        <f>'[1]MAY 2025'!A101</f>
        <v>45792</v>
      </c>
      <c r="B3321" s="12" t="str">
        <f>'[1]MAY 2025'!B101</f>
        <v>Andere</v>
      </c>
      <c r="C3321" s="3">
        <f>'[1]MAY 2025'!C101</f>
        <v>0</v>
      </c>
      <c r="D3321" s="3">
        <f>'[1]MAY 2025'!D101</f>
        <v>0</v>
      </c>
      <c r="E3321" s="3">
        <f>'[1]MAY 2025'!E101</f>
        <v>0</v>
      </c>
      <c r="F3321" s="3">
        <f>'[1]MAY 2025'!F101</f>
        <v>0</v>
      </c>
      <c r="G3321" s="3">
        <f>'[1]MAY 2025'!G101</f>
        <v>0</v>
      </c>
      <c r="H3321" s="3">
        <f>'[1]MAY 2025'!H101</f>
        <v>3000</v>
      </c>
    </row>
    <row r="3322" spans="1:8" x14ac:dyDescent="0.2">
      <c r="A3322" s="23">
        <f>'[1]MAY 2025'!A102</f>
        <v>45792</v>
      </c>
      <c r="B3322" s="12" t="str">
        <f>'[1]MAY 2025'!B102</f>
        <v>LM</v>
      </c>
      <c r="C3322" s="3">
        <f>'[1]MAY 2025'!C102</f>
        <v>0</v>
      </c>
      <c r="D3322" s="3">
        <f>'[1]MAY 2025'!D102</f>
        <v>0</v>
      </c>
      <c r="E3322" s="3">
        <f>'[1]MAY 2025'!E102</f>
        <v>0</v>
      </c>
      <c r="F3322" s="3">
        <f>'[1]MAY 2025'!F102</f>
        <v>0</v>
      </c>
      <c r="G3322" s="3">
        <f>'[1]MAY 2025'!G102</f>
        <v>0</v>
      </c>
      <c r="H3322" s="3">
        <f>'[1]MAY 2025'!H102</f>
        <v>339.96</v>
      </c>
    </row>
    <row r="3323" spans="1:8" x14ac:dyDescent="0.2">
      <c r="A3323" s="20">
        <f>'[1]MAY 2025'!A107</f>
        <v>45793</v>
      </c>
      <c r="B3323" s="12" t="str">
        <f>'[1]MAY 2025'!B107</f>
        <v>LM</v>
      </c>
      <c r="C3323" s="3">
        <f>'[1]MAY 2025'!C107</f>
        <v>0</v>
      </c>
      <c r="D3323" s="3">
        <f>'[1]MAY 2025'!D107</f>
        <v>0</v>
      </c>
      <c r="E3323" s="3">
        <f>'[1]MAY 2025'!E107</f>
        <v>0</v>
      </c>
      <c r="F3323" s="3">
        <f>'[1]MAY 2025'!F107</f>
        <v>0</v>
      </c>
      <c r="G3323" s="3">
        <f>'[1]MAY 2025'!G107</f>
        <v>0</v>
      </c>
      <c r="H3323" s="3">
        <f>'[1]MAY 2025'!H107</f>
        <v>706.89</v>
      </c>
    </row>
    <row r="3324" spans="1:8" x14ac:dyDescent="0.2">
      <c r="A3324" s="23">
        <f>'[1]MAY 2025'!A108</f>
        <v>45793</v>
      </c>
      <c r="B3324" s="12" t="str">
        <f>'[1]MAY 2025'!B108</f>
        <v>VM</v>
      </c>
      <c r="C3324" s="3">
        <f>'[1]MAY 2025'!C108</f>
        <v>0</v>
      </c>
      <c r="D3324" s="3">
        <f>'[1]MAY 2025'!D108</f>
        <v>0</v>
      </c>
      <c r="E3324" s="3">
        <f>'[1]MAY 2025'!E108</f>
        <v>0</v>
      </c>
      <c r="F3324" s="3">
        <f>'[1]MAY 2025'!F108</f>
        <v>0</v>
      </c>
      <c r="G3324" s="3">
        <f>'[1]MAY 2025'!G108</f>
        <v>0</v>
      </c>
      <c r="H3324" s="3">
        <f>'[1]MAY 2025'!H108</f>
        <v>70</v>
      </c>
    </row>
    <row r="3325" spans="1:8" x14ac:dyDescent="0.2">
      <c r="A3325" s="23">
        <f>'[1]MAY 2025'!A114</f>
        <v>45794</v>
      </c>
      <c r="B3325" s="12" t="str">
        <f>'[1]MAY 2025'!B114</f>
        <v>LM</v>
      </c>
      <c r="C3325" s="3">
        <f>'[1]MAY 2025'!C114</f>
        <v>0</v>
      </c>
      <c r="D3325" s="3">
        <f>'[1]MAY 2025'!D114</f>
        <v>0</v>
      </c>
      <c r="E3325" s="3">
        <f>'[1]MAY 2025'!E114</f>
        <v>0</v>
      </c>
      <c r="F3325" s="3">
        <f>'[1]MAY 2025'!F114</f>
        <v>0</v>
      </c>
      <c r="G3325" s="3">
        <f>'[1]MAY 2025'!G114</f>
        <v>0</v>
      </c>
      <c r="H3325" s="3">
        <f>'[1]MAY 2025'!H114</f>
        <v>2904.09</v>
      </c>
    </row>
    <row r="3326" spans="1:8" x14ac:dyDescent="0.2">
      <c r="A3326" s="20">
        <f>'[1]MAY 2025'!A121</f>
        <v>45795</v>
      </c>
      <c r="B3326" s="12" t="str">
        <f>'[1]MAY 2025'!B121</f>
        <v>LM</v>
      </c>
      <c r="C3326" s="3">
        <f>'[1]MAY 2025'!C121</f>
        <v>0</v>
      </c>
      <c r="D3326" s="3">
        <f>'[1]MAY 2025'!D121</f>
        <v>0</v>
      </c>
      <c r="E3326" s="3">
        <f>'[1]MAY 2025'!E121</f>
        <v>0</v>
      </c>
      <c r="F3326" s="3">
        <f>'[1]MAY 2025'!F121</f>
        <v>0</v>
      </c>
      <c r="G3326" s="3">
        <f>'[1]MAY 2025'!G121</f>
        <v>0</v>
      </c>
      <c r="H3326" s="3">
        <f>'[1]MAY 2025'!H121</f>
        <v>1688.54</v>
      </c>
    </row>
    <row r="3327" spans="1:8" x14ac:dyDescent="0.2">
      <c r="A3327" s="23">
        <f>'[1]MAY 2025'!A122</f>
        <v>45795</v>
      </c>
      <c r="B3327" s="12" t="str">
        <f>'[1]MAY 2025'!B122</f>
        <v>VM</v>
      </c>
      <c r="C3327" s="3">
        <f>'[1]MAY 2025'!C122</f>
        <v>0</v>
      </c>
      <c r="D3327" s="3">
        <f>'[1]MAY 2025'!D122</f>
        <v>0</v>
      </c>
      <c r="E3327" s="3">
        <f>'[1]MAY 2025'!E122</f>
        <v>0</v>
      </c>
      <c r="F3327" s="3">
        <f>'[1]MAY 2025'!F122</f>
        <v>0</v>
      </c>
      <c r="G3327" s="3">
        <f>'[1]MAY 2025'!G122</f>
        <v>0</v>
      </c>
      <c r="H3327" s="3">
        <f>'[1]MAY 2025'!H122</f>
        <v>210</v>
      </c>
    </row>
    <row r="3328" spans="1:8" x14ac:dyDescent="0.2">
      <c r="A3328" s="20">
        <f>'[1]MAY 2025'!A123</f>
        <v>45795</v>
      </c>
      <c r="B3328" s="12" t="str">
        <f>'[1]MAY 2025'!B123</f>
        <v>Andere</v>
      </c>
      <c r="C3328" s="3">
        <f>'[1]MAY 2025'!C123</f>
        <v>0</v>
      </c>
      <c r="D3328" s="3">
        <f>'[1]MAY 2025'!D123</f>
        <v>0</v>
      </c>
      <c r="E3328" s="3">
        <f>'[1]MAY 2025'!E123</f>
        <v>0</v>
      </c>
      <c r="F3328" s="3">
        <f>'[1]MAY 2025'!F123</f>
        <v>0</v>
      </c>
      <c r="G3328" s="3">
        <f>'[1]MAY 2025'!G123</f>
        <v>0</v>
      </c>
      <c r="H3328" s="3">
        <f>'[1]MAY 2025'!H123</f>
        <v>5150</v>
      </c>
    </row>
    <row r="3329" spans="1:8" x14ac:dyDescent="0.2">
      <c r="A3329" s="23">
        <f>'[1]MAY 2025'!A124</f>
        <v>45795</v>
      </c>
      <c r="B3329" s="12" t="str">
        <f>'[1]MAY 2025'!B124</f>
        <v>Refill</v>
      </c>
      <c r="C3329" s="3">
        <f>'[1]MAY 2025'!C124</f>
        <v>0</v>
      </c>
      <c r="D3329" s="3">
        <f>'[1]MAY 2025'!D124</f>
        <v>0</v>
      </c>
      <c r="E3329" s="3">
        <f>'[1]MAY 2025'!E124</f>
        <v>0</v>
      </c>
      <c r="F3329" s="3">
        <f>'[1]MAY 2025'!F124</f>
        <v>0</v>
      </c>
      <c r="G3329" s="3">
        <f>'[1]MAY 2025'!G124</f>
        <v>12000</v>
      </c>
      <c r="H3329" s="3">
        <f>'[1]MAY 2025'!H124</f>
        <v>0</v>
      </c>
    </row>
    <row r="3330" spans="1:8" x14ac:dyDescent="0.2">
      <c r="A3330" s="20">
        <f>'[1]MAY 2025'!A129</f>
        <v>45796</v>
      </c>
      <c r="B3330" s="12" t="str">
        <f>'[1]MAY 2025'!B129</f>
        <v>LM</v>
      </c>
      <c r="C3330" s="3">
        <f>'[1]MAY 2025'!C129</f>
        <v>0</v>
      </c>
      <c r="D3330" s="3">
        <f>'[1]MAY 2025'!D129</f>
        <v>0</v>
      </c>
      <c r="E3330" s="3">
        <f>'[1]MAY 2025'!E129</f>
        <v>0</v>
      </c>
      <c r="F3330" s="3">
        <f>'[1]MAY 2025'!F129</f>
        <v>0</v>
      </c>
      <c r="G3330" s="3">
        <f>'[1]MAY 2025'!G129</f>
        <v>0</v>
      </c>
      <c r="H3330" s="3">
        <f>'[1]MAY 2025'!H129</f>
        <v>5000</v>
      </c>
    </row>
    <row r="3331" spans="1:8" x14ac:dyDescent="0.2">
      <c r="A3331" s="23">
        <f>'[1]MAY 2025'!A130</f>
        <v>45796</v>
      </c>
      <c r="B3331" s="12" t="str">
        <f>'[1]MAY 2025'!B130</f>
        <v>Andere</v>
      </c>
      <c r="C3331" s="3">
        <f>'[1]MAY 2025'!C130</f>
        <v>0</v>
      </c>
      <c r="D3331" s="3">
        <f>'[1]MAY 2025'!D130</f>
        <v>0</v>
      </c>
      <c r="E3331" s="3">
        <f>'[1]MAY 2025'!E130</f>
        <v>0</v>
      </c>
      <c r="F3331" s="3">
        <f>'[1]MAY 2025'!F130</f>
        <v>0</v>
      </c>
      <c r="G3331" s="3">
        <f>'[1]MAY 2025'!G130</f>
        <v>0</v>
      </c>
      <c r="H3331" s="3">
        <f>'[1]MAY 2025'!H130</f>
        <v>130</v>
      </c>
    </row>
    <row r="3332" spans="1:8" x14ac:dyDescent="0.2">
      <c r="A3332" s="20">
        <f>'[1]MAY 2025'!A131</f>
        <v>45796</v>
      </c>
      <c r="B3332" s="12" t="str">
        <f>'[1]MAY 2025'!B131</f>
        <v>rent</v>
      </c>
      <c r="C3332" s="3">
        <f>'[1]MAY 2025'!C131</f>
        <v>0</v>
      </c>
      <c r="D3332" s="3">
        <f>'[1]MAY 2025'!D131</f>
        <v>0</v>
      </c>
      <c r="E3332" s="3">
        <f>'[1]MAY 2025'!E131</f>
        <v>0</v>
      </c>
      <c r="F3332" s="3">
        <f>'[1]MAY 2025'!F131</f>
        <v>0</v>
      </c>
      <c r="G3332" s="3">
        <f>'[1]MAY 2025'!G131</f>
        <v>0</v>
      </c>
      <c r="H3332" s="3">
        <f>'[1]MAY 2025'!H131</f>
        <v>55000</v>
      </c>
    </row>
    <row r="3333" spans="1:8" x14ac:dyDescent="0.2">
      <c r="A3333" s="20">
        <f>'[1]MAY 2025'!A135</f>
        <v>45797</v>
      </c>
      <c r="B3333" s="12" t="str">
        <f>'[1]MAY 2025'!B135</f>
        <v>Frauen</v>
      </c>
      <c r="C3333" s="3">
        <f>'[1]MAY 2025'!C135</f>
        <v>0</v>
      </c>
      <c r="D3333" s="3">
        <f>'[1]MAY 2025'!D135</f>
        <v>0</v>
      </c>
      <c r="E3333" s="3">
        <f>'[1]MAY 2025'!E135</f>
        <v>0</v>
      </c>
      <c r="F3333" s="3">
        <f>'[1]MAY 2025'!F135</f>
        <v>0</v>
      </c>
      <c r="G3333" s="3">
        <f>'[1]MAY 2025'!G135</f>
        <v>0</v>
      </c>
      <c r="H3333" s="3">
        <f>'[1]MAY 2025'!H135</f>
        <v>647</v>
      </c>
    </row>
    <row r="3334" spans="1:8" x14ac:dyDescent="0.2">
      <c r="A3334" s="20">
        <f>'[1]MAY 2025'!A149</f>
        <v>45799</v>
      </c>
      <c r="B3334" s="12" t="str">
        <f>'[1]MAY 2025'!B149</f>
        <v>Refill</v>
      </c>
      <c r="C3334" s="3">
        <f>'[1]MAY 2025'!C149</f>
        <v>0</v>
      </c>
      <c r="D3334" s="3">
        <f>'[1]MAY 2025'!D149</f>
        <v>0</v>
      </c>
      <c r="E3334" s="3">
        <f>'[1]MAY 2025'!E149</f>
        <v>0</v>
      </c>
      <c r="F3334" s="3">
        <f>'[1]MAY 2025'!F149</f>
        <v>0</v>
      </c>
      <c r="G3334" s="3">
        <f>'[1]MAY 2025'!G149</f>
        <v>256.8</v>
      </c>
      <c r="H3334" s="3">
        <f>'[1]MAY 2025'!H149</f>
        <v>0</v>
      </c>
    </row>
    <row r="3335" spans="1:8" x14ac:dyDescent="0.2">
      <c r="A3335" s="23">
        <f>'[1]MAY 2025'!A156</f>
        <v>45800</v>
      </c>
      <c r="B3335" s="12" t="str">
        <f>'[1]MAY 2025'!B156</f>
        <v>Frauen</v>
      </c>
      <c r="C3335" s="3">
        <f>'[1]MAY 2025'!C156</f>
        <v>0</v>
      </c>
      <c r="D3335" s="3">
        <f>'[1]MAY 2025'!D156</f>
        <v>0</v>
      </c>
      <c r="E3335" s="3">
        <f>'[1]MAY 2025'!E156</f>
        <v>0</v>
      </c>
      <c r="F3335" s="3">
        <f>'[1]MAY 2025'!F156</f>
        <v>0</v>
      </c>
      <c r="G3335" s="3">
        <f>'[1]MAY 2025'!G156</f>
        <v>0</v>
      </c>
      <c r="H3335" s="3">
        <f>'[1]MAY 2025'!H156</f>
        <v>2559.64</v>
      </c>
    </row>
    <row r="3336" spans="1:8" x14ac:dyDescent="0.2">
      <c r="A3336" s="20">
        <f>'[1]MAY 2025'!A157</f>
        <v>45800</v>
      </c>
      <c r="B3336" s="12" t="str">
        <f>'[1]MAY 2025'!B157</f>
        <v>LM</v>
      </c>
      <c r="C3336" s="3">
        <f>'[1]MAY 2025'!C157</f>
        <v>0</v>
      </c>
      <c r="D3336" s="3">
        <f>'[1]MAY 2025'!D157</f>
        <v>0</v>
      </c>
      <c r="E3336" s="3">
        <f>'[1]MAY 2025'!E157</f>
        <v>0</v>
      </c>
      <c r="F3336" s="3">
        <f>'[1]MAY 2025'!F157</f>
        <v>0</v>
      </c>
      <c r="G3336" s="3">
        <f>'[1]MAY 2025'!G157</f>
        <v>0</v>
      </c>
      <c r="H3336" s="3">
        <f>'[1]MAY 2025'!H157</f>
        <v>1300</v>
      </c>
    </row>
    <row r="3337" spans="1:8" x14ac:dyDescent="0.2">
      <c r="A3337" s="23">
        <f>'[1]MAY 2025'!A158</f>
        <v>45800</v>
      </c>
      <c r="B3337" s="12" t="str">
        <f>'[1]MAY 2025'!B158</f>
        <v>Refill</v>
      </c>
      <c r="C3337" s="3">
        <f>'[1]MAY 2025'!C158</f>
        <v>0</v>
      </c>
      <c r="D3337" s="3">
        <f>'[1]MAY 2025'!D158</f>
        <v>0</v>
      </c>
      <c r="E3337" s="3">
        <f>'[1]MAY 2025'!E158</f>
        <v>0</v>
      </c>
      <c r="F3337" s="3">
        <f>'[1]MAY 2025'!F158</f>
        <v>0</v>
      </c>
      <c r="G3337" s="3">
        <f>'[1]MAY 2025'!G158</f>
        <v>89878.720000000001</v>
      </c>
      <c r="H3337" s="3">
        <f>'[1]MAY 2025'!H158</f>
        <v>0</v>
      </c>
    </row>
    <row r="3338" spans="1:8" x14ac:dyDescent="0.2">
      <c r="A3338" s="23">
        <f>'[1]MAY 2025'!A164</f>
        <v>45801</v>
      </c>
      <c r="B3338" s="12" t="str">
        <f>'[1]MAY 2025'!B164</f>
        <v>VM</v>
      </c>
      <c r="C3338" s="3">
        <f>'[1]MAY 2025'!C164</f>
        <v>0</v>
      </c>
      <c r="D3338" s="3">
        <f>'[1]MAY 2025'!D164</f>
        <v>0</v>
      </c>
      <c r="E3338" s="3">
        <f>'[1]MAY 2025'!E164</f>
        <v>0</v>
      </c>
      <c r="F3338" s="3">
        <f>'[1]MAY 2025'!F164</f>
        <v>0</v>
      </c>
      <c r="G3338" s="3">
        <f>'[1]MAY 2025'!G164</f>
        <v>0</v>
      </c>
      <c r="H3338" s="3">
        <f>'[1]MAY 2025'!H164</f>
        <v>2640</v>
      </c>
    </row>
    <row r="3339" spans="1:8" x14ac:dyDescent="0.2">
      <c r="A3339" s="20">
        <f>'[1]MAY 2025'!A165</f>
        <v>45801</v>
      </c>
      <c r="B3339" s="12" t="str">
        <f>'[1]MAY 2025'!B165</f>
        <v>LM</v>
      </c>
      <c r="C3339" s="3">
        <f>'[1]MAY 2025'!C165</f>
        <v>0</v>
      </c>
      <c r="D3339" s="3">
        <f>'[1]MAY 2025'!D165</f>
        <v>0</v>
      </c>
      <c r="E3339" s="3">
        <f>'[1]MAY 2025'!E165</f>
        <v>0</v>
      </c>
      <c r="F3339" s="3">
        <f>'[1]MAY 2025'!F165</f>
        <v>0</v>
      </c>
      <c r="G3339" s="3">
        <f>'[1]MAY 2025'!G165</f>
        <v>0</v>
      </c>
      <c r="H3339" s="3">
        <f>'[1]MAY 2025'!H165</f>
        <v>1865</v>
      </c>
    </row>
    <row r="3340" spans="1:8" x14ac:dyDescent="0.2">
      <c r="A3340" s="23">
        <f>'[1]MAY 2025'!A166</f>
        <v>45801</v>
      </c>
      <c r="B3340" s="12" t="str">
        <f>'[1]MAY 2025'!B166</f>
        <v>Andere</v>
      </c>
      <c r="C3340" s="3">
        <f>'[1]MAY 2025'!C166</f>
        <v>0</v>
      </c>
      <c r="D3340" s="3">
        <f>'[1]MAY 2025'!D166</f>
        <v>0</v>
      </c>
      <c r="E3340" s="3">
        <f>'[1]MAY 2025'!E166</f>
        <v>0</v>
      </c>
      <c r="F3340" s="3">
        <f>'[1]MAY 2025'!F166</f>
        <v>0</v>
      </c>
      <c r="G3340" s="3">
        <f>'[1]MAY 2025'!G166</f>
        <v>0</v>
      </c>
      <c r="H3340" s="3">
        <f>'[1]MAY 2025'!H166</f>
        <v>6760</v>
      </c>
    </row>
    <row r="3341" spans="1:8" x14ac:dyDescent="0.2">
      <c r="A3341" s="20">
        <f>'[1]MAY 2025'!A167</f>
        <v>45801</v>
      </c>
      <c r="B3341" s="12" t="str">
        <f>'[1]MAY 2025'!B167</f>
        <v>LM</v>
      </c>
      <c r="C3341" s="3">
        <f>'[1]MAY 2025'!C167</f>
        <v>0</v>
      </c>
      <c r="D3341" s="3">
        <f>'[1]MAY 2025'!D167</f>
        <v>0</v>
      </c>
      <c r="E3341" s="3">
        <f>'[1]MAY 2025'!E167</f>
        <v>0</v>
      </c>
      <c r="F3341" s="3">
        <f>'[1]MAY 2025'!F167</f>
        <v>0</v>
      </c>
      <c r="G3341" s="3">
        <f>'[1]MAY 2025'!G167</f>
        <v>0</v>
      </c>
      <c r="H3341" s="3">
        <f>'[1]MAY 2025'!H167</f>
        <v>379.87</v>
      </c>
    </row>
    <row r="3342" spans="1:8" x14ac:dyDescent="0.2">
      <c r="A3342" s="23">
        <f>'[1]MAY 2025'!A170</f>
        <v>45802</v>
      </c>
      <c r="B3342" s="12" t="str">
        <f>'[1]MAY 2025'!B170</f>
        <v>Refill</v>
      </c>
      <c r="C3342" s="3">
        <f>'[1]MAY 2025'!C170</f>
        <v>0</v>
      </c>
      <c r="D3342" s="3">
        <f>'[1]MAY 2025'!D170</f>
        <v>0</v>
      </c>
      <c r="E3342" s="3">
        <f>'[1]MAY 2025'!E170</f>
        <v>0</v>
      </c>
      <c r="F3342" s="3">
        <f>'[1]MAY 2025'!F170</f>
        <v>0</v>
      </c>
      <c r="G3342" s="3">
        <f>'[1]MAY 2025'!G170</f>
        <v>29632.850000000002</v>
      </c>
      <c r="H3342" s="3">
        <f>'[1]MAY 2025'!H170</f>
        <v>0</v>
      </c>
    </row>
    <row r="3343" spans="1:8" x14ac:dyDescent="0.2">
      <c r="A3343" s="20">
        <f>'[1]MAY 2025'!A171</f>
        <v>45802</v>
      </c>
      <c r="B3343" s="12" t="str">
        <f>'[1]MAY 2025'!B171</f>
        <v>VM</v>
      </c>
      <c r="C3343" s="3">
        <f>'[1]MAY 2025'!C171</f>
        <v>0</v>
      </c>
      <c r="D3343" s="3">
        <f>'[1]MAY 2025'!D171</f>
        <v>0</v>
      </c>
      <c r="E3343" s="3">
        <f>'[1]MAY 2025'!E171</f>
        <v>0</v>
      </c>
      <c r="F3343" s="3">
        <f>'[1]MAY 2025'!F171</f>
        <v>0</v>
      </c>
      <c r="G3343" s="3">
        <f>'[1]MAY 2025'!G171</f>
        <v>0</v>
      </c>
      <c r="H3343" s="3">
        <f>'[1]MAY 2025'!H171</f>
        <v>1707</v>
      </c>
    </row>
    <row r="3344" spans="1:8" x14ac:dyDescent="0.2">
      <c r="A3344" s="23">
        <f>'[1]MAY 2025'!A172</f>
        <v>45802</v>
      </c>
      <c r="B3344" s="12" t="str">
        <f>'[1]MAY 2025'!B172</f>
        <v>Rauchen</v>
      </c>
      <c r="C3344" s="3">
        <f>'[1]MAY 2025'!C172</f>
        <v>0</v>
      </c>
      <c r="D3344" s="3">
        <f>'[1]MAY 2025'!D172</f>
        <v>0</v>
      </c>
      <c r="E3344" s="3">
        <f>'[1]MAY 2025'!E172</f>
        <v>0</v>
      </c>
      <c r="F3344" s="3">
        <f>'[1]MAY 2025'!F172</f>
        <v>0</v>
      </c>
      <c r="G3344" s="3">
        <f>'[1]MAY 2025'!G172</f>
        <v>0</v>
      </c>
      <c r="H3344" s="3">
        <f>'[1]MAY 2025'!H172</f>
        <v>200</v>
      </c>
    </row>
    <row r="3345" spans="1:8" x14ac:dyDescent="0.2">
      <c r="A3345" s="20">
        <f>'[1]MAY 2025'!A173</f>
        <v>45802</v>
      </c>
      <c r="B3345" s="12" t="str">
        <f>'[1]MAY 2025'!B173</f>
        <v>VM</v>
      </c>
      <c r="C3345" s="3">
        <f>'[1]MAY 2025'!C173</f>
        <v>0</v>
      </c>
      <c r="D3345" s="3">
        <f>'[1]MAY 2025'!D173</f>
        <v>0</v>
      </c>
      <c r="E3345" s="3">
        <f>'[1]MAY 2025'!E173</f>
        <v>0</v>
      </c>
      <c r="F3345" s="3">
        <f>'[1]MAY 2025'!F173</f>
        <v>0</v>
      </c>
      <c r="G3345" s="3">
        <f>'[1]MAY 2025'!G173</f>
        <v>0</v>
      </c>
      <c r="H3345" s="3">
        <f>'[1]MAY 2025'!H173</f>
        <v>140</v>
      </c>
    </row>
    <row r="3346" spans="1:8" x14ac:dyDescent="0.2">
      <c r="A3346" s="23">
        <f>'[1]MAY 2025'!A174</f>
        <v>45802</v>
      </c>
      <c r="B3346" s="12" t="str">
        <f>'[1]MAY 2025'!B174</f>
        <v>Frauen</v>
      </c>
      <c r="C3346" s="3">
        <f>'[1]MAY 2025'!C174</f>
        <v>0</v>
      </c>
      <c r="D3346" s="3">
        <f>'[1]MAY 2025'!D174</f>
        <v>0</v>
      </c>
      <c r="E3346" s="3">
        <f>'[1]MAY 2025'!E174</f>
        <v>0</v>
      </c>
      <c r="F3346" s="3">
        <f>'[1]MAY 2025'!F174</f>
        <v>0</v>
      </c>
      <c r="G3346" s="3">
        <f>'[1]MAY 2025'!G174</f>
        <v>0</v>
      </c>
      <c r="H3346" s="3">
        <f>'[1]MAY 2025'!H174</f>
        <v>5500</v>
      </c>
    </row>
    <row r="3347" spans="1:8" x14ac:dyDescent="0.2">
      <c r="A3347" s="20">
        <f>'[1]MAY 2025'!A175</f>
        <v>45802</v>
      </c>
      <c r="B3347" s="12" t="str">
        <f>'[1]MAY 2025'!B175</f>
        <v>LM</v>
      </c>
      <c r="C3347" s="3">
        <f>'[1]MAY 2025'!C175</f>
        <v>0</v>
      </c>
      <c r="D3347" s="3">
        <f>'[1]MAY 2025'!D175</f>
        <v>0</v>
      </c>
      <c r="E3347" s="3">
        <f>'[1]MAY 2025'!E175</f>
        <v>0</v>
      </c>
      <c r="F3347" s="3">
        <f>'[1]MAY 2025'!F175</f>
        <v>0</v>
      </c>
      <c r="G3347" s="3">
        <f>'[1]MAY 2025'!G175</f>
        <v>0</v>
      </c>
      <c r="H3347" s="3">
        <f>'[1]MAY 2025'!H175</f>
        <v>63.22</v>
      </c>
    </row>
    <row r="3348" spans="1:8" x14ac:dyDescent="0.2">
      <c r="A3348" s="20">
        <f>'[1]MAY 2025'!A177</f>
        <v>45803</v>
      </c>
      <c r="B3348" s="12" t="str">
        <f>'[1]MAY 2025'!B177</f>
        <v>Refill</v>
      </c>
      <c r="C3348" s="3">
        <f>'[1]MAY 2025'!C177</f>
        <v>0</v>
      </c>
      <c r="D3348" s="3">
        <f>'[1]MAY 2025'!D177</f>
        <v>0</v>
      </c>
      <c r="E3348" s="3">
        <f>'[1]MAY 2025'!E177</f>
        <v>0</v>
      </c>
      <c r="F3348" s="3">
        <f>'[1]MAY 2025'!F177</f>
        <v>0</v>
      </c>
      <c r="G3348" s="3">
        <f>'[1]MAY 2025'!G177</f>
        <v>2000</v>
      </c>
      <c r="H3348" s="3">
        <f>'[1]MAY 2025'!H177</f>
        <v>0</v>
      </c>
    </row>
    <row r="3349" spans="1:8" x14ac:dyDescent="0.2">
      <c r="A3349" s="23">
        <f>'[1]MAY 2025'!A178</f>
        <v>45803</v>
      </c>
      <c r="B3349" s="12" t="str">
        <f>'[1]MAY 2025'!B178</f>
        <v>LM</v>
      </c>
      <c r="C3349" s="3">
        <f>'[1]MAY 2025'!C178</f>
        <v>0</v>
      </c>
      <c r="D3349" s="3">
        <f>'[1]MAY 2025'!D178</f>
        <v>0</v>
      </c>
      <c r="E3349" s="3">
        <f>'[1]MAY 2025'!E178</f>
        <v>0</v>
      </c>
      <c r="F3349" s="3">
        <f>'[1]MAY 2025'!F178</f>
        <v>0</v>
      </c>
      <c r="G3349" s="3">
        <f>'[1]MAY 2025'!G178</f>
        <v>0</v>
      </c>
      <c r="H3349" s="3">
        <f>'[1]MAY 2025'!H178</f>
        <v>1931.14</v>
      </c>
    </row>
    <row r="3350" spans="1:8" x14ac:dyDescent="0.2">
      <c r="A3350" s="23">
        <f>'[1]MAY 2025'!A184</f>
        <v>45804</v>
      </c>
      <c r="B3350" s="12" t="str">
        <f>'[1]MAY 2025'!B184</f>
        <v>Andere</v>
      </c>
      <c r="C3350" s="3">
        <f>'[1]MAY 2025'!C184</f>
        <v>0</v>
      </c>
      <c r="D3350" s="3">
        <f>'[1]MAY 2025'!D184</f>
        <v>0</v>
      </c>
      <c r="E3350" s="3">
        <f>'[1]MAY 2025'!E184</f>
        <v>0</v>
      </c>
      <c r="F3350" s="3">
        <f>'[1]MAY 2025'!F184</f>
        <v>0</v>
      </c>
      <c r="G3350" s="3">
        <f>'[1]MAY 2025'!G184</f>
        <v>0</v>
      </c>
      <c r="H3350" s="3">
        <f>'[1]MAY 2025'!H184</f>
        <v>400</v>
      </c>
    </row>
    <row r="3351" spans="1:8" x14ac:dyDescent="0.2">
      <c r="A3351" s="20">
        <f>'[1]MAY 2025'!A185</f>
        <v>45804</v>
      </c>
      <c r="B3351" s="12" t="str">
        <f>'[1]MAY 2025'!B185</f>
        <v>none</v>
      </c>
      <c r="C3351" s="3">
        <f>'[1]MAY 2025'!C185</f>
        <v>0</v>
      </c>
      <c r="D3351" s="3">
        <f>'[1]MAY 2025'!D185</f>
        <v>0</v>
      </c>
      <c r="E3351" s="3">
        <f>'[1]MAY 2025'!E185</f>
        <v>0</v>
      </c>
      <c r="F3351" s="3">
        <f>'[1]MAY 2025'!F185</f>
        <v>0</v>
      </c>
      <c r="G3351" s="3">
        <f>'[1]MAY 2025'!G185</f>
        <v>0</v>
      </c>
      <c r="H3351" s="3">
        <f>'[1]MAY 2025'!H185</f>
        <v>649.15</v>
      </c>
    </row>
    <row r="3352" spans="1:8" x14ac:dyDescent="0.2">
      <c r="A3352" s="20">
        <f>'[1]MAY 2025'!A191</f>
        <v>45805</v>
      </c>
      <c r="B3352" s="12" t="str">
        <f>'[1]MAY 2025'!B191</f>
        <v>VM</v>
      </c>
      <c r="C3352" s="3">
        <f>'[1]MAY 2025'!C191</f>
        <v>0</v>
      </c>
      <c r="D3352" s="3">
        <f>'[1]MAY 2025'!D191</f>
        <v>0</v>
      </c>
      <c r="E3352" s="3">
        <f>'[1]MAY 2025'!E191</f>
        <v>0</v>
      </c>
      <c r="F3352" s="3">
        <f>'[1]MAY 2025'!F191</f>
        <v>0</v>
      </c>
      <c r="G3352" s="3">
        <f>'[1]MAY 2025'!G191</f>
        <v>0</v>
      </c>
      <c r="H3352" s="3">
        <f>'[1]MAY 2025'!H191</f>
        <v>125.87</v>
      </c>
    </row>
    <row r="3353" spans="1:8" x14ac:dyDescent="0.2">
      <c r="A3353" s="23">
        <f>'[1]MAY 2025'!A192</f>
        <v>45805</v>
      </c>
      <c r="B3353" s="12" t="str">
        <f>'[1]MAY 2025'!B192</f>
        <v>LM</v>
      </c>
      <c r="C3353" s="3">
        <f>'[1]MAY 2025'!C192</f>
        <v>0</v>
      </c>
      <c r="D3353" s="3">
        <f>'[1]MAY 2025'!D192</f>
        <v>0</v>
      </c>
      <c r="E3353" s="3">
        <f>'[1]MAY 2025'!E192</f>
        <v>0</v>
      </c>
      <c r="F3353" s="3">
        <f>'[1]MAY 2025'!F192</f>
        <v>0</v>
      </c>
      <c r="G3353" s="3">
        <f>'[1]MAY 2025'!G192</f>
        <v>0</v>
      </c>
      <c r="H3353" s="3">
        <f>'[1]MAY 2025'!H192</f>
        <v>819</v>
      </c>
    </row>
    <row r="3354" spans="1:8" x14ac:dyDescent="0.2">
      <c r="A3354" s="23">
        <f>'[1]MAY 2025'!A198</f>
        <v>45806</v>
      </c>
      <c r="B3354" s="12" t="str">
        <f>'[1]MAY 2025'!B198</f>
        <v>VM</v>
      </c>
      <c r="C3354" s="3">
        <f>'[1]MAY 2025'!C198</f>
        <v>0</v>
      </c>
      <c r="D3354" s="3">
        <f>'[1]MAY 2025'!D198</f>
        <v>0</v>
      </c>
      <c r="E3354" s="3">
        <f>'[1]MAY 2025'!E198</f>
        <v>0</v>
      </c>
      <c r="F3354" s="3">
        <f>'[1]MAY 2025'!F198</f>
        <v>0</v>
      </c>
      <c r="G3354" s="3">
        <f>'[1]MAY 2025'!G198</f>
        <v>0</v>
      </c>
      <c r="H3354" s="3">
        <f>'[1]MAY 2025'!H198</f>
        <v>243.38</v>
      </c>
    </row>
    <row r="3355" spans="1:8" x14ac:dyDescent="0.2">
      <c r="A3355" s="20">
        <f>'[1]MAY 2025'!A199</f>
        <v>45806</v>
      </c>
      <c r="B3355" s="12" t="str">
        <f>'[1]MAY 2025'!B199</f>
        <v>LM</v>
      </c>
      <c r="C3355" s="3">
        <f>'[1]MAY 2025'!C199</f>
        <v>0</v>
      </c>
      <c r="D3355" s="3">
        <f>'[1]MAY 2025'!D199</f>
        <v>0</v>
      </c>
      <c r="E3355" s="3">
        <f>'[1]MAY 2025'!E199</f>
        <v>0</v>
      </c>
      <c r="F3355" s="3">
        <f>'[1]MAY 2025'!F199</f>
        <v>0</v>
      </c>
      <c r="G3355" s="3">
        <f>'[1]MAY 2025'!G199</f>
        <v>0</v>
      </c>
      <c r="H3355" s="3">
        <f>'[1]MAY 2025'!H199</f>
        <v>1309.8499999999999</v>
      </c>
    </row>
    <row r="3356" spans="1:8" x14ac:dyDescent="0.2">
      <c r="A3356" s="23">
        <f>'[1]MAY 2025'!A200</f>
        <v>45806</v>
      </c>
      <c r="B3356" s="12" t="str">
        <f>'[1]MAY 2025'!B200</f>
        <v>Refill</v>
      </c>
      <c r="C3356" s="3">
        <f>'[1]MAY 2025'!C200</f>
        <v>0</v>
      </c>
      <c r="D3356" s="3">
        <f>'[1]MAY 2025'!D200</f>
        <v>0</v>
      </c>
      <c r="E3356" s="3">
        <f>'[1]MAY 2025'!E200</f>
        <v>0</v>
      </c>
      <c r="F3356" s="3">
        <f>'[1]MAY 2025'!F200</f>
        <v>0</v>
      </c>
      <c r="G3356" s="3">
        <f>'[1]MAY 2025'!G200</f>
        <v>13200</v>
      </c>
      <c r="H3356" s="3">
        <f>'[1]MAY 2025'!H200</f>
        <v>0</v>
      </c>
    </row>
    <row r="3357" spans="1:8" x14ac:dyDescent="0.2">
      <c r="A3357" s="20">
        <f>'[1]MAY 2025'!A205</f>
        <v>45807</v>
      </c>
      <c r="B3357" s="12" t="str">
        <f>'[1]MAY 2025'!B205</f>
        <v>for me</v>
      </c>
      <c r="C3357" s="3">
        <f>'[1]MAY 2025'!C205</f>
        <v>0</v>
      </c>
      <c r="D3357" s="3">
        <f>'[1]MAY 2025'!D205</f>
        <v>0</v>
      </c>
      <c r="E3357" s="3">
        <f>'[1]MAY 2025'!E205</f>
        <v>0</v>
      </c>
      <c r="F3357" s="3">
        <f>'[1]MAY 2025'!F205</f>
        <v>0</v>
      </c>
      <c r="G3357" s="3">
        <f>'[1]MAY 2025'!G205</f>
        <v>0</v>
      </c>
      <c r="H3357" s="3">
        <f>'[1]MAY 2025'!H205</f>
        <v>1195</v>
      </c>
    </row>
    <row r="3358" spans="1:8" x14ac:dyDescent="0.2">
      <c r="A3358" s="23">
        <f>'[1]MAY 2025'!A206</f>
        <v>45807</v>
      </c>
      <c r="B3358" s="12" t="str">
        <f>'[1]MAY 2025'!B206</f>
        <v>VM</v>
      </c>
      <c r="C3358" s="3">
        <f>'[1]MAY 2025'!C206</f>
        <v>0</v>
      </c>
      <c r="D3358" s="3">
        <f>'[1]MAY 2025'!D206</f>
        <v>0</v>
      </c>
      <c r="E3358" s="3">
        <f>'[1]MAY 2025'!E206</f>
        <v>0</v>
      </c>
      <c r="F3358" s="3">
        <f>'[1]MAY 2025'!F206</f>
        <v>0</v>
      </c>
      <c r="G3358" s="3">
        <f>'[1]MAY 2025'!G206</f>
        <v>0</v>
      </c>
      <c r="H3358" s="3">
        <f>'[1]MAY 2025'!H206</f>
        <v>14.98</v>
      </c>
    </row>
    <row r="3359" spans="1:8" x14ac:dyDescent="0.2">
      <c r="A3359" s="20">
        <f>'[1]MAY 2025'!A207</f>
        <v>45807</v>
      </c>
      <c r="B3359" s="12" t="str">
        <f>'[1]MAY 2025'!B207</f>
        <v>LM</v>
      </c>
      <c r="C3359" s="3">
        <f>'[1]MAY 2025'!C207</f>
        <v>0</v>
      </c>
      <c r="D3359" s="3">
        <f>'[1]MAY 2025'!D207</f>
        <v>0</v>
      </c>
      <c r="E3359" s="3">
        <f>'[1]MAY 2025'!E207</f>
        <v>0</v>
      </c>
      <c r="F3359" s="3">
        <f>'[1]MAY 2025'!F207</f>
        <v>0</v>
      </c>
      <c r="G3359" s="3">
        <f>'[1]MAY 2025'!G207</f>
        <v>0</v>
      </c>
      <c r="H3359" s="3">
        <f>'[1]MAY 2025'!H207</f>
        <v>1887.77</v>
      </c>
    </row>
    <row r="3360" spans="1:8" x14ac:dyDescent="0.2">
      <c r="A3360" s="23">
        <f>'[1]MAY 2025'!A208</f>
        <v>45807</v>
      </c>
      <c r="B3360" s="12" t="str">
        <f>'[1]MAY 2025'!B208</f>
        <v>Rauchen</v>
      </c>
      <c r="C3360" s="3">
        <f>'[1]MAY 2025'!C208</f>
        <v>0</v>
      </c>
      <c r="D3360" s="3">
        <f>'[1]MAY 2025'!D208</f>
        <v>0</v>
      </c>
      <c r="E3360" s="3">
        <f>'[1]MAY 2025'!E208</f>
        <v>0</v>
      </c>
      <c r="F3360" s="3">
        <f>'[1]MAY 2025'!F208</f>
        <v>0</v>
      </c>
      <c r="G3360" s="3">
        <f>'[1]MAY 2025'!G208</f>
        <v>0</v>
      </c>
      <c r="H3360" s="3">
        <f>'[1]MAY 2025'!H208</f>
        <v>200</v>
      </c>
    </row>
    <row r="3361" spans="1:8" x14ac:dyDescent="0.2">
      <c r="A3361" s="23">
        <f>'[1]MAY 2025'!A212</f>
        <v>45808</v>
      </c>
      <c r="B3361" s="12" t="str">
        <f>'[1]MAY 2025'!B212</f>
        <v>Andere</v>
      </c>
      <c r="C3361" s="3">
        <f>'[1]MAY 2025'!C212</f>
        <v>0</v>
      </c>
      <c r="D3361" s="3">
        <f>'[1]MAY 2025'!D212</f>
        <v>0</v>
      </c>
      <c r="E3361" s="3">
        <f>'[1]MAY 2025'!E212</f>
        <v>0</v>
      </c>
      <c r="F3361" s="3">
        <f>'[1]MAY 2025'!F212</f>
        <v>0</v>
      </c>
      <c r="G3361" s="3">
        <f>'[1]MAY 2025'!G212</f>
        <v>0</v>
      </c>
      <c r="H3361" s="3">
        <f>'[1]MAY 2025'!H212</f>
        <v>20550</v>
      </c>
    </row>
    <row r="3362" spans="1:8" x14ac:dyDescent="0.2">
      <c r="A3362" s="20">
        <f>'[1]MAY 2025'!A213</f>
        <v>45808</v>
      </c>
      <c r="B3362" s="12" t="str">
        <f>'[1]MAY 2025'!B213</f>
        <v>VM</v>
      </c>
      <c r="C3362" s="3">
        <f>'[1]MAY 2025'!C213</f>
        <v>0</v>
      </c>
      <c r="D3362" s="3">
        <f>'[1]MAY 2025'!D213</f>
        <v>0</v>
      </c>
      <c r="E3362" s="3">
        <f>'[1]MAY 2025'!E213</f>
        <v>0</v>
      </c>
      <c r="F3362" s="3">
        <f>'[1]MAY 2025'!F213</f>
        <v>0</v>
      </c>
      <c r="G3362" s="3">
        <f>'[1]MAY 2025'!G213</f>
        <v>0</v>
      </c>
      <c r="H3362" s="3">
        <f>'[1]MAY 2025'!H213</f>
        <v>2300</v>
      </c>
    </row>
    <row r="3363" spans="1:8" x14ac:dyDescent="0.2">
      <c r="A3363" s="20">
        <f>'[1]JUN 2025'!A2</f>
        <v>45809</v>
      </c>
      <c r="B3363" s="12" t="str">
        <f>'[1]JUN 2025'!B2</f>
        <v>LM</v>
      </c>
      <c r="C3363" s="3">
        <f>'[1]JUN 2025'!C2</f>
        <v>0</v>
      </c>
      <c r="D3363" s="3">
        <f>'[1]JUN 2025'!D2</f>
        <v>0</v>
      </c>
      <c r="E3363" s="3">
        <f>'[1]JUN 2025'!E2</f>
        <v>0</v>
      </c>
      <c r="F3363" s="3">
        <f>'[1]JUN 2025'!F2</f>
        <v>0</v>
      </c>
      <c r="G3363" s="3">
        <f>'[1]JUN 2025'!G2</f>
        <v>0</v>
      </c>
      <c r="H3363" s="3">
        <f>'[1]JUN 2025'!H2</f>
        <v>3705.83</v>
      </c>
    </row>
    <row r="3364" spans="1:8" x14ac:dyDescent="0.2">
      <c r="A3364" s="23">
        <f>'[1]JUN 2025'!A3</f>
        <v>45809</v>
      </c>
      <c r="B3364" s="12" t="str">
        <f>'[1]JUN 2025'!B3</f>
        <v>VM</v>
      </c>
      <c r="C3364" s="3">
        <f>'[1]JUN 2025'!C3</f>
        <v>0</v>
      </c>
      <c r="D3364" s="3">
        <f>'[1]JUN 2025'!D3</f>
        <v>0</v>
      </c>
      <c r="E3364" s="3">
        <f>'[1]JUN 2025'!E3</f>
        <v>0</v>
      </c>
      <c r="F3364" s="3">
        <f>'[1]JUN 2025'!F3</f>
        <v>0</v>
      </c>
      <c r="G3364" s="3">
        <f>'[1]JUN 2025'!G3</f>
        <v>0</v>
      </c>
      <c r="H3364" s="3">
        <f>'[1]JUN 2025'!H3</f>
        <v>148</v>
      </c>
    </row>
    <row r="3365" spans="1:8" x14ac:dyDescent="0.2">
      <c r="A3365" s="20">
        <f>'[1]JUN 2025'!A4</f>
        <v>45809</v>
      </c>
      <c r="B3365" s="12" t="str">
        <f>'[1]JUN 2025'!B4</f>
        <v>Andere</v>
      </c>
      <c r="C3365" s="3">
        <f>'[1]JUN 2025'!C4</f>
        <v>0</v>
      </c>
      <c r="D3365" s="3">
        <f>'[1]JUN 2025'!D4</f>
        <v>0</v>
      </c>
      <c r="E3365" s="3">
        <f>'[1]JUN 2025'!E4</f>
        <v>0</v>
      </c>
      <c r="F3365" s="3">
        <f>'[1]JUN 2025'!F4</f>
        <v>0</v>
      </c>
      <c r="G3365" s="3">
        <f>'[1]JUN 2025'!G4</f>
        <v>0</v>
      </c>
      <c r="H3365" s="3">
        <f>'[1]JUN 2025'!H4</f>
        <v>2480</v>
      </c>
    </row>
    <row r="3366" spans="1:8" x14ac:dyDescent="0.2">
      <c r="A3366" s="20">
        <f>'[1]JUN 2025'!A8</f>
        <v>45809</v>
      </c>
      <c r="B3366" s="12" t="str">
        <f>'[1]JUN 2025'!B8</f>
        <v>none</v>
      </c>
      <c r="C3366" s="3">
        <f>'[1]JUN 2025'!C8</f>
        <v>0</v>
      </c>
      <c r="D3366" s="3">
        <f>'[1]JUN 2025'!D8</f>
        <v>0</v>
      </c>
      <c r="E3366" s="3">
        <f>'[1]JUN 2025'!E8</f>
        <v>0</v>
      </c>
      <c r="F3366" s="3">
        <f>'[1]JUN 2025'!F8</f>
        <v>0</v>
      </c>
      <c r="G3366" s="3">
        <f>'[1]JUN 2025'!G8</f>
        <v>1</v>
      </c>
      <c r="H3366" s="3">
        <f>'[1]JUN 2025'!H8</f>
        <v>0</v>
      </c>
    </row>
    <row r="3367" spans="1:8" x14ac:dyDescent="0.2">
      <c r="A3367" s="23">
        <f>'[1]JUN 2025'!A9</f>
        <v>45810</v>
      </c>
      <c r="B3367" s="12" t="str">
        <f>'[1]JUN 2025'!B9</f>
        <v>LM</v>
      </c>
      <c r="C3367" s="3">
        <f>'[1]JUN 2025'!C9</f>
        <v>0</v>
      </c>
      <c r="D3367" s="3">
        <f>'[1]JUN 2025'!D9</f>
        <v>0</v>
      </c>
      <c r="E3367" s="3">
        <f>'[1]JUN 2025'!E9</f>
        <v>0</v>
      </c>
      <c r="F3367" s="3">
        <f>'[1]JUN 2025'!F9</f>
        <v>0</v>
      </c>
      <c r="G3367" s="3">
        <f>'[1]JUN 2025'!G9</f>
        <v>0</v>
      </c>
      <c r="H3367" s="3">
        <f>'[1]JUN 2025'!H9</f>
        <v>479.88</v>
      </c>
    </row>
    <row r="3368" spans="1:8" x14ac:dyDescent="0.2">
      <c r="A3368" s="20">
        <f>'[1]JUN 2025'!A10</f>
        <v>45810</v>
      </c>
      <c r="B3368" s="12" t="str">
        <f>'[1]JUN 2025'!B10</f>
        <v>none</v>
      </c>
      <c r="C3368" s="3">
        <f>'[1]JUN 2025'!C10</f>
        <v>0</v>
      </c>
      <c r="D3368" s="3">
        <f>'[1]JUN 2025'!D10</f>
        <v>0</v>
      </c>
      <c r="E3368" s="3">
        <f>'[1]JUN 2025'!E10</f>
        <v>0</v>
      </c>
      <c r="F3368" s="3">
        <f>'[1]JUN 2025'!F10</f>
        <v>0</v>
      </c>
      <c r="G3368" s="3">
        <f>'[1]JUN 2025'!G10</f>
        <v>0</v>
      </c>
      <c r="H3368" s="3">
        <f>'[1]JUN 2025'!H10</f>
        <v>200.47</v>
      </c>
    </row>
    <row r="3369" spans="1:8" x14ac:dyDescent="0.2">
      <c r="A3369" s="20">
        <f>'[1]JUN 2025'!A16</f>
        <v>45811</v>
      </c>
      <c r="B3369" s="12" t="str">
        <f>'[1]JUN 2025'!B16</f>
        <v>none</v>
      </c>
      <c r="C3369" s="3">
        <f>'[1]JUN 2025'!C16</f>
        <v>0</v>
      </c>
      <c r="D3369" s="3">
        <f>'[1]JUN 2025'!D16</f>
        <v>0</v>
      </c>
      <c r="E3369" s="3">
        <f>'[1]JUN 2025'!E16</f>
        <v>0</v>
      </c>
      <c r="F3369" s="3">
        <f>'[1]JUN 2025'!F16</f>
        <v>0</v>
      </c>
      <c r="G3369" s="3">
        <f>'[1]JUN 2025'!G16</f>
        <v>0</v>
      </c>
      <c r="H3369" s="3">
        <f>'[1]JUN 2025'!H16</f>
        <v>5044</v>
      </c>
    </row>
    <row r="3370" spans="1:8" x14ac:dyDescent="0.2">
      <c r="A3370" s="23">
        <f>'[1]JUN 2025'!A17</f>
        <v>45811</v>
      </c>
      <c r="B3370" s="12" t="str">
        <f>'[1]JUN 2025'!B17</f>
        <v>none</v>
      </c>
      <c r="C3370" s="3">
        <f>'[1]JUN 2025'!C17</f>
        <v>0</v>
      </c>
      <c r="D3370" s="3">
        <f>'[1]JUN 2025'!D17</f>
        <v>0</v>
      </c>
      <c r="E3370" s="3">
        <f>'[1]JUN 2025'!E17</f>
        <v>0</v>
      </c>
      <c r="F3370" s="3">
        <f>'[1]JUN 2025'!F17</f>
        <v>0</v>
      </c>
      <c r="G3370" s="3">
        <f>'[1]JUN 2025'!G17</f>
        <v>30500</v>
      </c>
      <c r="H3370" s="3">
        <f>'[1]JUN 2025'!H17</f>
        <v>0</v>
      </c>
    </row>
    <row r="3371" spans="1:8" x14ac:dyDescent="0.2">
      <c r="A3371" s="20">
        <f>'[1]JUN 2025'!A18</f>
        <v>45811</v>
      </c>
      <c r="B3371" s="12" t="str">
        <f>'[1]JUN 2025'!B18</f>
        <v>Frauen</v>
      </c>
      <c r="C3371" s="3">
        <f>'[1]JUN 2025'!C18</f>
        <v>0</v>
      </c>
      <c r="D3371" s="3">
        <f>'[1]JUN 2025'!D18</f>
        <v>0</v>
      </c>
      <c r="E3371" s="3">
        <f>'[1]JUN 2025'!E18</f>
        <v>0</v>
      </c>
      <c r="F3371" s="3">
        <f>'[1]JUN 2025'!F18</f>
        <v>0</v>
      </c>
      <c r="G3371" s="3">
        <f>'[1]JUN 2025'!G18</f>
        <v>0</v>
      </c>
      <c r="H3371" s="3">
        <f>'[1]JUN 2025'!H18</f>
        <v>3150</v>
      </c>
    </row>
    <row r="3372" spans="1:8" x14ac:dyDescent="0.2">
      <c r="A3372" s="23">
        <f>'[1]JUN 2025'!A23</f>
        <v>45812</v>
      </c>
      <c r="B3372" s="12" t="str">
        <f>'[1]JUN 2025'!B23</f>
        <v>Andere</v>
      </c>
      <c r="C3372" s="3">
        <f>'[1]JUN 2025'!C23</f>
        <v>0</v>
      </c>
      <c r="D3372" s="3">
        <f>'[1]JUN 2025'!D23</f>
        <v>0</v>
      </c>
      <c r="E3372" s="3">
        <f>'[1]JUN 2025'!E23</f>
        <v>0</v>
      </c>
      <c r="F3372" s="3">
        <f>'[1]JUN 2025'!F23</f>
        <v>0</v>
      </c>
      <c r="G3372" s="3">
        <f>'[1]JUN 2025'!G23</f>
        <v>0</v>
      </c>
      <c r="H3372" s="3">
        <f>'[1]JUN 2025'!H23</f>
        <v>547</v>
      </c>
    </row>
    <row r="3373" spans="1:8" x14ac:dyDescent="0.2">
      <c r="A3373" s="20">
        <f>'[1]JUN 2025'!A24</f>
        <v>45812</v>
      </c>
      <c r="B3373" s="12" t="str">
        <f>'[1]JUN 2025'!B24</f>
        <v>VM</v>
      </c>
      <c r="C3373" s="3">
        <f>'[1]JUN 2025'!C24</f>
        <v>0</v>
      </c>
      <c r="D3373" s="3">
        <f>'[1]JUN 2025'!D24</f>
        <v>0</v>
      </c>
      <c r="E3373" s="3">
        <f>'[1]JUN 2025'!E24</f>
        <v>0</v>
      </c>
      <c r="F3373" s="3">
        <f>'[1]JUN 2025'!F24</f>
        <v>0</v>
      </c>
      <c r="G3373" s="3">
        <f>'[1]JUN 2025'!G24</f>
        <v>0</v>
      </c>
      <c r="H3373" s="3">
        <f>'[1]JUN 2025'!H24</f>
        <v>272</v>
      </c>
    </row>
    <row r="3374" spans="1:8" x14ac:dyDescent="0.2">
      <c r="A3374" s="23">
        <f>'[1]JUN 2025'!A25</f>
        <v>45812</v>
      </c>
      <c r="B3374" s="12" t="str">
        <f>'[1]JUN 2025'!B25</f>
        <v>LM</v>
      </c>
      <c r="C3374" s="3">
        <f>'[1]JUN 2025'!C25</f>
        <v>0</v>
      </c>
      <c r="D3374" s="3">
        <f>'[1]JUN 2025'!D25</f>
        <v>0</v>
      </c>
      <c r="E3374" s="3">
        <f>'[1]JUN 2025'!E25</f>
        <v>0</v>
      </c>
      <c r="F3374" s="3">
        <f>'[1]JUN 2025'!F25</f>
        <v>0</v>
      </c>
      <c r="G3374" s="3">
        <f>'[1]JUN 2025'!G25</f>
        <v>0</v>
      </c>
      <c r="H3374" s="3">
        <f>'[1]JUN 2025'!H25</f>
        <v>922.8</v>
      </c>
    </row>
    <row r="3375" spans="1:8" x14ac:dyDescent="0.2">
      <c r="A3375" s="20">
        <f>'[1]JUN 2025'!A30</f>
        <v>45813</v>
      </c>
      <c r="B3375" s="12" t="str">
        <f>'[1]JUN 2025'!B30</f>
        <v>LM</v>
      </c>
      <c r="C3375" s="3">
        <f>'[1]JUN 2025'!C30</f>
        <v>0</v>
      </c>
      <c r="D3375" s="3">
        <f>'[1]JUN 2025'!D30</f>
        <v>0</v>
      </c>
      <c r="E3375" s="3">
        <f>'[1]JUN 2025'!E30</f>
        <v>0</v>
      </c>
      <c r="F3375" s="3">
        <f>'[1]JUN 2025'!F30</f>
        <v>0</v>
      </c>
      <c r="G3375" s="3">
        <f>'[1]JUN 2025'!G30</f>
        <v>0</v>
      </c>
      <c r="H3375" s="3">
        <f>'[1]JUN 2025'!H30</f>
        <v>967</v>
      </c>
    </row>
    <row r="3376" spans="1:8" x14ac:dyDescent="0.2">
      <c r="A3376" s="23">
        <f>'[1]JUN 2025'!A31</f>
        <v>45813</v>
      </c>
      <c r="B3376" s="12" t="str">
        <f>'[1]JUN 2025'!B31</f>
        <v>VM</v>
      </c>
      <c r="C3376" s="3">
        <f>'[1]JUN 2025'!C31</f>
        <v>0</v>
      </c>
      <c r="D3376" s="3">
        <f>'[1]JUN 2025'!D31</f>
        <v>0</v>
      </c>
      <c r="E3376" s="3">
        <f>'[1]JUN 2025'!E31</f>
        <v>0</v>
      </c>
      <c r="F3376" s="3">
        <f>'[1]JUN 2025'!F31</f>
        <v>0</v>
      </c>
      <c r="G3376" s="3">
        <f>'[1]JUN 2025'!G31</f>
        <v>0</v>
      </c>
      <c r="H3376" s="3">
        <f>'[1]JUN 2025'!H31</f>
        <v>41</v>
      </c>
    </row>
    <row r="3377" spans="1:8" x14ac:dyDescent="0.2">
      <c r="A3377" s="23">
        <f>'[1]JUN 2025'!A37</f>
        <v>45814</v>
      </c>
      <c r="B3377" s="12" t="str">
        <f>'[1]JUN 2025'!B37</f>
        <v>LM</v>
      </c>
      <c r="C3377" s="3">
        <f>'[1]JUN 2025'!C37</f>
        <v>0</v>
      </c>
      <c r="D3377" s="3">
        <f>'[1]JUN 2025'!D37</f>
        <v>0</v>
      </c>
      <c r="E3377" s="3">
        <f>'[1]JUN 2025'!E37</f>
        <v>0</v>
      </c>
      <c r="F3377" s="3">
        <f>'[1]JUN 2025'!F37</f>
        <v>0</v>
      </c>
      <c r="G3377" s="3">
        <f>'[1]JUN 2025'!G37</f>
        <v>0</v>
      </c>
      <c r="H3377" s="3">
        <f>'[1]JUN 2025'!H37</f>
        <v>669.94</v>
      </c>
    </row>
    <row r="3378" spans="1:8" x14ac:dyDescent="0.2">
      <c r="A3378" s="20">
        <f>'[1]JUN 2025'!A38</f>
        <v>45814</v>
      </c>
      <c r="B3378" s="12" t="str">
        <f>'[1]JUN 2025'!B38</f>
        <v>Rauchen</v>
      </c>
      <c r="C3378" s="3">
        <f>'[1]JUN 2025'!C38</f>
        <v>0</v>
      </c>
      <c r="D3378" s="3">
        <f>'[1]JUN 2025'!D38</f>
        <v>0</v>
      </c>
      <c r="E3378" s="3">
        <f>'[1]JUN 2025'!E38</f>
        <v>0</v>
      </c>
      <c r="F3378" s="3">
        <f>'[1]JUN 2025'!F38</f>
        <v>0</v>
      </c>
      <c r="G3378" s="3">
        <f>'[1]JUN 2025'!G38</f>
        <v>0</v>
      </c>
      <c r="H3378" s="3">
        <f>'[1]JUN 2025'!H38</f>
        <v>200</v>
      </c>
    </row>
    <row r="3379" spans="1:8" x14ac:dyDescent="0.2">
      <c r="A3379" s="20">
        <f>'[1]JUN 2025'!A44</f>
        <v>45815</v>
      </c>
      <c r="B3379" s="12" t="str">
        <f>'[1]JUN 2025'!B44</f>
        <v>LM</v>
      </c>
      <c r="C3379" s="3">
        <f>'[1]JUN 2025'!C44</f>
        <v>0</v>
      </c>
      <c r="D3379" s="3">
        <f>'[1]JUN 2025'!D44</f>
        <v>0</v>
      </c>
      <c r="E3379" s="3">
        <f>'[1]JUN 2025'!E44</f>
        <v>0</v>
      </c>
      <c r="F3379" s="3">
        <f>'[1]JUN 2025'!F44</f>
        <v>0</v>
      </c>
      <c r="G3379" s="3">
        <f>'[1]JUN 2025'!G44</f>
        <v>0</v>
      </c>
      <c r="H3379" s="3">
        <f>'[1]JUN 2025'!H44</f>
        <v>443.74</v>
      </c>
    </row>
    <row r="3380" spans="1:8" x14ac:dyDescent="0.2">
      <c r="A3380" s="23">
        <f>'[1]JUN 2025'!A45</f>
        <v>45815</v>
      </c>
      <c r="B3380" s="12" t="str">
        <f>'[1]JUN 2025'!B45</f>
        <v>VM</v>
      </c>
      <c r="C3380" s="3">
        <f>'[1]JUN 2025'!C45</f>
        <v>0</v>
      </c>
      <c r="D3380" s="3">
        <f>'[1]JUN 2025'!D45</f>
        <v>0</v>
      </c>
      <c r="E3380" s="3">
        <f>'[1]JUN 2025'!E45</f>
        <v>0</v>
      </c>
      <c r="F3380" s="3">
        <f>'[1]JUN 2025'!F45</f>
        <v>0</v>
      </c>
      <c r="G3380" s="3">
        <f>'[1]JUN 2025'!G45</f>
        <v>0</v>
      </c>
      <c r="H3380" s="3">
        <f>'[1]JUN 2025'!H45</f>
        <v>116</v>
      </c>
    </row>
    <row r="3381" spans="1:8" x14ac:dyDescent="0.2">
      <c r="A3381" s="20">
        <f>'[1]JUN 2025'!A46</f>
        <v>45815</v>
      </c>
      <c r="B3381" s="12" t="str">
        <f>'[1]JUN 2025'!B46</f>
        <v>none</v>
      </c>
      <c r="C3381" s="3">
        <f>'[1]JUN 2025'!C46</f>
        <v>0</v>
      </c>
      <c r="D3381" s="3">
        <f>'[1]JUN 2025'!D46</f>
        <v>0</v>
      </c>
      <c r="E3381" s="3">
        <f>'[1]JUN 2025'!E46</f>
        <v>0</v>
      </c>
      <c r="F3381" s="3">
        <f>'[1]JUN 2025'!F46</f>
        <v>0</v>
      </c>
      <c r="G3381" s="3">
        <f>'[1]JUN 2025'!G46</f>
        <v>0</v>
      </c>
      <c r="H3381" s="3">
        <f>'[1]JUN 2025'!H46</f>
        <v>670.88</v>
      </c>
    </row>
    <row r="3382" spans="1:8" x14ac:dyDescent="0.2">
      <c r="A3382" s="23">
        <f>'[1]JUN 2025'!A51</f>
        <v>45816</v>
      </c>
      <c r="B3382" s="12" t="str">
        <f>'[1]JUN 2025'!B51</f>
        <v>VM</v>
      </c>
      <c r="C3382" s="3">
        <f>'[1]JUN 2025'!C51</f>
        <v>0</v>
      </c>
      <c r="D3382" s="3">
        <f>'[1]JUN 2025'!D51</f>
        <v>0</v>
      </c>
      <c r="E3382" s="3">
        <f>'[1]JUN 2025'!E51</f>
        <v>0</v>
      </c>
      <c r="F3382" s="3">
        <f>'[1]JUN 2025'!F51</f>
        <v>0</v>
      </c>
      <c r="G3382" s="3">
        <f>'[1]JUN 2025'!G51</f>
        <v>0</v>
      </c>
      <c r="H3382" s="3">
        <f>'[1]JUN 2025'!H51</f>
        <v>148</v>
      </c>
    </row>
    <row r="3383" spans="1:8" x14ac:dyDescent="0.2">
      <c r="A3383" s="20">
        <f>'[1]JUN 2025'!A52</f>
        <v>45816</v>
      </c>
      <c r="B3383" s="12" t="str">
        <f>'[1]JUN 2025'!B52</f>
        <v>LM</v>
      </c>
      <c r="C3383" s="3">
        <f>'[1]JUN 2025'!C52</f>
        <v>0</v>
      </c>
      <c r="D3383" s="3">
        <f>'[1]JUN 2025'!D52</f>
        <v>0</v>
      </c>
      <c r="E3383" s="3">
        <f>'[1]JUN 2025'!E52</f>
        <v>0</v>
      </c>
      <c r="F3383" s="3">
        <f>'[1]JUN 2025'!F52</f>
        <v>0</v>
      </c>
      <c r="G3383" s="3">
        <f>'[1]JUN 2025'!G52</f>
        <v>0</v>
      </c>
      <c r="H3383" s="3">
        <f>'[1]JUN 2025'!H52</f>
        <v>700</v>
      </c>
    </row>
    <row r="3384" spans="1:8" x14ac:dyDescent="0.2">
      <c r="A3384" s="23">
        <f>'[1]JUN 2025'!A53</f>
        <v>45816</v>
      </c>
      <c r="B3384" s="12" t="str">
        <f>'[1]JUN 2025'!B53</f>
        <v>LM</v>
      </c>
      <c r="C3384" s="3">
        <f>'[1]JUN 2025'!C53</f>
        <v>0</v>
      </c>
      <c r="D3384" s="3">
        <f>'[1]JUN 2025'!D53</f>
        <v>0</v>
      </c>
      <c r="E3384" s="3">
        <f>'[1]JUN 2025'!E53</f>
        <v>0</v>
      </c>
      <c r="F3384" s="3">
        <f>'[1]JUN 2025'!F53</f>
        <v>0</v>
      </c>
      <c r="G3384" s="3">
        <f>'[1]JUN 2025'!G53</f>
        <v>0</v>
      </c>
      <c r="H3384" s="3">
        <f>'[1]JUN 2025'!H53</f>
        <v>779.97</v>
      </c>
    </row>
    <row r="3385" spans="1:8" x14ac:dyDescent="0.2">
      <c r="A3385" s="20">
        <f>'[1]JUN 2025'!A54</f>
        <v>45816</v>
      </c>
      <c r="B3385" s="12" t="str">
        <f>'[1]JUN 2025'!B54</f>
        <v>Andere</v>
      </c>
      <c r="C3385" s="3">
        <f>'[1]JUN 2025'!C54</f>
        <v>0</v>
      </c>
      <c r="D3385" s="3">
        <f>'[1]JUN 2025'!D54</f>
        <v>0</v>
      </c>
      <c r="E3385" s="3">
        <f>'[1]JUN 2025'!E54</f>
        <v>0</v>
      </c>
      <c r="F3385" s="3">
        <f>'[1]JUN 2025'!F54</f>
        <v>0</v>
      </c>
      <c r="G3385" s="3">
        <f>'[1]JUN 2025'!G54</f>
        <v>0</v>
      </c>
      <c r="H3385" s="3">
        <f>'[1]JUN 2025'!H54</f>
        <v>1893.96</v>
      </c>
    </row>
    <row r="3386" spans="1:8" x14ac:dyDescent="0.2">
      <c r="A3386" s="20">
        <f>'[1]JUN 2025'!A58</f>
        <v>45817</v>
      </c>
      <c r="B3386" s="12" t="str">
        <f>'[1]JUN 2025'!B58</f>
        <v>LM</v>
      </c>
      <c r="C3386" s="3">
        <f>'[1]JUN 2025'!C58</f>
        <v>0</v>
      </c>
      <c r="D3386" s="3">
        <f>'[1]JUN 2025'!D58</f>
        <v>0</v>
      </c>
      <c r="E3386" s="3">
        <f>'[1]JUN 2025'!E58</f>
        <v>0</v>
      </c>
      <c r="F3386" s="3">
        <f>'[1]JUN 2025'!F58</f>
        <v>0</v>
      </c>
      <c r="G3386" s="3">
        <f>'[1]JUN 2025'!G58</f>
        <v>0</v>
      </c>
      <c r="H3386" s="3">
        <f>'[1]JUN 2025'!H58</f>
        <v>804.99</v>
      </c>
    </row>
    <row r="3387" spans="1:8" x14ac:dyDescent="0.2">
      <c r="A3387" s="23">
        <f>'[1]JUN 2025'!A65</f>
        <v>45818</v>
      </c>
      <c r="B3387" s="12" t="str">
        <f>'[1]JUN 2025'!B65</f>
        <v>LM</v>
      </c>
      <c r="C3387" s="3">
        <f>'[1]JUN 2025'!C65</f>
        <v>0</v>
      </c>
      <c r="D3387" s="3">
        <f>'[1]JUN 2025'!D65</f>
        <v>0</v>
      </c>
      <c r="E3387" s="3">
        <f>'[1]JUN 2025'!E65</f>
        <v>0</v>
      </c>
      <c r="F3387" s="3">
        <f>'[1]JUN 2025'!F65</f>
        <v>0</v>
      </c>
      <c r="G3387" s="3">
        <f>'[1]JUN 2025'!G65</f>
        <v>0</v>
      </c>
      <c r="H3387" s="3">
        <f>'[1]JUN 2025'!H65</f>
        <v>2890.22</v>
      </c>
    </row>
    <row r="3388" spans="1:8" x14ac:dyDescent="0.2">
      <c r="A3388" s="20">
        <f>'[1]JUN 2025'!A66</f>
        <v>45818</v>
      </c>
      <c r="B3388" s="12" t="str">
        <f>'[1]JUN 2025'!B66</f>
        <v>Refill</v>
      </c>
      <c r="C3388" s="3">
        <f>'[1]JUN 2025'!C66</f>
        <v>0</v>
      </c>
      <c r="D3388" s="3">
        <f>'[1]JUN 2025'!D66</f>
        <v>0</v>
      </c>
      <c r="E3388" s="3">
        <f>'[1]JUN 2025'!E66</f>
        <v>0</v>
      </c>
      <c r="F3388" s="3">
        <f>'[1]JUN 2025'!F66</f>
        <v>0</v>
      </c>
      <c r="G3388" s="3">
        <f>'[1]JUN 2025'!G66</f>
        <v>141237.28</v>
      </c>
      <c r="H3388" s="3">
        <f>'[1]JUN 2025'!H66</f>
        <v>0</v>
      </c>
    </row>
    <row r="3389" spans="1:8" x14ac:dyDescent="0.2">
      <c r="A3389" s="20">
        <f>'[1]JUN 2025'!A72</f>
        <v>45819</v>
      </c>
      <c r="B3389" s="12" t="str">
        <f>'[1]JUN 2025'!B72</f>
        <v>VM</v>
      </c>
      <c r="C3389" s="3">
        <f>'[1]JUN 2025'!C72</f>
        <v>0</v>
      </c>
      <c r="D3389" s="3">
        <f>'[1]JUN 2025'!D72</f>
        <v>0</v>
      </c>
      <c r="E3389" s="3">
        <f>'[1]JUN 2025'!E72</f>
        <v>0</v>
      </c>
      <c r="F3389" s="3">
        <f>'[1]JUN 2025'!F72</f>
        <v>0</v>
      </c>
      <c r="G3389" s="3">
        <f>'[1]JUN 2025'!G72</f>
        <v>0</v>
      </c>
      <c r="H3389" s="3">
        <f>'[1]JUN 2025'!H72</f>
        <v>305.97000000000003</v>
      </c>
    </row>
    <row r="3390" spans="1:8" x14ac:dyDescent="0.2">
      <c r="A3390" s="23">
        <f>'[1]JUN 2025'!A73</f>
        <v>45819</v>
      </c>
      <c r="B3390" s="12" t="str">
        <f>'[1]JUN 2025'!B73</f>
        <v>LM</v>
      </c>
      <c r="C3390" s="3">
        <f>'[1]JUN 2025'!C73</f>
        <v>0</v>
      </c>
      <c r="D3390" s="3">
        <f>'[1]JUN 2025'!D73</f>
        <v>0</v>
      </c>
      <c r="E3390" s="3">
        <f>'[1]JUN 2025'!E73</f>
        <v>0</v>
      </c>
      <c r="F3390" s="3">
        <f>'[1]JUN 2025'!F73</f>
        <v>0</v>
      </c>
      <c r="G3390" s="3">
        <f>'[1]JUN 2025'!G73</f>
        <v>0</v>
      </c>
      <c r="H3390" s="3">
        <f>'[1]JUN 2025'!H73</f>
        <v>1070.9000000000001</v>
      </c>
    </row>
    <row r="3391" spans="1:8" x14ac:dyDescent="0.2">
      <c r="A3391" s="20">
        <f>'[1]JUN 2025'!A74</f>
        <v>45819</v>
      </c>
      <c r="B3391" s="12" t="str">
        <f>'[1]JUN 2025'!B74</f>
        <v>Andere</v>
      </c>
      <c r="C3391" s="3">
        <f>'[1]JUN 2025'!C74</f>
        <v>0</v>
      </c>
      <c r="D3391" s="3">
        <f>'[1]JUN 2025'!D74</f>
        <v>0</v>
      </c>
      <c r="E3391" s="3">
        <f>'[1]JUN 2025'!E74</f>
        <v>0</v>
      </c>
      <c r="F3391" s="3">
        <f>'[1]JUN 2025'!F74</f>
        <v>0</v>
      </c>
      <c r="G3391" s="3">
        <f>'[1]JUN 2025'!G74</f>
        <v>0</v>
      </c>
      <c r="H3391" s="3">
        <f>'[1]JUN 2025'!H74</f>
        <v>1006</v>
      </c>
    </row>
    <row r="3392" spans="1:8" x14ac:dyDescent="0.2">
      <c r="A3392" s="23">
        <f>'[1]JUN 2025'!A79</f>
        <v>45820</v>
      </c>
      <c r="B3392" s="12" t="str">
        <f>'[1]JUN 2025'!B79</f>
        <v>LM</v>
      </c>
      <c r="C3392" s="3">
        <f>'[1]JUN 2025'!C79</f>
        <v>0</v>
      </c>
      <c r="D3392" s="3">
        <f>'[1]JUN 2025'!D79</f>
        <v>0</v>
      </c>
      <c r="E3392" s="3">
        <f>'[1]JUN 2025'!E79</f>
        <v>0</v>
      </c>
      <c r="F3392" s="3">
        <f>'[1]JUN 2025'!F79</f>
        <v>0</v>
      </c>
      <c r="G3392" s="3">
        <f>'[1]JUN 2025'!G79</f>
        <v>0</v>
      </c>
      <c r="H3392" s="3">
        <f>'[1]JUN 2025'!H79</f>
        <v>1055</v>
      </c>
    </row>
    <row r="3393" spans="1:8" x14ac:dyDescent="0.2">
      <c r="A3393" s="20">
        <f>'[1]JUN 2025'!A86</f>
        <v>45821</v>
      </c>
      <c r="B3393" s="12" t="str">
        <f>'[1]JUN 2025'!B86</f>
        <v>Frauen</v>
      </c>
      <c r="C3393" s="3">
        <f>'[1]JUN 2025'!C86</f>
        <v>0</v>
      </c>
      <c r="D3393" s="3">
        <f>'[1]JUN 2025'!D86</f>
        <v>0</v>
      </c>
      <c r="E3393" s="3">
        <f>'[1]JUN 2025'!E86</f>
        <v>0</v>
      </c>
      <c r="F3393" s="3">
        <f>'[1]JUN 2025'!F86</f>
        <v>0</v>
      </c>
      <c r="G3393" s="3">
        <f>'[1]JUN 2025'!G86</f>
        <v>0</v>
      </c>
      <c r="H3393" s="3">
        <f>'[1]JUN 2025'!H86</f>
        <v>23800</v>
      </c>
    </row>
    <row r="3394" spans="1:8" x14ac:dyDescent="0.2">
      <c r="A3394" s="23">
        <f>'[1]JUN 2025'!A87</f>
        <v>45821</v>
      </c>
      <c r="B3394" s="12" t="str">
        <f>'[1]JUN 2025'!B87</f>
        <v>Andere</v>
      </c>
      <c r="C3394" s="3">
        <f>'[1]JUN 2025'!C87</f>
        <v>0</v>
      </c>
      <c r="D3394" s="3">
        <f>'[1]JUN 2025'!D87</f>
        <v>0</v>
      </c>
      <c r="E3394" s="3">
        <f>'[1]JUN 2025'!E87</f>
        <v>0</v>
      </c>
      <c r="F3394" s="3">
        <f>'[1]JUN 2025'!F87</f>
        <v>0</v>
      </c>
      <c r="G3394" s="3">
        <f>'[1]JUN 2025'!G87</f>
        <v>0</v>
      </c>
      <c r="H3394" s="3">
        <f>'[1]JUN 2025'!H87</f>
        <v>3000</v>
      </c>
    </row>
    <row r="3395" spans="1:8" x14ac:dyDescent="0.2">
      <c r="A3395" s="20">
        <f>'[1]JUN 2025'!A88</f>
        <v>45821</v>
      </c>
      <c r="B3395" s="12" t="str">
        <f>'[1]JUN 2025'!B88</f>
        <v>VM</v>
      </c>
      <c r="C3395" s="3">
        <f>'[1]JUN 2025'!C88</f>
        <v>0</v>
      </c>
      <c r="D3395" s="3">
        <f>'[1]JUN 2025'!D88</f>
        <v>0</v>
      </c>
      <c r="E3395" s="3">
        <f>'[1]JUN 2025'!E88</f>
        <v>0</v>
      </c>
      <c r="F3395" s="3">
        <f>'[1]JUN 2025'!F88</f>
        <v>0</v>
      </c>
      <c r="G3395" s="3">
        <f>'[1]JUN 2025'!G88</f>
        <v>0</v>
      </c>
      <c r="H3395" s="3">
        <f>'[1]JUN 2025'!H88</f>
        <v>174.97</v>
      </c>
    </row>
    <row r="3396" spans="1:8" x14ac:dyDescent="0.2">
      <c r="A3396" s="23">
        <f>'[1]JUN 2025'!A89</f>
        <v>45821</v>
      </c>
      <c r="B3396" s="12" t="str">
        <f>'[1]JUN 2025'!B89</f>
        <v>Andere</v>
      </c>
      <c r="C3396" s="3">
        <f>'[1]JUN 2025'!C89</f>
        <v>0</v>
      </c>
      <c r="D3396" s="3">
        <f>'[1]JUN 2025'!D89</f>
        <v>0</v>
      </c>
      <c r="E3396" s="3">
        <f>'[1]JUN 2025'!E89</f>
        <v>0</v>
      </c>
      <c r="F3396" s="3">
        <f>'[1]JUN 2025'!F89</f>
        <v>0</v>
      </c>
      <c r="G3396" s="3">
        <f>'[1]JUN 2025'!G89</f>
        <v>0</v>
      </c>
      <c r="H3396" s="3">
        <f>'[1]JUN 2025'!H89</f>
        <v>1624.1</v>
      </c>
    </row>
    <row r="3397" spans="1:8" x14ac:dyDescent="0.2">
      <c r="A3397" s="20">
        <f>'[1]JUN 2025'!A90</f>
        <v>45821</v>
      </c>
      <c r="B3397" s="12" t="str">
        <f>'[1]JUN 2025'!B90</f>
        <v>LM</v>
      </c>
      <c r="C3397" s="3">
        <f>'[1]JUN 2025'!C90</f>
        <v>0</v>
      </c>
      <c r="D3397" s="3">
        <f>'[1]JUN 2025'!D90</f>
        <v>0</v>
      </c>
      <c r="E3397" s="3">
        <f>'[1]JUN 2025'!E90</f>
        <v>0</v>
      </c>
      <c r="F3397" s="3">
        <f>'[1]JUN 2025'!F90</f>
        <v>0</v>
      </c>
      <c r="G3397" s="3">
        <f>'[1]JUN 2025'!G90</f>
        <v>0</v>
      </c>
      <c r="H3397" s="3">
        <f>'[1]JUN 2025'!H90</f>
        <v>5233.8900000000003</v>
      </c>
    </row>
    <row r="3398" spans="1:8" x14ac:dyDescent="0.2">
      <c r="A3398" s="23">
        <f>'[1]JUN 2025'!A93</f>
        <v>45822</v>
      </c>
      <c r="B3398" s="12" t="str">
        <f>'[1]JUN 2025'!B93</f>
        <v>Andere</v>
      </c>
      <c r="C3398" s="3">
        <f>'[1]JUN 2025'!C93</f>
        <v>0</v>
      </c>
      <c r="D3398" s="3">
        <f>'[1]JUN 2025'!D93</f>
        <v>0</v>
      </c>
      <c r="E3398" s="3">
        <f>'[1]JUN 2025'!E93</f>
        <v>0</v>
      </c>
      <c r="F3398" s="3">
        <f>'[1]JUN 2025'!F93</f>
        <v>0</v>
      </c>
      <c r="G3398" s="3">
        <f>'[1]JUN 2025'!G93</f>
        <v>0</v>
      </c>
      <c r="H3398" s="3">
        <f>'[1]JUN 2025'!H93</f>
        <v>1024</v>
      </c>
    </row>
    <row r="3399" spans="1:8" x14ac:dyDescent="0.2">
      <c r="A3399" s="20">
        <f>'[1]JUN 2025'!A94</f>
        <v>45822</v>
      </c>
      <c r="B3399" s="12" t="str">
        <f>'[1]JUN 2025'!B94</f>
        <v>LM</v>
      </c>
      <c r="C3399" s="3">
        <f>'[1]JUN 2025'!C94</f>
        <v>0</v>
      </c>
      <c r="D3399" s="3">
        <f>'[1]JUN 2025'!D94</f>
        <v>0</v>
      </c>
      <c r="E3399" s="3">
        <f>'[1]JUN 2025'!E94</f>
        <v>0</v>
      </c>
      <c r="F3399" s="3">
        <f>'[1]JUN 2025'!F94</f>
        <v>0</v>
      </c>
      <c r="G3399" s="3">
        <f>'[1]JUN 2025'!G94</f>
        <v>0</v>
      </c>
      <c r="H3399" s="3">
        <f>'[1]JUN 2025'!H94</f>
        <v>3120</v>
      </c>
    </row>
    <row r="3400" spans="1:8" x14ac:dyDescent="0.2">
      <c r="A3400" s="23">
        <f>'[1]JUN 2025'!A95</f>
        <v>45822</v>
      </c>
      <c r="B3400" s="12" t="str">
        <f>'[1]JUN 2025'!B95</f>
        <v>Andere</v>
      </c>
      <c r="C3400" s="3">
        <f>'[1]JUN 2025'!C95</f>
        <v>0</v>
      </c>
      <c r="D3400" s="3">
        <f>'[1]JUN 2025'!D95</f>
        <v>0</v>
      </c>
      <c r="E3400" s="3">
        <f>'[1]JUN 2025'!E95</f>
        <v>0</v>
      </c>
      <c r="F3400" s="3">
        <f>'[1]JUN 2025'!F95</f>
        <v>0</v>
      </c>
      <c r="G3400" s="3">
        <f>'[1]JUN 2025'!G95</f>
        <v>0</v>
      </c>
      <c r="H3400" s="3">
        <f>'[1]JUN 2025'!H95</f>
        <v>99</v>
      </c>
    </row>
    <row r="3401" spans="1:8" x14ac:dyDescent="0.2">
      <c r="A3401" s="20">
        <f>'[1]JUN 2025'!A96</f>
        <v>45822</v>
      </c>
      <c r="B3401" s="12" t="str">
        <f>'[1]JUN 2025'!B96</f>
        <v>LM</v>
      </c>
      <c r="C3401" s="3">
        <f>'[1]JUN 2025'!C96</f>
        <v>0</v>
      </c>
      <c r="D3401" s="3">
        <f>'[1]JUN 2025'!D96</f>
        <v>0</v>
      </c>
      <c r="E3401" s="3">
        <f>'[1]JUN 2025'!E96</f>
        <v>0</v>
      </c>
      <c r="F3401" s="3">
        <f>'[1]JUN 2025'!F96</f>
        <v>0</v>
      </c>
      <c r="G3401" s="3">
        <f>'[1]JUN 2025'!G96</f>
        <v>0</v>
      </c>
      <c r="H3401" s="3">
        <f>'[1]JUN 2025'!H96</f>
        <v>1009.98</v>
      </c>
    </row>
    <row r="3402" spans="1:8" x14ac:dyDescent="0.2">
      <c r="A3402" s="23">
        <f>'[1]JUN 2025'!A97</f>
        <v>45822</v>
      </c>
      <c r="B3402" s="12" t="str">
        <f>'[1]JUN 2025'!B97</f>
        <v>Frauen</v>
      </c>
      <c r="C3402" s="3">
        <f>'[1]JUN 2025'!C97</f>
        <v>0</v>
      </c>
      <c r="D3402" s="3">
        <f>'[1]JUN 2025'!D97</f>
        <v>0</v>
      </c>
      <c r="E3402" s="3">
        <f>'[1]JUN 2025'!E97</f>
        <v>0</v>
      </c>
      <c r="F3402" s="3">
        <f>'[1]JUN 2025'!F97</f>
        <v>0</v>
      </c>
      <c r="G3402" s="3">
        <f>'[1]JUN 2025'!G97</f>
        <v>0</v>
      </c>
      <c r="H3402" s="3">
        <f>'[1]JUN 2025'!H97</f>
        <v>759.6</v>
      </c>
    </row>
    <row r="3403" spans="1:8" x14ac:dyDescent="0.2">
      <c r="A3403" s="20">
        <f>'[1]JUN 2025'!A100</f>
        <v>45823</v>
      </c>
      <c r="B3403" s="12" t="str">
        <f>'[1]JUN 2025'!B100</f>
        <v>LM</v>
      </c>
      <c r="C3403" s="3">
        <f>'[1]JUN 2025'!C100</f>
        <v>0</v>
      </c>
      <c r="D3403" s="3">
        <f>'[1]JUN 2025'!D100</f>
        <v>0</v>
      </c>
      <c r="E3403" s="3">
        <f>'[1]JUN 2025'!E100</f>
        <v>0</v>
      </c>
      <c r="F3403" s="3">
        <f>'[1]JUN 2025'!F100</f>
        <v>0</v>
      </c>
      <c r="G3403" s="3">
        <f>'[1]JUN 2025'!G100</f>
        <v>0</v>
      </c>
      <c r="H3403" s="3">
        <f>'[1]JUN 2025'!H100</f>
        <v>2885.46</v>
      </c>
    </row>
    <row r="3404" spans="1:8" x14ac:dyDescent="0.2">
      <c r="A3404" s="23">
        <f>'[1]JUN 2025'!A101</f>
        <v>45823</v>
      </c>
      <c r="B3404" s="12" t="str">
        <f>'[1]JUN 2025'!B101</f>
        <v>VM</v>
      </c>
      <c r="C3404" s="3">
        <f>'[1]JUN 2025'!C101</f>
        <v>0</v>
      </c>
      <c r="D3404" s="3">
        <f>'[1]JUN 2025'!D101</f>
        <v>0</v>
      </c>
      <c r="E3404" s="3">
        <f>'[1]JUN 2025'!E101</f>
        <v>0</v>
      </c>
      <c r="F3404" s="3">
        <f>'[1]JUN 2025'!F101</f>
        <v>0</v>
      </c>
      <c r="G3404" s="3">
        <f>'[1]JUN 2025'!G101</f>
        <v>0</v>
      </c>
      <c r="H3404" s="3">
        <f>'[1]JUN 2025'!H101</f>
        <v>53.97</v>
      </c>
    </row>
    <row r="3405" spans="1:8" x14ac:dyDescent="0.2">
      <c r="A3405" s="23">
        <f>'[1]JUN 2025'!A107</f>
        <v>45824</v>
      </c>
      <c r="B3405" s="12" t="str">
        <f>'[1]JUN 2025'!B107</f>
        <v>LM</v>
      </c>
      <c r="C3405" s="3">
        <f>'[1]JUN 2025'!C107</f>
        <v>0</v>
      </c>
      <c r="D3405" s="3">
        <f>'[1]JUN 2025'!D107</f>
        <v>0</v>
      </c>
      <c r="E3405" s="3">
        <f>'[1]JUN 2025'!E107</f>
        <v>0</v>
      </c>
      <c r="F3405" s="3">
        <f>'[1]JUN 2025'!F107</f>
        <v>0</v>
      </c>
      <c r="G3405" s="3">
        <f>'[1]JUN 2025'!G107</f>
        <v>0</v>
      </c>
      <c r="H3405" s="3">
        <f>'[1]JUN 2025'!H107</f>
        <v>1315.68</v>
      </c>
    </row>
    <row r="3406" spans="1:8" x14ac:dyDescent="0.2">
      <c r="A3406" s="20">
        <f>'[1]JUN 2025'!A108</f>
        <v>45824</v>
      </c>
      <c r="B3406" s="12" t="str">
        <f>'[1]JUN 2025'!B108</f>
        <v>VM</v>
      </c>
      <c r="C3406" s="3">
        <f>'[1]JUN 2025'!C108</f>
        <v>0</v>
      </c>
      <c r="D3406" s="3">
        <f>'[1]JUN 2025'!D108</f>
        <v>0</v>
      </c>
      <c r="E3406" s="3">
        <f>'[1]JUN 2025'!E108</f>
        <v>0</v>
      </c>
      <c r="F3406" s="3">
        <f>'[1]JUN 2025'!F108</f>
        <v>0</v>
      </c>
      <c r="G3406" s="3">
        <f>'[1]JUN 2025'!G108</f>
        <v>0</v>
      </c>
      <c r="H3406" s="3">
        <f>'[1]JUN 2025'!H108</f>
        <v>148</v>
      </c>
    </row>
    <row r="3407" spans="1:8" x14ac:dyDescent="0.2">
      <c r="A3407" s="20">
        <f>'[1]JUN 2025'!A114</f>
        <v>45825</v>
      </c>
      <c r="B3407" s="12" t="str">
        <f>'[1]JUN 2025'!B114</f>
        <v>rent</v>
      </c>
      <c r="C3407" s="3">
        <f>'[1]JUN 2025'!C114</f>
        <v>0</v>
      </c>
      <c r="D3407" s="3">
        <f>'[1]JUN 2025'!D114</f>
        <v>0</v>
      </c>
      <c r="E3407" s="3">
        <f>'[1]JUN 2025'!E114</f>
        <v>0</v>
      </c>
      <c r="F3407" s="3">
        <f>'[1]JUN 2025'!F114</f>
        <v>0</v>
      </c>
      <c r="G3407" s="3">
        <f>'[1]JUN 2025'!G114</f>
        <v>0</v>
      </c>
      <c r="H3407" s="3">
        <f>'[1]JUN 2025'!H114</f>
        <v>55000</v>
      </c>
    </row>
    <row r="3408" spans="1:8" x14ac:dyDescent="0.2">
      <c r="A3408" s="23">
        <f>'[1]JUN 2025'!A115</f>
        <v>45825</v>
      </c>
      <c r="B3408" s="12" t="str">
        <f>'[1]JUN 2025'!B115</f>
        <v>VM</v>
      </c>
      <c r="C3408" s="3">
        <f>'[1]JUN 2025'!C115</f>
        <v>0</v>
      </c>
      <c r="D3408" s="3">
        <f>'[1]JUN 2025'!D115</f>
        <v>0</v>
      </c>
      <c r="E3408" s="3">
        <f>'[1]JUN 2025'!E115</f>
        <v>0</v>
      </c>
      <c r="F3408" s="3">
        <f>'[1]JUN 2025'!F115</f>
        <v>0</v>
      </c>
      <c r="G3408" s="3">
        <f>'[1]JUN 2025'!G115</f>
        <v>0</v>
      </c>
      <c r="H3408" s="3">
        <f>'[1]JUN 2025'!H115</f>
        <v>35.47</v>
      </c>
    </row>
    <row r="3409" spans="1:8" x14ac:dyDescent="0.2">
      <c r="A3409" s="20">
        <f>'[1]JUN 2025'!A116</f>
        <v>45825</v>
      </c>
      <c r="B3409" s="12" t="str">
        <f>'[1]JUN 2025'!B116</f>
        <v>LM</v>
      </c>
      <c r="C3409" s="3">
        <f>'[1]JUN 2025'!C116</f>
        <v>0</v>
      </c>
      <c r="D3409" s="3">
        <f>'[1]JUN 2025'!D116</f>
        <v>0</v>
      </c>
      <c r="E3409" s="3">
        <f>'[1]JUN 2025'!E116</f>
        <v>0</v>
      </c>
      <c r="F3409" s="3">
        <f>'[1]JUN 2025'!F116</f>
        <v>0</v>
      </c>
      <c r="G3409" s="3">
        <f>'[1]JUN 2025'!G116</f>
        <v>0</v>
      </c>
      <c r="H3409" s="3">
        <f>'[1]JUN 2025'!H116</f>
        <v>1516.85</v>
      </c>
    </row>
    <row r="3410" spans="1:8" x14ac:dyDescent="0.2">
      <c r="A3410" s="23">
        <f>'[1]JUN 2025'!A121</f>
        <v>45826</v>
      </c>
      <c r="B3410" s="12" t="str">
        <f>'[1]JUN 2025'!B121</f>
        <v>Andere</v>
      </c>
      <c r="C3410" s="3">
        <f>'[1]JUN 2025'!C121</f>
        <v>0</v>
      </c>
      <c r="D3410" s="3">
        <f>'[1]JUN 2025'!D121</f>
        <v>0</v>
      </c>
      <c r="E3410" s="3">
        <f>'[1]JUN 2025'!E121</f>
        <v>0</v>
      </c>
      <c r="F3410" s="3">
        <f>'[1]JUN 2025'!F121</f>
        <v>0</v>
      </c>
      <c r="G3410" s="3">
        <f>'[1]JUN 2025'!G121</f>
        <v>0</v>
      </c>
      <c r="H3410" s="3">
        <f>'[1]JUN 2025'!H121</f>
        <v>90</v>
      </c>
    </row>
    <row r="3411" spans="1:8" x14ac:dyDescent="0.2">
      <c r="A3411" s="20">
        <f>'[1]JUN 2025'!A122</f>
        <v>45826</v>
      </c>
      <c r="B3411" s="12" t="str">
        <f>'[1]JUN 2025'!B122</f>
        <v>VM</v>
      </c>
      <c r="C3411" s="3">
        <f>'[1]JUN 2025'!C122</f>
        <v>0</v>
      </c>
      <c r="D3411" s="3">
        <f>'[1]JUN 2025'!D122</f>
        <v>0</v>
      </c>
      <c r="E3411" s="3">
        <f>'[1]JUN 2025'!E122</f>
        <v>0</v>
      </c>
      <c r="F3411" s="3">
        <f>'[1]JUN 2025'!F122</f>
        <v>0</v>
      </c>
      <c r="G3411" s="3">
        <f>'[1]JUN 2025'!G122</f>
        <v>0</v>
      </c>
      <c r="H3411" s="3">
        <f>'[1]JUN 2025'!H122</f>
        <v>508.97</v>
      </c>
    </row>
    <row r="3412" spans="1:8" x14ac:dyDescent="0.2">
      <c r="A3412" s="23">
        <f>'[1]JUN 2025'!A123</f>
        <v>45826</v>
      </c>
      <c r="B3412" s="12" t="str">
        <f>'[1]JUN 2025'!B123</f>
        <v>Refill</v>
      </c>
      <c r="C3412" s="3">
        <f>'[1]JUN 2025'!C123</f>
        <v>0</v>
      </c>
      <c r="D3412" s="3">
        <f>'[1]JUN 2025'!D123</f>
        <v>0</v>
      </c>
      <c r="E3412" s="3">
        <f>'[1]JUN 2025'!E123</f>
        <v>0</v>
      </c>
      <c r="F3412" s="3">
        <f>'[1]JUN 2025'!F123</f>
        <v>0</v>
      </c>
      <c r="G3412" s="3">
        <f>'[1]JUN 2025'!G123</f>
        <v>12000</v>
      </c>
      <c r="H3412" s="3">
        <f>'[1]JUN 2025'!H123</f>
        <v>0</v>
      </c>
    </row>
    <row r="3413" spans="1:8" x14ac:dyDescent="0.2">
      <c r="A3413" s="20">
        <f>'[1]JUN 2025'!A124</f>
        <v>45826</v>
      </c>
      <c r="B3413" s="12" t="str">
        <f>'[1]JUN 2025'!B124</f>
        <v>Andere</v>
      </c>
      <c r="C3413" s="3">
        <f>'[1]JUN 2025'!C124</f>
        <v>0</v>
      </c>
      <c r="D3413" s="3">
        <f>'[1]JUN 2025'!D124</f>
        <v>0</v>
      </c>
      <c r="E3413" s="3">
        <f>'[1]JUN 2025'!E124</f>
        <v>0</v>
      </c>
      <c r="F3413" s="3">
        <f>'[1]JUN 2025'!F124</f>
        <v>0</v>
      </c>
      <c r="G3413" s="3">
        <f>'[1]JUN 2025'!G124</f>
        <v>0</v>
      </c>
      <c r="H3413" s="3">
        <f>'[1]JUN 2025'!H124</f>
        <v>1616</v>
      </c>
    </row>
    <row r="3414" spans="1:8" x14ac:dyDescent="0.2">
      <c r="A3414" s="23">
        <f>'[1]JUN 2025'!A125</f>
        <v>45826</v>
      </c>
      <c r="B3414" s="12" t="str">
        <f>'[1]JUN 2025'!B125</f>
        <v>LM</v>
      </c>
      <c r="C3414" s="3">
        <f>'[1]JUN 2025'!C125</f>
        <v>0</v>
      </c>
      <c r="D3414" s="3">
        <f>'[1]JUN 2025'!D125</f>
        <v>0</v>
      </c>
      <c r="E3414" s="3">
        <f>'[1]JUN 2025'!E125</f>
        <v>0</v>
      </c>
      <c r="F3414" s="3">
        <f>'[1]JUN 2025'!F125</f>
        <v>0</v>
      </c>
      <c r="G3414" s="3">
        <f>'[1]JUN 2025'!G125</f>
        <v>0</v>
      </c>
      <c r="H3414" s="3">
        <f>'[1]JUN 2025'!H125</f>
        <v>644.96</v>
      </c>
    </row>
    <row r="3415" spans="1:8" x14ac:dyDescent="0.2">
      <c r="A3415" s="20">
        <f>'[1]JUN 2025'!A128</f>
        <v>45827</v>
      </c>
      <c r="B3415" s="12" t="str">
        <f>'[1]JUN 2025'!B128</f>
        <v>VM</v>
      </c>
      <c r="C3415" s="3">
        <f>'[1]JUN 2025'!C128</f>
        <v>0</v>
      </c>
      <c r="D3415" s="3">
        <f>'[1]JUN 2025'!D128</f>
        <v>0</v>
      </c>
      <c r="E3415" s="3">
        <f>'[1]JUN 2025'!E128</f>
        <v>0</v>
      </c>
      <c r="F3415" s="3">
        <f>'[1]JUN 2025'!F128</f>
        <v>0</v>
      </c>
      <c r="G3415" s="3">
        <f>'[1]JUN 2025'!G128</f>
        <v>0</v>
      </c>
      <c r="H3415" s="3">
        <f>'[1]JUN 2025'!H128</f>
        <v>93</v>
      </c>
    </row>
    <row r="3416" spans="1:8" x14ac:dyDescent="0.2">
      <c r="A3416" s="23">
        <f>'[1]JUN 2025'!A129</f>
        <v>45827</v>
      </c>
      <c r="B3416" s="12" t="str">
        <f>'[1]JUN 2025'!B129</f>
        <v>LM</v>
      </c>
      <c r="C3416" s="3">
        <f>'[1]JUN 2025'!C129</f>
        <v>0</v>
      </c>
      <c r="D3416" s="3">
        <f>'[1]JUN 2025'!D129</f>
        <v>0</v>
      </c>
      <c r="E3416" s="3">
        <f>'[1]JUN 2025'!E129</f>
        <v>0</v>
      </c>
      <c r="F3416" s="3">
        <f>'[1]JUN 2025'!F129</f>
        <v>0</v>
      </c>
      <c r="G3416" s="3">
        <f>'[1]JUN 2025'!G129</f>
        <v>0</v>
      </c>
      <c r="H3416" s="3">
        <f>'[1]JUN 2025'!H129</f>
        <v>1661.43</v>
      </c>
    </row>
    <row r="3417" spans="1:8" x14ac:dyDescent="0.2">
      <c r="A3417" s="20">
        <f>'[1]JUN 2025'!A130</f>
        <v>45827</v>
      </c>
      <c r="B3417" s="12" t="str">
        <f>'[1]JUN 2025'!B130</f>
        <v>Andere</v>
      </c>
      <c r="C3417" s="3">
        <f>'[1]JUN 2025'!C130</f>
        <v>0</v>
      </c>
      <c r="D3417" s="3">
        <f>'[1]JUN 2025'!D130</f>
        <v>0</v>
      </c>
      <c r="E3417" s="3">
        <f>'[1]JUN 2025'!E130</f>
        <v>0</v>
      </c>
      <c r="F3417" s="3">
        <f>'[1]JUN 2025'!F130</f>
        <v>0</v>
      </c>
      <c r="G3417" s="3">
        <f>'[1]JUN 2025'!G130</f>
        <v>0</v>
      </c>
      <c r="H3417" s="3">
        <f>'[1]JUN 2025'!H130</f>
        <v>699</v>
      </c>
    </row>
    <row r="3418" spans="1:8" x14ac:dyDescent="0.2">
      <c r="A3418" s="23">
        <f>'[1]JUN 2025'!A131</f>
        <v>45827</v>
      </c>
      <c r="B3418" s="12" t="str">
        <f>'[1]JUN 2025'!B131</f>
        <v>Andere</v>
      </c>
      <c r="C3418" s="3">
        <f>'[1]JUN 2025'!C131</f>
        <v>0</v>
      </c>
      <c r="D3418" s="3">
        <f>'[1]JUN 2025'!D131</f>
        <v>0</v>
      </c>
      <c r="E3418" s="3">
        <f>'[1]JUN 2025'!E131</f>
        <v>0</v>
      </c>
      <c r="F3418" s="3">
        <f>'[1]JUN 2025'!F131</f>
        <v>0</v>
      </c>
      <c r="G3418" s="3">
        <f>'[1]JUN 2025'!G131</f>
        <v>0</v>
      </c>
      <c r="H3418" s="3">
        <f>'[1]JUN 2025'!H131</f>
        <v>5000</v>
      </c>
    </row>
    <row r="3419" spans="1:8" x14ac:dyDescent="0.2">
      <c r="A3419" s="23">
        <f>'[1]JUN 2025'!A135</f>
        <v>45828</v>
      </c>
      <c r="B3419" s="12" t="str">
        <f>'[1]JUN 2025'!B135</f>
        <v>VM</v>
      </c>
      <c r="C3419" s="3">
        <f>'[1]JUN 2025'!C135</f>
        <v>0</v>
      </c>
      <c r="D3419" s="3">
        <f>'[1]JUN 2025'!D135</f>
        <v>0</v>
      </c>
      <c r="E3419" s="3">
        <f>'[1]JUN 2025'!E135</f>
        <v>0</v>
      </c>
      <c r="F3419" s="3">
        <f>'[1]JUN 2025'!F135</f>
        <v>0</v>
      </c>
      <c r="G3419" s="3">
        <f>'[1]JUN 2025'!G135</f>
        <v>0</v>
      </c>
      <c r="H3419" s="3">
        <f>'[1]JUN 2025'!H135</f>
        <v>172</v>
      </c>
    </row>
    <row r="3420" spans="1:8" x14ac:dyDescent="0.2">
      <c r="A3420" s="20">
        <f>'[1]JUN 2025'!A136</f>
        <v>45828</v>
      </c>
      <c r="B3420" s="12" t="str">
        <f>'[1]JUN 2025'!B136</f>
        <v>LM</v>
      </c>
      <c r="C3420" s="3">
        <f>'[1]JUN 2025'!C136</f>
        <v>0</v>
      </c>
      <c r="D3420" s="3">
        <f>'[1]JUN 2025'!D136</f>
        <v>0</v>
      </c>
      <c r="E3420" s="3">
        <f>'[1]JUN 2025'!E136</f>
        <v>0</v>
      </c>
      <c r="F3420" s="3">
        <f>'[1]JUN 2025'!F136</f>
        <v>0</v>
      </c>
      <c r="G3420" s="3">
        <f>'[1]JUN 2025'!G136</f>
        <v>0</v>
      </c>
      <c r="H3420" s="3">
        <f>'[1]JUN 2025'!H136</f>
        <v>169.9</v>
      </c>
    </row>
    <row r="3421" spans="1:8" x14ac:dyDescent="0.2">
      <c r="A3421" s="20">
        <f>'[1]JUN 2025'!A142</f>
        <v>45829</v>
      </c>
      <c r="B3421" s="12" t="str">
        <f>'[1]JUN 2025'!B142</f>
        <v>VM</v>
      </c>
      <c r="C3421" s="3">
        <f>'[1]JUN 2025'!C142</f>
        <v>0</v>
      </c>
      <c r="D3421" s="3">
        <f>'[1]JUN 2025'!D142</f>
        <v>0</v>
      </c>
      <c r="E3421" s="3">
        <f>'[1]JUN 2025'!E142</f>
        <v>0</v>
      </c>
      <c r="F3421" s="3">
        <f>'[1]JUN 2025'!F142</f>
        <v>0</v>
      </c>
      <c r="G3421" s="3">
        <f>'[1]JUN 2025'!G142</f>
        <v>0</v>
      </c>
      <c r="H3421" s="3">
        <f>'[1]JUN 2025'!H142</f>
        <v>544</v>
      </c>
    </row>
    <row r="3422" spans="1:8" x14ac:dyDescent="0.2">
      <c r="A3422" s="23">
        <f>'[1]JUN 2025'!A143</f>
        <v>45829</v>
      </c>
      <c r="B3422" s="12" t="str">
        <f>'[1]JUN 2025'!B143</f>
        <v>LM</v>
      </c>
      <c r="C3422" s="3">
        <f>'[1]JUN 2025'!C143</f>
        <v>0</v>
      </c>
      <c r="D3422" s="3">
        <f>'[1]JUN 2025'!D143</f>
        <v>0</v>
      </c>
      <c r="E3422" s="3">
        <f>'[1]JUN 2025'!E143</f>
        <v>0</v>
      </c>
      <c r="F3422" s="3">
        <f>'[1]JUN 2025'!F143</f>
        <v>0</v>
      </c>
      <c r="G3422" s="3">
        <f>'[1]JUN 2025'!G143</f>
        <v>0</v>
      </c>
      <c r="H3422" s="3">
        <f>'[1]JUN 2025'!H143</f>
        <v>219.89</v>
      </c>
    </row>
    <row r="3423" spans="1:8" x14ac:dyDescent="0.2">
      <c r="A3423" s="23">
        <f>'[1]JUN 2025'!A149</f>
        <v>45830</v>
      </c>
      <c r="B3423" s="12" t="str">
        <f>'[1]JUN 2025'!B149</f>
        <v>VM</v>
      </c>
      <c r="C3423" s="3">
        <f>'[1]JUN 2025'!C149</f>
        <v>0</v>
      </c>
      <c r="D3423" s="3">
        <f>'[1]JUN 2025'!D149</f>
        <v>0</v>
      </c>
      <c r="E3423" s="3">
        <f>'[1]JUN 2025'!E149</f>
        <v>0</v>
      </c>
      <c r="F3423" s="3">
        <f>'[1]JUN 2025'!F149</f>
        <v>0</v>
      </c>
      <c r="G3423" s="3">
        <f>'[1]JUN 2025'!G149</f>
        <v>0</v>
      </c>
      <c r="H3423" s="3">
        <f>'[1]JUN 2025'!H149</f>
        <v>166</v>
      </c>
    </row>
    <row r="3424" spans="1:8" x14ac:dyDescent="0.2">
      <c r="A3424" s="20">
        <f>'[1]JUN 2025'!A150</f>
        <v>45830</v>
      </c>
      <c r="B3424" s="12" t="str">
        <f>'[1]JUN 2025'!B150</f>
        <v>LM</v>
      </c>
      <c r="C3424" s="3">
        <f>'[1]JUN 2025'!C150</f>
        <v>0</v>
      </c>
      <c r="D3424" s="3">
        <f>'[1]JUN 2025'!D150</f>
        <v>0</v>
      </c>
      <c r="E3424" s="3">
        <f>'[1]JUN 2025'!E150</f>
        <v>0</v>
      </c>
      <c r="F3424" s="3">
        <f>'[1]JUN 2025'!F150</f>
        <v>0</v>
      </c>
      <c r="G3424" s="3">
        <f>'[1]JUN 2025'!G150</f>
        <v>0</v>
      </c>
      <c r="H3424" s="3">
        <f>'[1]JUN 2025'!H150</f>
        <v>1086.98</v>
      </c>
    </row>
    <row r="3425" spans="1:8" x14ac:dyDescent="0.2">
      <c r="A3425" s="23">
        <f>'[1]JUN 2025'!A151</f>
        <v>45830</v>
      </c>
      <c r="B3425" s="12" t="str">
        <f>'[1]JUN 2025'!B151</f>
        <v>Frauen</v>
      </c>
      <c r="C3425" s="3">
        <f>'[1]JUN 2025'!C151</f>
        <v>0</v>
      </c>
      <c r="D3425" s="3">
        <f>'[1]JUN 2025'!D151</f>
        <v>0</v>
      </c>
      <c r="E3425" s="3">
        <f>'[1]JUN 2025'!E151</f>
        <v>0</v>
      </c>
      <c r="F3425" s="3">
        <f>'[1]JUN 2025'!F151</f>
        <v>0</v>
      </c>
      <c r="G3425" s="3">
        <f>'[1]JUN 2025'!G151</f>
        <v>0</v>
      </c>
      <c r="H3425" s="3">
        <f>'[1]JUN 2025'!H151</f>
        <v>8200</v>
      </c>
    </row>
    <row r="3426" spans="1:8" x14ac:dyDescent="0.2">
      <c r="A3426" s="20">
        <f>'[1]JUN 2025'!A156</f>
        <v>45831</v>
      </c>
      <c r="B3426" s="12" t="str">
        <f>'[1]JUN 2025'!B156</f>
        <v>Frauen</v>
      </c>
      <c r="C3426" s="3">
        <f>'[1]JUN 2025'!C156</f>
        <v>0</v>
      </c>
      <c r="D3426" s="3">
        <f>'[1]JUN 2025'!D156</f>
        <v>0</v>
      </c>
      <c r="E3426" s="3">
        <f>'[1]JUN 2025'!E156</f>
        <v>0</v>
      </c>
      <c r="F3426" s="3">
        <f>'[1]JUN 2025'!F156</f>
        <v>0</v>
      </c>
      <c r="G3426" s="3">
        <f>'[1]JUN 2025'!G156</f>
        <v>0</v>
      </c>
      <c r="H3426" s="3">
        <f>'[1]JUN 2025'!H156</f>
        <v>309</v>
      </c>
    </row>
    <row r="3427" spans="1:8" x14ac:dyDescent="0.2">
      <c r="A3427" s="23">
        <f>'[1]JUN 2025'!A157</f>
        <v>45831</v>
      </c>
      <c r="B3427" s="12" t="str">
        <f>'[1]JUN 2025'!B157</f>
        <v>VM</v>
      </c>
      <c r="C3427" s="3">
        <f>'[1]JUN 2025'!C157</f>
        <v>0</v>
      </c>
      <c r="D3427" s="3">
        <f>'[1]JUN 2025'!D157</f>
        <v>0</v>
      </c>
      <c r="E3427" s="3">
        <f>'[1]JUN 2025'!E157</f>
        <v>0</v>
      </c>
      <c r="F3427" s="3">
        <f>'[1]JUN 2025'!F157</f>
        <v>0</v>
      </c>
      <c r="G3427" s="3">
        <f>'[1]JUN 2025'!G157</f>
        <v>0</v>
      </c>
      <c r="H3427" s="3">
        <f>'[1]JUN 2025'!H157</f>
        <v>339</v>
      </c>
    </row>
    <row r="3428" spans="1:8" x14ac:dyDescent="0.2">
      <c r="A3428" s="20">
        <f>'[1]JUN 2025'!A158</f>
        <v>45831</v>
      </c>
      <c r="B3428" s="12" t="str">
        <f>'[1]JUN 2025'!B158</f>
        <v>LM</v>
      </c>
      <c r="C3428" s="3">
        <f>'[1]JUN 2025'!C158</f>
        <v>0</v>
      </c>
      <c r="D3428" s="3">
        <f>'[1]JUN 2025'!D158</f>
        <v>0</v>
      </c>
      <c r="E3428" s="3">
        <f>'[1]JUN 2025'!E158</f>
        <v>0</v>
      </c>
      <c r="F3428" s="3">
        <f>'[1]JUN 2025'!F158</f>
        <v>0</v>
      </c>
      <c r="G3428" s="3">
        <f>'[1]JUN 2025'!G158</f>
        <v>0</v>
      </c>
      <c r="H3428" s="3">
        <f>'[1]JUN 2025'!H158</f>
        <v>984</v>
      </c>
    </row>
    <row r="3429" spans="1:8" x14ac:dyDescent="0.2">
      <c r="A3429" s="23">
        <f>'[1]JUN 2025'!A159</f>
        <v>45831</v>
      </c>
      <c r="B3429" s="12" t="str">
        <f>'[1]JUN 2025'!B159</f>
        <v>Frauen</v>
      </c>
      <c r="C3429" s="3">
        <f>'[1]JUN 2025'!C159</f>
        <v>0</v>
      </c>
      <c r="D3429" s="3">
        <f>'[1]JUN 2025'!D159</f>
        <v>0</v>
      </c>
      <c r="E3429" s="3">
        <f>'[1]JUN 2025'!E159</f>
        <v>0</v>
      </c>
      <c r="F3429" s="3">
        <f>'[1]JUN 2025'!F159</f>
        <v>0</v>
      </c>
      <c r="G3429" s="3">
        <f>'[1]JUN 2025'!G159</f>
        <v>0</v>
      </c>
      <c r="H3429" s="3">
        <f>'[1]JUN 2025'!H159</f>
        <v>5674.99</v>
      </c>
    </row>
    <row r="3430" spans="1:8" x14ac:dyDescent="0.2">
      <c r="A3430" s="23">
        <f>'[1]JUN 2025'!A163</f>
        <v>45832</v>
      </c>
      <c r="B3430" s="12" t="str">
        <f>'[1]JUN 2025'!B163</f>
        <v>Andere</v>
      </c>
      <c r="C3430" s="3">
        <f>'[1]JUN 2025'!C163</f>
        <v>0</v>
      </c>
      <c r="D3430" s="3">
        <f>'[1]JUN 2025'!D163</f>
        <v>0</v>
      </c>
      <c r="E3430" s="3">
        <f>'[1]JUN 2025'!E163</f>
        <v>0</v>
      </c>
      <c r="F3430" s="3">
        <f>'[1]JUN 2025'!F163</f>
        <v>0</v>
      </c>
      <c r="G3430" s="3">
        <f>'[1]JUN 2025'!G163</f>
        <v>0</v>
      </c>
      <c r="H3430" s="3">
        <f>'[1]JUN 2025'!H163</f>
        <v>310</v>
      </c>
    </row>
    <row r="3431" spans="1:8" x14ac:dyDescent="0.2">
      <c r="A3431" s="20">
        <f>'[1]JUN 2025'!A164</f>
        <v>45832</v>
      </c>
      <c r="B3431" s="12" t="str">
        <f>'[1]JUN 2025'!B164</f>
        <v>VM</v>
      </c>
      <c r="C3431" s="3">
        <f>'[1]JUN 2025'!C164</f>
        <v>0</v>
      </c>
      <c r="D3431" s="3">
        <f>'[1]JUN 2025'!D164</f>
        <v>0</v>
      </c>
      <c r="E3431" s="3">
        <f>'[1]JUN 2025'!E164</f>
        <v>0</v>
      </c>
      <c r="F3431" s="3">
        <f>'[1]JUN 2025'!F164</f>
        <v>0</v>
      </c>
      <c r="G3431" s="3">
        <f>'[1]JUN 2025'!G164</f>
        <v>0</v>
      </c>
      <c r="H3431" s="3">
        <f>'[1]JUN 2025'!H164</f>
        <v>95</v>
      </c>
    </row>
    <row r="3432" spans="1:8" x14ac:dyDescent="0.2">
      <c r="A3432" s="23">
        <f>'[1]JUN 2025'!A165</f>
        <v>45832</v>
      </c>
      <c r="B3432" s="12" t="str">
        <f>'[1]JUN 2025'!B165</f>
        <v>Frauen</v>
      </c>
      <c r="C3432" s="3">
        <f>'[1]JUN 2025'!C165</f>
        <v>0</v>
      </c>
      <c r="D3432" s="3">
        <f>'[1]JUN 2025'!D165</f>
        <v>0</v>
      </c>
      <c r="E3432" s="3">
        <f>'[1]JUN 2025'!E165</f>
        <v>0</v>
      </c>
      <c r="F3432" s="3">
        <f>'[1]JUN 2025'!F165</f>
        <v>0</v>
      </c>
      <c r="G3432" s="3">
        <f>'[1]JUN 2025'!G165</f>
        <v>0</v>
      </c>
      <c r="H3432" s="3">
        <f>'[1]JUN 2025'!H165</f>
        <v>2332</v>
      </c>
    </row>
    <row r="3433" spans="1:8" x14ac:dyDescent="0.2">
      <c r="A3433" s="20">
        <f>'[1]JUN 2025'!A166</f>
        <v>45832</v>
      </c>
      <c r="B3433" s="12" t="str">
        <f>'[1]JUN 2025'!B166</f>
        <v>LM</v>
      </c>
      <c r="C3433" s="3">
        <f>'[1]JUN 2025'!C166</f>
        <v>0</v>
      </c>
      <c r="D3433" s="3">
        <f>'[1]JUN 2025'!D166</f>
        <v>0</v>
      </c>
      <c r="E3433" s="3">
        <f>'[1]JUN 2025'!E166</f>
        <v>0</v>
      </c>
      <c r="F3433" s="3">
        <f>'[1]JUN 2025'!F166</f>
        <v>0</v>
      </c>
      <c r="G3433" s="3">
        <f>'[1]JUN 2025'!G166</f>
        <v>0</v>
      </c>
      <c r="H3433" s="3">
        <f>'[1]JUN 2025'!H166</f>
        <v>658.44</v>
      </c>
    </row>
    <row r="3434" spans="1:8" x14ac:dyDescent="0.2">
      <c r="A3434" s="20">
        <f>'[1]JUN 2025'!A170</f>
        <v>45833</v>
      </c>
      <c r="B3434" s="12" t="str">
        <f>'[1]JUN 2025'!B170</f>
        <v>VM</v>
      </c>
      <c r="C3434" s="3">
        <f>'[1]JUN 2025'!C170</f>
        <v>0</v>
      </c>
      <c r="D3434" s="3">
        <f>'[1]JUN 2025'!D170</f>
        <v>0</v>
      </c>
      <c r="E3434" s="3">
        <f>'[1]JUN 2025'!E170</f>
        <v>0</v>
      </c>
      <c r="F3434" s="3">
        <f>'[1]JUN 2025'!F170</f>
        <v>0</v>
      </c>
      <c r="G3434" s="3">
        <f>'[1]JUN 2025'!G170</f>
        <v>0</v>
      </c>
      <c r="H3434" s="3">
        <f>'[1]JUN 2025'!H170</f>
        <v>72</v>
      </c>
    </row>
    <row r="3435" spans="1:8" x14ac:dyDescent="0.2">
      <c r="A3435" s="23">
        <f>'[1]JUN 2025'!A171</f>
        <v>45833</v>
      </c>
      <c r="B3435" s="12" t="str">
        <f>'[1]JUN 2025'!B171</f>
        <v>Refill</v>
      </c>
      <c r="C3435" s="3">
        <f>'[1]JUN 2025'!C171</f>
        <v>0</v>
      </c>
      <c r="D3435" s="3">
        <f>'[1]JUN 2025'!D171</f>
        <v>0</v>
      </c>
      <c r="E3435" s="3">
        <f>'[1]JUN 2025'!E171</f>
        <v>0</v>
      </c>
      <c r="F3435" s="3">
        <f>'[1]JUN 2025'!F171</f>
        <v>0</v>
      </c>
      <c r="G3435" s="3">
        <f>'[1]JUN 2025'!G171</f>
        <v>97312.06</v>
      </c>
      <c r="H3435" s="3">
        <f>'[1]JUN 2025'!H171</f>
        <v>0</v>
      </c>
    </row>
    <row r="3436" spans="1:8" x14ac:dyDescent="0.2">
      <c r="A3436" s="20">
        <f>'[1]JUN 2025'!A172</f>
        <v>45833</v>
      </c>
      <c r="B3436" s="12" t="str">
        <f>'[1]JUN 2025'!B172</f>
        <v>LM</v>
      </c>
      <c r="C3436" s="3">
        <f>'[1]JUN 2025'!C172</f>
        <v>0</v>
      </c>
      <c r="D3436" s="3">
        <f>'[1]JUN 2025'!D172</f>
        <v>0</v>
      </c>
      <c r="E3436" s="3">
        <f>'[1]JUN 2025'!E172</f>
        <v>0</v>
      </c>
      <c r="F3436" s="3">
        <f>'[1]JUN 2025'!F172</f>
        <v>0</v>
      </c>
      <c r="G3436" s="3">
        <f>'[1]JUN 2025'!G172</f>
        <v>0</v>
      </c>
      <c r="H3436" s="3">
        <f>'[1]JUN 2025'!H172</f>
        <v>435.71</v>
      </c>
    </row>
    <row r="3437" spans="1:8" x14ac:dyDescent="0.2">
      <c r="A3437" s="23">
        <f>'[1]JUN 2025'!A173</f>
        <v>45833</v>
      </c>
      <c r="B3437" s="12" t="str">
        <f>'[1]JUN 2025'!B173</f>
        <v>Refill</v>
      </c>
      <c r="C3437" s="3">
        <f>'[1]JUN 2025'!C173</f>
        <v>0</v>
      </c>
      <c r="D3437" s="3">
        <f>'[1]JUN 2025'!D173</f>
        <v>0</v>
      </c>
      <c r="E3437" s="3">
        <f>'[1]JUN 2025'!E173</f>
        <v>0</v>
      </c>
      <c r="F3437" s="3">
        <f>'[1]JUN 2025'!F173</f>
        <v>0</v>
      </c>
      <c r="G3437" s="3">
        <f>'[1]JUN 2025'!G173</f>
        <v>5177.7700000000004</v>
      </c>
      <c r="H3437" s="3">
        <f>'[1]JUN 2025'!H173</f>
        <v>0</v>
      </c>
    </row>
    <row r="3438" spans="1:8" x14ac:dyDescent="0.2">
      <c r="A3438" s="23">
        <f>'[1]JUN 2025'!A177</f>
        <v>45834</v>
      </c>
      <c r="B3438" s="12" t="str">
        <f>'[1]JUN 2025'!B177</f>
        <v>Refill</v>
      </c>
      <c r="C3438" s="3">
        <f>'[1]JUN 2025'!C177</f>
        <v>0</v>
      </c>
      <c r="D3438" s="3">
        <f>'[1]JUN 2025'!D177</f>
        <v>0</v>
      </c>
      <c r="E3438" s="3">
        <f>'[1]JUN 2025'!E177</f>
        <v>0</v>
      </c>
      <c r="F3438" s="3">
        <f>'[1]JUN 2025'!F177</f>
        <v>0</v>
      </c>
      <c r="G3438" s="3">
        <f>'[1]JUN 2025'!G177</f>
        <v>25355.89</v>
      </c>
      <c r="H3438" s="3">
        <f>'[1]JUN 2025'!H177</f>
        <v>0</v>
      </c>
    </row>
    <row r="3439" spans="1:8" x14ac:dyDescent="0.2">
      <c r="A3439" s="20">
        <f>'[1]JUN 2025'!A178</f>
        <v>45834</v>
      </c>
      <c r="B3439" s="12" t="str">
        <f>'[1]JUN 2025'!B178</f>
        <v>VM</v>
      </c>
      <c r="C3439" s="3">
        <f>'[1]JUN 2025'!C178</f>
        <v>0</v>
      </c>
      <c r="D3439" s="3">
        <f>'[1]JUN 2025'!D178</f>
        <v>0</v>
      </c>
      <c r="E3439" s="3">
        <f>'[1]JUN 2025'!E178</f>
        <v>0</v>
      </c>
      <c r="F3439" s="3">
        <f>'[1]JUN 2025'!F178</f>
        <v>0</v>
      </c>
      <c r="G3439" s="3">
        <f>'[1]JUN 2025'!G178</f>
        <v>0</v>
      </c>
      <c r="H3439" s="3">
        <f>'[1]JUN 2025'!H178</f>
        <v>240</v>
      </c>
    </row>
    <row r="3440" spans="1:8" x14ac:dyDescent="0.2">
      <c r="A3440" s="23">
        <f>'[1]JUN 2025'!A179</f>
        <v>45834</v>
      </c>
      <c r="B3440" s="12" t="str">
        <f>'[1]JUN 2025'!B179</f>
        <v>for me</v>
      </c>
      <c r="C3440" s="3">
        <f>'[1]JUN 2025'!C179</f>
        <v>0</v>
      </c>
      <c r="D3440" s="3">
        <f>'[1]JUN 2025'!D179</f>
        <v>0</v>
      </c>
      <c r="E3440" s="3">
        <f>'[1]JUN 2025'!E179</f>
        <v>0</v>
      </c>
      <c r="F3440" s="3">
        <f>'[1]JUN 2025'!F179</f>
        <v>0</v>
      </c>
      <c r="G3440" s="3">
        <f>'[1]JUN 2025'!G179</f>
        <v>0</v>
      </c>
      <c r="H3440" s="3">
        <f>'[1]JUN 2025'!H179</f>
        <v>2989</v>
      </c>
    </row>
    <row r="3441" spans="1:8" x14ac:dyDescent="0.2">
      <c r="A3441" s="20">
        <f>'[1]JUN 2025'!A180</f>
        <v>45834</v>
      </c>
      <c r="B3441" s="12" t="str">
        <f>'[1]JUN 2025'!B180</f>
        <v>LM</v>
      </c>
      <c r="C3441" s="3">
        <f>'[1]JUN 2025'!C180</f>
        <v>0</v>
      </c>
      <c r="D3441" s="3">
        <f>'[1]JUN 2025'!D180</f>
        <v>0</v>
      </c>
      <c r="E3441" s="3">
        <f>'[1]JUN 2025'!E180</f>
        <v>0</v>
      </c>
      <c r="F3441" s="3">
        <f>'[1]JUN 2025'!F180</f>
        <v>0</v>
      </c>
      <c r="G3441" s="3">
        <f>'[1]JUN 2025'!G180</f>
        <v>0</v>
      </c>
      <c r="H3441" s="3">
        <f>'[1]JUN 2025'!H180</f>
        <v>279</v>
      </c>
    </row>
    <row r="3442" spans="1:8" x14ac:dyDescent="0.2">
      <c r="A3442" s="23">
        <f>'[1]JUN 2025'!A181</f>
        <v>45834</v>
      </c>
      <c r="B3442" s="12" t="str">
        <f>'[1]JUN 2025'!B181</f>
        <v>Frauen</v>
      </c>
      <c r="C3442" s="3">
        <f>'[1]JUN 2025'!C181</f>
        <v>0</v>
      </c>
      <c r="D3442" s="3">
        <f>'[1]JUN 2025'!D181</f>
        <v>0</v>
      </c>
      <c r="E3442" s="3">
        <f>'[1]JUN 2025'!E181</f>
        <v>0</v>
      </c>
      <c r="F3442" s="3">
        <f>'[1]JUN 2025'!F181</f>
        <v>0</v>
      </c>
      <c r="G3442" s="3">
        <f>'[1]JUN 2025'!G181</f>
        <v>0</v>
      </c>
      <c r="H3442" s="3">
        <f>'[1]JUN 2025'!H181</f>
        <v>4620</v>
      </c>
    </row>
    <row r="3443" spans="1:8" x14ac:dyDescent="0.2">
      <c r="A3443" s="20">
        <f>'[1]JUN 2025'!A184</f>
        <v>45835</v>
      </c>
      <c r="B3443" s="12" t="str">
        <f>'[1]JUN 2025'!B184</f>
        <v>Andere</v>
      </c>
      <c r="C3443" s="3">
        <f>'[1]JUN 2025'!C184</f>
        <v>0</v>
      </c>
      <c r="D3443" s="3">
        <f>'[1]JUN 2025'!D184</f>
        <v>0</v>
      </c>
      <c r="E3443" s="3">
        <f>'[1]JUN 2025'!E184</f>
        <v>0</v>
      </c>
      <c r="F3443" s="3">
        <f>'[1]JUN 2025'!F184</f>
        <v>0</v>
      </c>
      <c r="G3443" s="3">
        <f>'[1]JUN 2025'!G184</f>
        <v>0</v>
      </c>
      <c r="H3443" s="3">
        <f>'[1]JUN 2025'!H184</f>
        <v>192</v>
      </c>
    </row>
    <row r="3444" spans="1:8" x14ac:dyDescent="0.2">
      <c r="A3444" s="23">
        <f>'[1]JUN 2025'!A185</f>
        <v>45835</v>
      </c>
      <c r="B3444" s="12" t="str">
        <f>'[1]JUN 2025'!B185</f>
        <v>VM</v>
      </c>
      <c r="C3444" s="3">
        <f>'[1]JUN 2025'!C185</f>
        <v>0</v>
      </c>
      <c r="D3444" s="3">
        <f>'[1]JUN 2025'!D185</f>
        <v>0</v>
      </c>
      <c r="E3444" s="3">
        <f>'[1]JUN 2025'!E185</f>
        <v>0</v>
      </c>
      <c r="F3444" s="3">
        <f>'[1]JUN 2025'!F185</f>
        <v>0</v>
      </c>
      <c r="G3444" s="3">
        <f>'[1]JUN 2025'!G185</f>
        <v>0</v>
      </c>
      <c r="H3444" s="3">
        <f>'[1]JUN 2025'!H185</f>
        <v>246</v>
      </c>
    </row>
    <row r="3445" spans="1:8" x14ac:dyDescent="0.2">
      <c r="A3445" s="20">
        <f>'[1]JUN 2025'!A186</f>
        <v>45835</v>
      </c>
      <c r="B3445" s="12" t="str">
        <f>'[1]JUN 2025'!B186</f>
        <v>LM</v>
      </c>
      <c r="C3445" s="3">
        <f>'[1]JUN 2025'!C186</f>
        <v>0</v>
      </c>
      <c r="D3445" s="3">
        <f>'[1]JUN 2025'!D186</f>
        <v>0</v>
      </c>
      <c r="E3445" s="3">
        <f>'[1]JUN 2025'!E186</f>
        <v>0</v>
      </c>
      <c r="F3445" s="3">
        <f>'[1]JUN 2025'!F186</f>
        <v>0</v>
      </c>
      <c r="G3445" s="3">
        <f>'[1]JUN 2025'!G186</f>
        <v>0</v>
      </c>
      <c r="H3445" s="3">
        <f>'[1]JUN 2025'!H186</f>
        <v>689.14</v>
      </c>
    </row>
    <row r="3446" spans="1:8" x14ac:dyDescent="0.2">
      <c r="A3446" s="23">
        <f>'[1]JUN 2025'!A191</f>
        <v>45836</v>
      </c>
      <c r="B3446" s="12" t="str">
        <f>'[1]JUN 2025'!B191</f>
        <v>VM</v>
      </c>
      <c r="C3446" s="3">
        <f>'[1]JUN 2025'!C191</f>
        <v>0</v>
      </c>
      <c r="D3446" s="3">
        <f>'[1]JUN 2025'!D191</f>
        <v>0</v>
      </c>
      <c r="E3446" s="3">
        <f>'[1]JUN 2025'!E191</f>
        <v>0</v>
      </c>
      <c r="F3446" s="3">
        <f>'[1]JUN 2025'!F191</f>
        <v>0</v>
      </c>
      <c r="G3446" s="3">
        <f>'[1]JUN 2025'!G191</f>
        <v>0</v>
      </c>
      <c r="H3446" s="3">
        <f>'[1]JUN 2025'!H191</f>
        <v>148</v>
      </c>
    </row>
    <row r="3447" spans="1:8" x14ac:dyDescent="0.2">
      <c r="A3447" s="20">
        <f>'[1]JUN 2025'!A192</f>
        <v>45836</v>
      </c>
      <c r="B3447" s="12" t="str">
        <f>'[1]JUN 2025'!B192</f>
        <v>LM</v>
      </c>
      <c r="C3447" s="3">
        <f>'[1]JUN 2025'!C192</f>
        <v>0</v>
      </c>
      <c r="D3447" s="3">
        <f>'[1]JUN 2025'!D192</f>
        <v>0</v>
      </c>
      <c r="E3447" s="3">
        <f>'[1]JUN 2025'!E192</f>
        <v>0</v>
      </c>
      <c r="F3447" s="3">
        <f>'[1]JUN 2025'!F192</f>
        <v>0</v>
      </c>
      <c r="G3447" s="3">
        <f>'[1]JUN 2025'!G192</f>
        <v>0</v>
      </c>
      <c r="H3447" s="3">
        <f>'[1]JUN 2025'!H192</f>
        <v>1219.7700000000004</v>
      </c>
    </row>
    <row r="3448" spans="1:8" x14ac:dyDescent="0.2">
      <c r="A3448" s="20">
        <f>'[1]JUN 2025'!A198</f>
        <v>45837</v>
      </c>
      <c r="B3448" s="12" t="str">
        <f>'[1]JUN 2025'!B198</f>
        <v>VM</v>
      </c>
      <c r="C3448" s="3">
        <f>'[1]JUN 2025'!C198</f>
        <v>0</v>
      </c>
      <c r="D3448" s="3">
        <f>'[1]JUN 2025'!D198</f>
        <v>0</v>
      </c>
      <c r="E3448" s="3">
        <f>'[1]JUN 2025'!E198</f>
        <v>0</v>
      </c>
      <c r="F3448" s="3">
        <f>'[1]JUN 2025'!F198</f>
        <v>0</v>
      </c>
      <c r="G3448" s="3">
        <f>'[1]JUN 2025'!G198</f>
        <v>0</v>
      </c>
      <c r="H3448" s="3">
        <f>'[1]JUN 2025'!H198</f>
        <v>1225</v>
      </c>
    </row>
    <row r="3449" spans="1:8" x14ac:dyDescent="0.2">
      <c r="A3449" s="23">
        <f>'[1]JUN 2025'!A199</f>
        <v>45837</v>
      </c>
      <c r="B3449" s="12" t="str">
        <f>'[1]JUN 2025'!B199</f>
        <v>LM</v>
      </c>
      <c r="C3449" s="3">
        <f>'[1]JUN 2025'!C199</f>
        <v>0</v>
      </c>
      <c r="D3449" s="3">
        <f>'[1]JUN 2025'!D199</f>
        <v>0</v>
      </c>
      <c r="E3449" s="3">
        <f>'[1]JUN 2025'!E199</f>
        <v>0</v>
      </c>
      <c r="F3449" s="3">
        <f>'[1]JUN 2025'!F199</f>
        <v>0</v>
      </c>
      <c r="G3449" s="3">
        <f>'[1]JUN 2025'!G199</f>
        <v>0</v>
      </c>
      <c r="H3449" s="3">
        <f>'[1]JUN 2025'!H199</f>
        <v>686.94</v>
      </c>
    </row>
    <row r="3450" spans="1:8" x14ac:dyDescent="0.2">
      <c r="A3450" s="23">
        <f>'[1]JUN 2025'!A205</f>
        <v>45838</v>
      </c>
      <c r="B3450" s="12" t="str">
        <f>'[1]JUN 2025'!B205</f>
        <v>Party</v>
      </c>
      <c r="C3450" s="3">
        <f>'[1]JUN 2025'!C205</f>
        <v>0</v>
      </c>
      <c r="D3450" s="3">
        <f>'[1]JUN 2025'!D205</f>
        <v>0</v>
      </c>
      <c r="E3450" s="3">
        <f>'[1]JUN 2025'!E205</f>
        <v>0</v>
      </c>
      <c r="F3450" s="3">
        <f>'[1]JUN 2025'!F205</f>
        <v>0</v>
      </c>
      <c r="G3450" s="3">
        <f>'[1]JUN 2025'!G205</f>
        <v>0</v>
      </c>
      <c r="H3450" s="3">
        <f>'[1]JUN 2025'!H205</f>
        <v>4700</v>
      </c>
    </row>
    <row r="3451" spans="1:8" x14ac:dyDescent="0.2">
      <c r="A3451" s="20">
        <f>'[1]JUN 2025'!A206</f>
        <v>45838</v>
      </c>
      <c r="B3451" s="12" t="str">
        <f>'[1]JUN 2025'!B206</f>
        <v>LM</v>
      </c>
      <c r="C3451" s="3">
        <f>'[1]JUN 2025'!C206</f>
        <v>0</v>
      </c>
      <c r="D3451" s="3">
        <f>'[1]JUN 2025'!D206</f>
        <v>0</v>
      </c>
      <c r="E3451" s="3">
        <f>'[1]JUN 2025'!E206</f>
        <v>0</v>
      </c>
      <c r="F3451" s="3">
        <f>'[1]JUN 2025'!F206</f>
        <v>0</v>
      </c>
      <c r="G3451" s="3">
        <f>'[1]JUN 2025'!G206</f>
        <v>0</v>
      </c>
      <c r="H3451" s="3">
        <f>'[1]JUN 2025'!H206</f>
        <v>4454.12</v>
      </c>
    </row>
    <row r="3452" spans="1:8" x14ac:dyDescent="0.2">
      <c r="A3452" s="20">
        <f>'[1]JUL 2025'!A2</f>
        <v>45839</v>
      </c>
      <c r="B3452" s="12" t="str">
        <f>'[1]JUL 2025'!B2</f>
        <v>LM</v>
      </c>
      <c r="C3452" s="3">
        <f>'[1]JUL 2025'!C2</f>
        <v>0</v>
      </c>
      <c r="D3452" s="3">
        <f>'[1]JUL 2025'!D2</f>
        <v>0</v>
      </c>
      <c r="E3452" s="3">
        <f>'[1]JUL 2025'!E2</f>
        <v>0</v>
      </c>
      <c r="F3452" s="3">
        <f>'[1]JUL 2025'!F2</f>
        <v>0</v>
      </c>
      <c r="G3452" s="3">
        <f>'[1]JUL 2025'!G2</f>
        <v>0</v>
      </c>
      <c r="H3452" s="3">
        <f>'[1]JUL 2025'!H2</f>
        <v>1020</v>
      </c>
    </row>
    <row r="3453" spans="1:8" x14ac:dyDescent="0.2">
      <c r="A3453" s="23">
        <f>'[1]JUL 2025'!A3</f>
        <v>45839</v>
      </c>
      <c r="B3453" s="12" t="str">
        <f>'[1]JUL 2025'!B3</f>
        <v>VM</v>
      </c>
      <c r="C3453" s="3">
        <f>'[1]JUL 2025'!C3</f>
        <v>0</v>
      </c>
      <c r="D3453" s="3">
        <f>'[1]JUL 2025'!D3</f>
        <v>0</v>
      </c>
      <c r="E3453" s="3">
        <f>'[1]JUL 2025'!E3</f>
        <v>0</v>
      </c>
      <c r="F3453" s="3">
        <f>'[1]JUL 2025'!F3</f>
        <v>0</v>
      </c>
      <c r="G3453" s="3">
        <f>'[1]JUL 2025'!G3</f>
        <v>0</v>
      </c>
      <c r="H3453" s="3">
        <f>'[1]JUL 2025'!H3</f>
        <v>43</v>
      </c>
    </row>
    <row r="3454" spans="1:8" x14ac:dyDescent="0.2">
      <c r="A3454" s="20">
        <f>'[1]JUL 2025'!A4</f>
        <v>45839</v>
      </c>
      <c r="B3454" s="12" t="str">
        <f>'[1]JUL 2025'!B4</f>
        <v>Andere</v>
      </c>
      <c r="C3454" s="3">
        <f>'[1]JUL 2025'!C4</f>
        <v>0</v>
      </c>
      <c r="D3454" s="3">
        <f>'[1]JUL 2025'!D4</f>
        <v>0</v>
      </c>
      <c r="E3454" s="3">
        <f>'[1]JUL 2025'!E4</f>
        <v>0</v>
      </c>
      <c r="F3454" s="3">
        <f>'[1]JUL 2025'!F4</f>
        <v>0</v>
      </c>
      <c r="G3454" s="3">
        <f>'[1]JUL 2025'!G4</f>
        <v>0</v>
      </c>
      <c r="H3454" s="3">
        <f>'[1]JUL 2025'!H4</f>
        <v>1990</v>
      </c>
    </row>
    <row r="3455" spans="1:8" x14ac:dyDescent="0.2">
      <c r="A3455" s="23">
        <f>'[1]JUL 2025'!A9</f>
        <v>45840</v>
      </c>
      <c r="B3455" s="12" t="str">
        <f>'[1]JUL 2025'!B9</f>
        <v>LM</v>
      </c>
      <c r="C3455" s="3">
        <f>'[1]JUL 2025'!C9</f>
        <v>0</v>
      </c>
      <c r="D3455" s="3">
        <f>'[1]JUL 2025'!D9</f>
        <v>0</v>
      </c>
      <c r="E3455" s="3">
        <f>'[1]JUL 2025'!E9</f>
        <v>0</v>
      </c>
      <c r="F3455" s="3">
        <f>'[1]JUL 2025'!F9</f>
        <v>0</v>
      </c>
      <c r="G3455" s="3">
        <f>'[1]JUL 2025'!G9</f>
        <v>0</v>
      </c>
      <c r="H3455" s="3">
        <f>'[1]JUL 2025'!H9</f>
        <v>702</v>
      </c>
    </row>
    <row r="3456" spans="1:8" x14ac:dyDescent="0.2">
      <c r="A3456" s="20">
        <f>'[1]JUL 2025'!A10</f>
        <v>45840</v>
      </c>
      <c r="B3456" s="12" t="str">
        <f>'[1]JUL 2025'!B10</f>
        <v>Rauchen</v>
      </c>
      <c r="C3456" s="3">
        <f>'[1]JUL 2025'!C10</f>
        <v>0</v>
      </c>
      <c r="D3456" s="3">
        <f>'[1]JUL 2025'!D10</f>
        <v>0</v>
      </c>
      <c r="E3456" s="3">
        <f>'[1]JUL 2025'!E10</f>
        <v>0</v>
      </c>
      <c r="F3456" s="3">
        <f>'[1]JUL 2025'!F10</f>
        <v>0</v>
      </c>
      <c r="G3456" s="3">
        <f>'[1]JUL 2025'!G10</f>
        <v>0</v>
      </c>
      <c r="H3456" s="3">
        <f>'[1]JUL 2025'!H10</f>
        <v>200</v>
      </c>
    </row>
    <row r="3457" spans="1:8" x14ac:dyDescent="0.2">
      <c r="A3457" s="20">
        <f>'[1]JUL 2025'!A16</f>
        <v>45841</v>
      </c>
      <c r="B3457" s="12" t="str">
        <f>'[1]JUL 2025'!B16</f>
        <v>Andere</v>
      </c>
      <c r="C3457" s="3">
        <f>'[1]JUL 2025'!C16</f>
        <v>0</v>
      </c>
      <c r="D3457" s="3">
        <f>'[1]JUL 2025'!D16</f>
        <v>0</v>
      </c>
      <c r="E3457" s="3">
        <f>'[1]JUL 2025'!E16</f>
        <v>0</v>
      </c>
      <c r="F3457" s="3">
        <f>'[1]JUL 2025'!F16</f>
        <v>0</v>
      </c>
      <c r="G3457" s="3">
        <f>'[1]JUL 2025'!G16</f>
        <v>0</v>
      </c>
      <c r="H3457" s="3">
        <f>'[1]JUL 2025'!H16</f>
        <v>2900</v>
      </c>
    </row>
    <row r="3458" spans="1:8" x14ac:dyDescent="0.2">
      <c r="A3458" s="23">
        <f>'[1]JUL 2025'!A17</f>
        <v>45841</v>
      </c>
      <c r="B3458" s="12" t="str">
        <f>'[1]JUL 2025'!B17</f>
        <v>VM</v>
      </c>
      <c r="C3458" s="3">
        <f>'[1]JUL 2025'!C17</f>
        <v>0</v>
      </c>
      <c r="D3458" s="3">
        <f>'[1]JUL 2025'!D17</f>
        <v>0</v>
      </c>
      <c r="E3458" s="3">
        <f>'[1]JUL 2025'!E17</f>
        <v>0</v>
      </c>
      <c r="F3458" s="3">
        <f>'[1]JUL 2025'!F17</f>
        <v>0</v>
      </c>
      <c r="G3458" s="3">
        <f>'[1]JUL 2025'!G17</f>
        <v>0</v>
      </c>
      <c r="H3458" s="3">
        <f>'[1]JUL 2025'!H17</f>
        <v>265</v>
      </c>
    </row>
    <row r="3459" spans="1:8" x14ac:dyDescent="0.2">
      <c r="A3459" s="20">
        <f>'[1]JUL 2025'!A18</f>
        <v>45841</v>
      </c>
      <c r="B3459" s="12" t="str">
        <f>'[1]JUL 2025'!B18</f>
        <v>LM</v>
      </c>
      <c r="C3459" s="3">
        <f>'[1]JUL 2025'!C18</f>
        <v>0</v>
      </c>
      <c r="D3459" s="3">
        <f>'[1]JUL 2025'!D18</f>
        <v>0</v>
      </c>
      <c r="E3459" s="3">
        <f>'[1]JUL 2025'!E18</f>
        <v>0</v>
      </c>
      <c r="F3459" s="3">
        <f>'[1]JUL 2025'!F18</f>
        <v>0</v>
      </c>
      <c r="G3459" s="3">
        <f>'[1]JUL 2025'!G18</f>
        <v>0</v>
      </c>
      <c r="H3459" s="3">
        <f>'[1]JUL 2025'!H18</f>
        <v>216.09</v>
      </c>
    </row>
    <row r="3460" spans="1:8" x14ac:dyDescent="0.2">
      <c r="A3460" s="23">
        <f>'[1]JUL 2025'!A23</f>
        <v>45842</v>
      </c>
      <c r="B3460" s="12" t="str">
        <f>'[1]JUL 2025'!B23</f>
        <v>VM</v>
      </c>
      <c r="C3460" s="3">
        <f>'[1]JUL 2025'!C23</f>
        <v>0</v>
      </c>
      <c r="D3460" s="3">
        <f>'[1]JUL 2025'!D23</f>
        <v>0</v>
      </c>
      <c r="E3460" s="3">
        <f>'[1]JUL 2025'!E23</f>
        <v>0</v>
      </c>
      <c r="F3460" s="3">
        <f>'[1]JUL 2025'!F23</f>
        <v>0</v>
      </c>
      <c r="G3460" s="3">
        <f>'[1]JUL 2025'!G23</f>
        <v>0</v>
      </c>
      <c r="H3460" s="3">
        <f>'[1]JUL 2025'!H23</f>
        <v>22</v>
      </c>
    </row>
    <row r="3461" spans="1:8" x14ac:dyDescent="0.2">
      <c r="A3461" s="20">
        <f>'[1]JUL 2025'!A24</f>
        <v>45842</v>
      </c>
      <c r="B3461" s="12" t="str">
        <f>'[1]JUL 2025'!B24</f>
        <v>for me</v>
      </c>
      <c r="C3461" s="3">
        <f>'[1]JUL 2025'!C24</f>
        <v>0</v>
      </c>
      <c r="D3461" s="3">
        <f>'[1]JUL 2025'!D24</f>
        <v>0</v>
      </c>
      <c r="E3461" s="3">
        <f>'[1]JUL 2025'!E24</f>
        <v>0</v>
      </c>
      <c r="F3461" s="3">
        <f>'[1]JUL 2025'!F24</f>
        <v>0</v>
      </c>
      <c r="G3461" s="3">
        <f>'[1]JUL 2025'!G24</f>
        <v>0</v>
      </c>
      <c r="H3461" s="3">
        <f>'[1]JUL 2025'!H24</f>
        <v>1400</v>
      </c>
    </row>
    <row r="3462" spans="1:8" x14ac:dyDescent="0.2">
      <c r="A3462" s="23">
        <f>'[1]JUL 2025'!A25</f>
        <v>45842</v>
      </c>
      <c r="B3462" s="12" t="str">
        <f>'[1]JUL 2025'!B25</f>
        <v>LM</v>
      </c>
      <c r="C3462" s="3">
        <f>'[1]JUL 2025'!C25</f>
        <v>0</v>
      </c>
      <c r="D3462" s="3">
        <f>'[1]JUL 2025'!D25</f>
        <v>0</v>
      </c>
      <c r="E3462" s="3">
        <f>'[1]JUL 2025'!E25</f>
        <v>0</v>
      </c>
      <c r="F3462" s="3">
        <f>'[1]JUL 2025'!F25</f>
        <v>0</v>
      </c>
      <c r="G3462" s="3">
        <f>'[1]JUL 2025'!G25</f>
        <v>0</v>
      </c>
      <c r="H3462" s="3">
        <f>'[1]JUL 2025'!H25</f>
        <v>139.99</v>
      </c>
    </row>
    <row r="3463" spans="1:8" x14ac:dyDescent="0.2">
      <c r="A3463" s="20">
        <f>'[1]JUL 2025'!A30</f>
        <v>45843</v>
      </c>
      <c r="B3463" s="12" t="str">
        <f>'[1]JUL 2025'!B30</f>
        <v>LM</v>
      </c>
      <c r="C3463" s="3">
        <f>'[1]JUL 2025'!C30</f>
        <v>0</v>
      </c>
      <c r="D3463" s="3">
        <f>'[1]JUL 2025'!D30</f>
        <v>0</v>
      </c>
      <c r="E3463" s="3">
        <f>'[1]JUL 2025'!E30</f>
        <v>0</v>
      </c>
      <c r="F3463" s="3">
        <f>'[1]JUL 2025'!F30</f>
        <v>0</v>
      </c>
      <c r="G3463" s="3">
        <f>'[1]JUL 2025'!G30</f>
        <v>0</v>
      </c>
      <c r="H3463" s="3">
        <f>'[1]JUL 2025'!H30</f>
        <v>3000</v>
      </c>
    </row>
    <row r="3464" spans="1:8" x14ac:dyDescent="0.2">
      <c r="A3464" s="23">
        <f>'[1]JUL 2025'!A31</f>
        <v>45843</v>
      </c>
      <c r="B3464" s="12" t="str">
        <f>'[1]JUL 2025'!B31</f>
        <v>LM</v>
      </c>
      <c r="C3464" s="3">
        <f>'[1]JUL 2025'!C31</f>
        <v>0</v>
      </c>
      <c r="D3464" s="3">
        <f>'[1]JUL 2025'!D31</f>
        <v>0</v>
      </c>
      <c r="E3464" s="3">
        <f>'[1]JUL 2025'!E31</f>
        <v>0</v>
      </c>
      <c r="F3464" s="3">
        <f>'[1]JUL 2025'!F31</f>
        <v>0</v>
      </c>
      <c r="G3464" s="3">
        <f>'[1]JUL 2025'!G31</f>
        <v>0</v>
      </c>
      <c r="H3464" s="3">
        <f>'[1]JUL 2025'!H31</f>
        <v>2193.29</v>
      </c>
    </row>
    <row r="3465" spans="1:8" x14ac:dyDescent="0.2">
      <c r="A3465" s="20">
        <f>'[1]JUL 2025'!A32</f>
        <v>45843</v>
      </c>
      <c r="B3465" s="12" t="str">
        <f>'[1]JUL 2025'!B32</f>
        <v>VM</v>
      </c>
      <c r="C3465" s="3">
        <f>'[1]JUL 2025'!C32</f>
        <v>0</v>
      </c>
      <c r="D3465" s="3">
        <f>'[1]JUL 2025'!D32</f>
        <v>0</v>
      </c>
      <c r="E3465" s="3">
        <f>'[1]JUL 2025'!E32</f>
        <v>0</v>
      </c>
      <c r="F3465" s="3">
        <f>'[1]JUL 2025'!F32</f>
        <v>0</v>
      </c>
      <c r="G3465" s="3">
        <f>'[1]JUL 2025'!G32</f>
        <v>0</v>
      </c>
      <c r="H3465" s="3">
        <f>'[1]JUL 2025'!H32</f>
        <v>82</v>
      </c>
    </row>
    <row r="3466" spans="1:8" x14ac:dyDescent="0.2">
      <c r="A3466" s="23">
        <f>'[1]JUL 2025'!A37</f>
        <v>45844</v>
      </c>
      <c r="B3466" s="12" t="str">
        <f>'[1]JUL 2025'!B37</f>
        <v>LM</v>
      </c>
      <c r="C3466" s="3">
        <f>'[1]JUL 2025'!C37</f>
        <v>0</v>
      </c>
      <c r="D3466" s="3">
        <f>'[1]JUL 2025'!D37</f>
        <v>0</v>
      </c>
      <c r="E3466" s="3">
        <f>'[1]JUL 2025'!E37</f>
        <v>0</v>
      </c>
      <c r="F3466" s="3">
        <f>'[1]JUL 2025'!F37</f>
        <v>0</v>
      </c>
      <c r="G3466" s="3">
        <f>'[1]JUL 2025'!G37</f>
        <v>0</v>
      </c>
      <c r="H3466" s="3">
        <f>'[1]JUL 2025'!H37</f>
        <v>1054</v>
      </c>
    </row>
    <row r="3467" spans="1:8" x14ac:dyDescent="0.2">
      <c r="A3467" s="20">
        <f>'[1]JUL 2025'!A38</f>
        <v>45844</v>
      </c>
      <c r="B3467" s="12" t="str">
        <f>'[1]JUL 2025'!B38</f>
        <v>VM</v>
      </c>
      <c r="C3467" s="3">
        <f>'[1]JUL 2025'!C38</f>
        <v>0</v>
      </c>
      <c r="D3467" s="3">
        <f>'[1]JUL 2025'!D38</f>
        <v>0</v>
      </c>
      <c r="E3467" s="3">
        <f>'[1]JUL 2025'!E38</f>
        <v>0</v>
      </c>
      <c r="F3467" s="3">
        <f>'[1]JUL 2025'!F38</f>
        <v>0</v>
      </c>
      <c r="G3467" s="3">
        <f>'[1]JUL 2025'!G38</f>
        <v>0</v>
      </c>
      <c r="H3467" s="3">
        <f>'[1]JUL 2025'!H38</f>
        <v>222</v>
      </c>
    </row>
    <row r="3468" spans="1:8" x14ac:dyDescent="0.2">
      <c r="A3468" s="20">
        <f>'[1]JUL 2025'!A44</f>
        <v>45845</v>
      </c>
      <c r="B3468" s="12" t="str">
        <f>'[1]JUL 2025'!B44</f>
        <v>Andere</v>
      </c>
      <c r="C3468" s="3">
        <f>'[1]JUL 2025'!C44</f>
        <v>0</v>
      </c>
      <c r="D3468" s="3">
        <f>'[1]JUL 2025'!D44</f>
        <v>0</v>
      </c>
      <c r="E3468" s="3">
        <f>'[1]JUL 2025'!E44</f>
        <v>0</v>
      </c>
      <c r="F3468" s="3">
        <f>'[1]JUL 2025'!F44</f>
        <v>0</v>
      </c>
      <c r="G3468" s="3">
        <f>'[1]JUL 2025'!G44</f>
        <v>0</v>
      </c>
      <c r="H3468" s="3">
        <f>'[1]JUL 2025'!H44</f>
        <v>850</v>
      </c>
    </row>
    <row r="3469" spans="1:8" x14ac:dyDescent="0.2">
      <c r="A3469" s="23">
        <f>'[1]JUL 2025'!A45</f>
        <v>45845</v>
      </c>
      <c r="B3469" s="12" t="str">
        <f>'[1]JUL 2025'!B45</f>
        <v>Andere</v>
      </c>
      <c r="C3469" s="3">
        <f>'[1]JUL 2025'!C45</f>
        <v>0</v>
      </c>
      <c r="D3469" s="3">
        <f>'[1]JUL 2025'!D45</f>
        <v>0</v>
      </c>
      <c r="E3469" s="3">
        <f>'[1]JUL 2025'!E45</f>
        <v>0</v>
      </c>
      <c r="F3469" s="3">
        <f>'[1]JUL 2025'!F45</f>
        <v>0</v>
      </c>
      <c r="G3469" s="3">
        <f>'[1]JUL 2025'!G45</f>
        <v>0</v>
      </c>
      <c r="H3469" s="3">
        <f>'[1]JUL 2025'!H45</f>
        <v>8000</v>
      </c>
    </row>
    <row r="3470" spans="1:8" x14ac:dyDescent="0.2">
      <c r="A3470" s="20">
        <f>'[1]JUL 2025'!A46</f>
        <v>45845</v>
      </c>
      <c r="B3470" s="12" t="str">
        <f>'[1]JUL 2025'!B46</f>
        <v>LM</v>
      </c>
      <c r="C3470" s="3">
        <f>'[1]JUL 2025'!C46</f>
        <v>0</v>
      </c>
      <c r="D3470" s="3">
        <f>'[1]JUL 2025'!D46</f>
        <v>0</v>
      </c>
      <c r="E3470" s="3">
        <f>'[1]JUL 2025'!E46</f>
        <v>0</v>
      </c>
      <c r="F3470" s="3">
        <f>'[1]JUL 2025'!F46</f>
        <v>0</v>
      </c>
      <c r="G3470" s="3">
        <f>'[1]JUL 2025'!G46</f>
        <v>0</v>
      </c>
      <c r="H3470" s="3">
        <f>'[1]JUL 2025'!H46</f>
        <v>617.31000000000006</v>
      </c>
    </row>
    <row r="3471" spans="1:8" x14ac:dyDescent="0.2">
      <c r="A3471" s="23">
        <f>'[1]JUL 2025'!A47</f>
        <v>45845</v>
      </c>
      <c r="B3471" s="12" t="str">
        <f>'[1]JUL 2025'!B47</f>
        <v>Andere</v>
      </c>
      <c r="C3471" s="3">
        <f>'[1]JUL 2025'!C47</f>
        <v>0</v>
      </c>
      <c r="D3471" s="3">
        <f>'[1]JUL 2025'!D47</f>
        <v>0</v>
      </c>
      <c r="E3471" s="3">
        <f>'[1]JUL 2025'!E47</f>
        <v>0</v>
      </c>
      <c r="F3471" s="3">
        <f>'[1]JUL 2025'!F47</f>
        <v>0</v>
      </c>
      <c r="G3471" s="3">
        <f>'[1]JUL 2025'!G47</f>
        <v>0</v>
      </c>
      <c r="H3471" s="3">
        <f>'[1]JUL 2025'!H47</f>
        <v>186.6</v>
      </c>
    </row>
    <row r="3472" spans="1:8" x14ac:dyDescent="0.2">
      <c r="A3472" s="23">
        <f>'[1]JUL 2025'!A51</f>
        <v>45846</v>
      </c>
      <c r="B3472" s="12" t="str">
        <f>'[1]JUL 2025'!B51</f>
        <v>Refill</v>
      </c>
      <c r="C3472" s="3">
        <f>'[1]JUL 2025'!C51</f>
        <v>0</v>
      </c>
      <c r="D3472" s="3">
        <f>'[1]JUL 2025'!D51</f>
        <v>0</v>
      </c>
      <c r="E3472" s="3">
        <f>'[1]JUL 2025'!E51</f>
        <v>0</v>
      </c>
      <c r="F3472" s="3">
        <f>'[1]JUL 2025'!F51</f>
        <v>0</v>
      </c>
      <c r="G3472" s="3">
        <f>'[1]JUL 2025'!G51</f>
        <v>8640</v>
      </c>
      <c r="H3472" s="3">
        <f>'[1]JUL 2025'!H51</f>
        <v>0</v>
      </c>
    </row>
    <row r="3473" spans="1:8" x14ac:dyDescent="0.2">
      <c r="A3473" s="20">
        <f>'[1]JUL 2025'!A52</f>
        <v>45846</v>
      </c>
      <c r="B3473" s="12" t="str">
        <f>'[1]JUL 2025'!B52</f>
        <v>LM</v>
      </c>
      <c r="C3473" s="3">
        <f>'[1]JUL 2025'!C52</f>
        <v>0</v>
      </c>
      <c r="D3473" s="3">
        <f>'[1]JUL 2025'!D52</f>
        <v>0</v>
      </c>
      <c r="E3473" s="3">
        <f>'[1]JUL 2025'!E52</f>
        <v>0</v>
      </c>
      <c r="F3473" s="3">
        <f>'[1]JUL 2025'!F52</f>
        <v>0</v>
      </c>
      <c r="G3473" s="3">
        <f>'[1]JUL 2025'!G52</f>
        <v>0</v>
      </c>
      <c r="H3473" s="3">
        <f>'[1]JUL 2025'!H52</f>
        <v>1293.9000000000001</v>
      </c>
    </row>
    <row r="3474" spans="1:8" x14ac:dyDescent="0.2">
      <c r="A3474" s="23">
        <f>'[1]JUL 2025'!A53</f>
        <v>45846</v>
      </c>
      <c r="B3474" s="12" t="str">
        <f>'[1]JUL 2025'!B53</f>
        <v>Andere</v>
      </c>
      <c r="C3474" s="3">
        <f>'[1]JUL 2025'!C53</f>
        <v>0</v>
      </c>
      <c r="D3474" s="3">
        <f>'[1]JUL 2025'!D53</f>
        <v>0</v>
      </c>
      <c r="E3474" s="3">
        <f>'[1]JUL 2025'!E53</f>
        <v>0</v>
      </c>
      <c r="F3474" s="3">
        <f>'[1]JUL 2025'!F53</f>
        <v>0</v>
      </c>
      <c r="G3474" s="3">
        <f>'[1]JUL 2025'!G53</f>
        <v>0</v>
      </c>
      <c r="H3474" s="3">
        <f>'[1]JUL 2025'!H53</f>
        <v>249</v>
      </c>
    </row>
    <row r="3475" spans="1:8" x14ac:dyDescent="0.2">
      <c r="A3475" s="20">
        <f>'[1]JUL 2025'!A54</f>
        <v>45846</v>
      </c>
      <c r="B3475" s="12" t="str">
        <f>'[1]JUL 2025'!B54</f>
        <v>VM</v>
      </c>
      <c r="C3475" s="3">
        <f>'[1]JUL 2025'!C54</f>
        <v>0</v>
      </c>
      <c r="D3475" s="3">
        <f>'[1]JUL 2025'!D54</f>
        <v>0</v>
      </c>
      <c r="E3475" s="3">
        <f>'[1]JUL 2025'!E54</f>
        <v>0</v>
      </c>
      <c r="F3475" s="3">
        <f>'[1]JUL 2025'!F54</f>
        <v>0</v>
      </c>
      <c r="G3475" s="3">
        <f>'[1]JUL 2025'!G54</f>
        <v>0</v>
      </c>
      <c r="H3475" s="3">
        <f>'[1]JUL 2025'!H54</f>
        <v>19</v>
      </c>
    </row>
    <row r="3476" spans="1:8" x14ac:dyDescent="0.2">
      <c r="A3476" s="20">
        <f>'[1]JUL 2025'!A58</f>
        <v>45847</v>
      </c>
      <c r="B3476" s="12" t="str">
        <f>'[1]JUL 2025'!B58</f>
        <v>VM</v>
      </c>
      <c r="C3476" s="3">
        <f>'[1]JUL 2025'!C58</f>
        <v>0</v>
      </c>
      <c r="D3476" s="3">
        <f>'[1]JUL 2025'!D58</f>
        <v>0</v>
      </c>
      <c r="E3476" s="3">
        <f>'[1]JUL 2025'!E58</f>
        <v>0</v>
      </c>
      <c r="F3476" s="3">
        <f>'[1]JUL 2025'!F58</f>
        <v>0</v>
      </c>
      <c r="G3476" s="3">
        <f>'[1]JUL 2025'!G58</f>
        <v>0</v>
      </c>
      <c r="H3476" s="3">
        <f>'[1]JUL 2025'!H58</f>
        <v>335.97</v>
      </c>
    </row>
    <row r="3477" spans="1:8" x14ac:dyDescent="0.2">
      <c r="A3477" s="23">
        <f>'[1]JUL 2025'!A59</f>
        <v>45847</v>
      </c>
      <c r="B3477" s="12" t="str">
        <f>'[1]JUL 2025'!B59</f>
        <v>Refill</v>
      </c>
      <c r="C3477" s="3">
        <f>'[1]JUL 2025'!C59</f>
        <v>0</v>
      </c>
      <c r="D3477" s="3">
        <f>'[1]JUL 2025'!D59</f>
        <v>0</v>
      </c>
      <c r="E3477" s="3">
        <f>'[1]JUL 2025'!E59</f>
        <v>0</v>
      </c>
      <c r="F3477" s="3">
        <f>'[1]JUL 2025'!F59</f>
        <v>0</v>
      </c>
      <c r="G3477" s="3">
        <f>'[1]JUL 2025'!G59</f>
        <v>2880</v>
      </c>
      <c r="H3477" s="3">
        <f>'[1]JUL 2025'!H59</f>
        <v>0</v>
      </c>
    </row>
    <row r="3478" spans="1:8" x14ac:dyDescent="0.2">
      <c r="A3478" s="20">
        <f>'[1]JUL 2025'!A60</f>
        <v>45847</v>
      </c>
      <c r="B3478" s="12" t="str">
        <f>'[1]JUL 2025'!B60</f>
        <v>LM</v>
      </c>
      <c r="C3478" s="3">
        <f>'[1]JUL 2025'!C60</f>
        <v>0</v>
      </c>
      <c r="D3478" s="3">
        <f>'[1]JUL 2025'!D60</f>
        <v>0</v>
      </c>
      <c r="E3478" s="3">
        <f>'[1]JUL 2025'!E60</f>
        <v>0</v>
      </c>
      <c r="F3478" s="3">
        <f>'[1]JUL 2025'!F60</f>
        <v>0</v>
      </c>
      <c r="G3478" s="3">
        <f>'[1]JUL 2025'!G60</f>
        <v>0</v>
      </c>
      <c r="H3478" s="3">
        <f>'[1]JUL 2025'!H60</f>
        <v>1340</v>
      </c>
    </row>
    <row r="3479" spans="1:8" x14ac:dyDescent="0.2">
      <c r="A3479" s="23">
        <f>'[1]JUL 2025'!A61</f>
        <v>45847</v>
      </c>
      <c r="B3479" s="12" t="str">
        <f>'[1]JUL 2025'!B61</f>
        <v>Andere</v>
      </c>
      <c r="C3479" s="3">
        <f>'[1]JUL 2025'!C61</f>
        <v>0</v>
      </c>
      <c r="D3479" s="3">
        <f>'[1]JUL 2025'!D61</f>
        <v>0</v>
      </c>
      <c r="E3479" s="3">
        <f>'[1]JUL 2025'!E61</f>
        <v>0</v>
      </c>
      <c r="F3479" s="3">
        <f>'[1]JUL 2025'!F61</f>
        <v>0</v>
      </c>
      <c r="G3479" s="3">
        <f>'[1]JUL 2025'!G61</f>
        <v>0</v>
      </c>
      <c r="H3479" s="3">
        <f>'[1]JUL 2025'!H61</f>
        <v>180</v>
      </c>
    </row>
    <row r="3480" spans="1:8" x14ac:dyDescent="0.2">
      <c r="A3480" s="23">
        <f>'[1]JUL 2025'!A65</f>
        <v>45848</v>
      </c>
      <c r="B3480" s="12" t="str">
        <f>'[1]JUL 2025'!B65</f>
        <v>Refill</v>
      </c>
      <c r="C3480" s="3">
        <f>'[1]JUL 2025'!C65</f>
        <v>0</v>
      </c>
      <c r="D3480" s="3">
        <f>'[1]JUL 2025'!D65</f>
        <v>0</v>
      </c>
      <c r="E3480" s="3">
        <f>'[1]JUL 2025'!E65</f>
        <v>0</v>
      </c>
      <c r="F3480" s="3">
        <f>'[1]JUL 2025'!F65</f>
        <v>0</v>
      </c>
      <c r="G3480" s="3">
        <f>'[1]JUL 2025'!G65</f>
        <v>133804.94</v>
      </c>
      <c r="H3480" s="3">
        <f>'[1]JUL 2025'!H65</f>
        <v>0</v>
      </c>
    </row>
    <row r="3481" spans="1:8" x14ac:dyDescent="0.2">
      <c r="A3481" s="20">
        <f>'[1]JUL 2025'!A66</f>
        <v>45848</v>
      </c>
      <c r="B3481" s="12" t="str">
        <f>'[1]JUL 2025'!B66</f>
        <v>LM</v>
      </c>
      <c r="C3481" s="3">
        <f>'[1]JUL 2025'!C66</f>
        <v>0</v>
      </c>
      <c r="D3481" s="3">
        <f>'[1]JUL 2025'!D66</f>
        <v>0</v>
      </c>
      <c r="E3481" s="3">
        <f>'[1]JUL 2025'!E66</f>
        <v>0</v>
      </c>
      <c r="F3481" s="3">
        <f>'[1]JUL 2025'!F66</f>
        <v>0</v>
      </c>
      <c r="G3481" s="3">
        <f>'[1]JUL 2025'!G66</f>
        <v>0</v>
      </c>
      <c r="H3481" s="3">
        <f>'[1]JUL 2025'!H66</f>
        <v>121.98</v>
      </c>
    </row>
    <row r="3482" spans="1:8" x14ac:dyDescent="0.2">
      <c r="A3482" s="20">
        <f>'[1]JUL 2025'!A72</f>
        <v>45849</v>
      </c>
      <c r="B3482" s="12" t="str">
        <f>'[1]JUL 2025'!B72</f>
        <v>LM</v>
      </c>
      <c r="C3482" s="3">
        <f>'[1]JUL 2025'!C72</f>
        <v>0</v>
      </c>
      <c r="D3482" s="3">
        <f>'[1]JUL 2025'!D72</f>
        <v>0</v>
      </c>
      <c r="E3482" s="3">
        <f>'[1]JUL 2025'!E72</f>
        <v>0</v>
      </c>
      <c r="F3482" s="3">
        <f>'[1]JUL 2025'!F72</f>
        <v>0</v>
      </c>
      <c r="G3482" s="3">
        <f>'[1]JUL 2025'!G72</f>
        <v>0</v>
      </c>
      <c r="H3482" s="3">
        <f>'[1]JUL 2025'!H72</f>
        <v>1243.5900000000001</v>
      </c>
    </row>
    <row r="3483" spans="1:8" x14ac:dyDescent="0.2">
      <c r="A3483" s="23">
        <f>'[1]JUL 2025'!A73</f>
        <v>45849</v>
      </c>
      <c r="B3483" s="12" t="str">
        <f>'[1]JUL 2025'!B73</f>
        <v>Andere</v>
      </c>
      <c r="C3483" s="3">
        <f>'[1]JUL 2025'!C73</f>
        <v>0</v>
      </c>
      <c r="D3483" s="3">
        <f>'[1]JUL 2025'!D73</f>
        <v>0</v>
      </c>
      <c r="E3483" s="3">
        <f>'[1]JUL 2025'!E73</f>
        <v>0</v>
      </c>
      <c r="F3483" s="3">
        <f>'[1]JUL 2025'!F73</f>
        <v>0</v>
      </c>
      <c r="G3483" s="3">
        <f>'[1]JUL 2025'!G73</f>
        <v>0</v>
      </c>
      <c r="H3483" s="3">
        <f>'[1]JUL 2025'!H73</f>
        <v>861</v>
      </c>
    </row>
    <row r="3484" spans="1:8" x14ac:dyDescent="0.2">
      <c r="A3484" s="23">
        <f>'[1]JUL 2025'!A79</f>
        <v>45850</v>
      </c>
      <c r="B3484" s="12" t="str">
        <f>'[1]JUL 2025'!B79</f>
        <v>VM</v>
      </c>
      <c r="C3484" s="3">
        <f>'[1]JUL 2025'!C79</f>
        <v>0</v>
      </c>
      <c r="D3484" s="3">
        <f>'[1]JUL 2025'!D79</f>
        <v>0</v>
      </c>
      <c r="E3484" s="3">
        <f>'[1]JUL 2025'!E79</f>
        <v>0</v>
      </c>
      <c r="F3484" s="3">
        <f>'[1]JUL 2025'!F79</f>
        <v>0</v>
      </c>
      <c r="G3484" s="3">
        <f>'[1]JUL 2025'!G79</f>
        <v>0</v>
      </c>
      <c r="H3484" s="3">
        <f>'[1]JUL 2025'!H79</f>
        <v>222</v>
      </c>
    </row>
    <row r="3485" spans="1:8" x14ac:dyDescent="0.2">
      <c r="A3485" s="20">
        <f>'[1]JUL 2025'!A80</f>
        <v>45850</v>
      </c>
      <c r="B3485" s="12" t="str">
        <f>'[1]JUL 2025'!B80</f>
        <v>LM</v>
      </c>
      <c r="C3485" s="3">
        <f>'[1]JUL 2025'!C80</f>
        <v>0</v>
      </c>
      <c r="D3485" s="3">
        <f>'[1]JUL 2025'!D80</f>
        <v>0</v>
      </c>
      <c r="E3485" s="3">
        <f>'[1]JUL 2025'!E80</f>
        <v>0</v>
      </c>
      <c r="F3485" s="3">
        <f>'[1]JUL 2025'!F80</f>
        <v>0</v>
      </c>
      <c r="G3485" s="3">
        <f>'[1]JUL 2025'!G80</f>
        <v>0</v>
      </c>
      <c r="H3485" s="3">
        <f>'[1]JUL 2025'!H80</f>
        <v>2062.23</v>
      </c>
    </row>
    <row r="3486" spans="1:8" x14ac:dyDescent="0.2">
      <c r="A3486" s="20">
        <f>'[1]JUL 2025'!A86</f>
        <v>45851</v>
      </c>
      <c r="B3486" s="12" t="str">
        <f>'[1]JUL 2025'!B86</f>
        <v>LM</v>
      </c>
      <c r="C3486" s="3">
        <f>'[1]JUL 2025'!C86</f>
        <v>0</v>
      </c>
      <c r="D3486" s="3">
        <f>'[1]JUL 2025'!D86</f>
        <v>0</v>
      </c>
      <c r="E3486" s="3">
        <f>'[1]JUL 2025'!E86</f>
        <v>0</v>
      </c>
      <c r="F3486" s="3">
        <f>'[1]JUL 2025'!F86</f>
        <v>0</v>
      </c>
      <c r="G3486" s="3">
        <f>'[1]JUL 2025'!G86</f>
        <v>0</v>
      </c>
      <c r="H3486" s="3">
        <f>'[1]JUL 2025'!H86</f>
        <v>3019.97</v>
      </c>
    </row>
    <row r="3487" spans="1:8" x14ac:dyDescent="0.2">
      <c r="A3487" s="23">
        <f>'[1]JUL 2025'!A87</f>
        <v>45851</v>
      </c>
      <c r="B3487" s="12" t="str">
        <f>'[1]JUL 2025'!B87</f>
        <v>Andere</v>
      </c>
      <c r="C3487" s="3">
        <f>'[1]JUL 2025'!C87</f>
        <v>0</v>
      </c>
      <c r="D3487" s="3">
        <f>'[1]JUL 2025'!D87</f>
        <v>0</v>
      </c>
      <c r="E3487" s="3">
        <f>'[1]JUL 2025'!E87</f>
        <v>0</v>
      </c>
      <c r="F3487" s="3">
        <f>'[1]JUL 2025'!F87</f>
        <v>0</v>
      </c>
      <c r="G3487" s="3">
        <f>'[1]JUL 2025'!G87</f>
        <v>0</v>
      </c>
      <c r="H3487" s="3">
        <f>'[1]JUL 2025'!H87</f>
        <v>1799</v>
      </c>
    </row>
    <row r="3488" spans="1:8" x14ac:dyDescent="0.2">
      <c r="A3488" s="23">
        <f>'[1]JUL 2025'!A93</f>
        <v>45852</v>
      </c>
      <c r="B3488" s="12" t="str">
        <f>'[1]JUL 2025'!B93</f>
        <v>LM</v>
      </c>
      <c r="C3488" s="3">
        <f>'[1]JUL 2025'!C93</f>
        <v>0</v>
      </c>
      <c r="D3488" s="3">
        <f>'[1]JUL 2025'!D93</f>
        <v>0</v>
      </c>
      <c r="E3488" s="3">
        <f>'[1]JUL 2025'!E93</f>
        <v>0</v>
      </c>
      <c r="F3488" s="3">
        <f>'[1]JUL 2025'!F93</f>
        <v>0</v>
      </c>
      <c r="G3488" s="3">
        <f>'[1]JUL 2025'!G93</f>
        <v>0</v>
      </c>
      <c r="H3488" s="3">
        <f>'[1]JUL 2025'!H93</f>
        <v>876.99</v>
      </c>
    </row>
    <row r="3489" spans="1:8" x14ac:dyDescent="0.2">
      <c r="A3489" s="20">
        <f>'[1]JUL 2025'!A94</f>
        <v>45852</v>
      </c>
      <c r="B3489" s="12" t="str">
        <f>'[1]JUL 2025'!B94</f>
        <v>Frauen</v>
      </c>
      <c r="C3489" s="3">
        <f>'[1]JUL 2025'!C94</f>
        <v>0</v>
      </c>
      <c r="D3489" s="3">
        <f>'[1]JUL 2025'!D94</f>
        <v>0</v>
      </c>
      <c r="E3489" s="3">
        <f>'[1]JUL 2025'!E94</f>
        <v>0</v>
      </c>
      <c r="F3489" s="3">
        <f>'[1]JUL 2025'!F94</f>
        <v>0</v>
      </c>
      <c r="G3489" s="3">
        <f>'[1]JUL 2025'!G94</f>
        <v>0</v>
      </c>
      <c r="H3489" s="3">
        <f>'[1]JUL 2025'!H94</f>
        <v>2999</v>
      </c>
    </row>
    <row r="3490" spans="1:8" x14ac:dyDescent="0.2">
      <c r="A3490" s="20">
        <f>'[1]JUL 2025'!A100</f>
        <v>45853</v>
      </c>
      <c r="B3490" s="12" t="str">
        <f>'[1]JUL 2025'!B100</f>
        <v>LM</v>
      </c>
      <c r="C3490" s="3">
        <f>'[1]JUL 2025'!C100</f>
        <v>0</v>
      </c>
      <c r="D3490" s="3">
        <f>'[1]JUL 2025'!D100</f>
        <v>0</v>
      </c>
      <c r="E3490" s="3">
        <f>'[1]JUL 2025'!E100</f>
        <v>0</v>
      </c>
      <c r="F3490" s="3">
        <f>'[1]JUL 2025'!F100</f>
        <v>0</v>
      </c>
      <c r="G3490" s="3">
        <f>'[1]JUL 2025'!G100</f>
        <v>0</v>
      </c>
      <c r="H3490" s="3">
        <f>'[1]JUL 2025'!H100</f>
        <v>2897.89</v>
      </c>
    </row>
    <row r="3491" spans="1:8" x14ac:dyDescent="0.2">
      <c r="A3491" s="23">
        <f>'[1]JUL 2025'!A107</f>
        <v>45854</v>
      </c>
      <c r="B3491" s="12" t="str">
        <f>'[1]JUL 2025'!B107</f>
        <v>VM</v>
      </c>
      <c r="C3491" s="3">
        <f>'[1]JUL 2025'!C107</f>
        <v>0</v>
      </c>
      <c r="D3491" s="3">
        <f>'[1]JUL 2025'!D107</f>
        <v>0</v>
      </c>
      <c r="E3491" s="3">
        <f>'[1]JUL 2025'!E107</f>
        <v>0</v>
      </c>
      <c r="F3491" s="3">
        <f>'[1]JUL 2025'!F107</f>
        <v>0</v>
      </c>
      <c r="G3491" s="3">
        <f>'[1]JUL 2025'!G107</f>
        <v>0</v>
      </c>
      <c r="H3491" s="3">
        <f>'[1]JUL 2025'!H107</f>
        <v>188</v>
      </c>
    </row>
    <row r="3492" spans="1:8" x14ac:dyDescent="0.2">
      <c r="A3492" s="20">
        <f>'[1]JUL 2025'!A108</f>
        <v>45854</v>
      </c>
      <c r="B3492" s="12" t="str">
        <f>'[1]JUL 2025'!B108</f>
        <v>Car</v>
      </c>
      <c r="C3492" s="3">
        <f>'[1]JUL 2025'!C108</f>
        <v>0</v>
      </c>
      <c r="D3492" s="3">
        <f>'[1]JUL 2025'!D108</f>
        <v>0</v>
      </c>
      <c r="E3492" s="3">
        <f>'[1]JUL 2025'!E108</f>
        <v>0</v>
      </c>
      <c r="F3492" s="3">
        <f>'[1]JUL 2025'!F108</f>
        <v>0</v>
      </c>
      <c r="G3492" s="3">
        <f>'[1]JUL 2025'!G108</f>
        <v>0</v>
      </c>
      <c r="H3492" s="3">
        <f>'[1]JUL 2025'!H108</f>
        <v>60000</v>
      </c>
    </row>
    <row r="3493" spans="1:8" x14ac:dyDescent="0.2">
      <c r="A3493" s="20">
        <f>'[1]JUL 2025'!A114</f>
        <v>45855</v>
      </c>
      <c r="B3493" s="12" t="str">
        <f>'[1]JUL 2025'!B114</f>
        <v>VM</v>
      </c>
      <c r="C3493" s="3">
        <f>'[1]JUL 2025'!C114</f>
        <v>0</v>
      </c>
      <c r="D3493" s="3">
        <f>'[1]JUL 2025'!D114</f>
        <v>0</v>
      </c>
      <c r="E3493" s="3">
        <f>'[1]JUL 2025'!E114</f>
        <v>0</v>
      </c>
      <c r="F3493" s="3">
        <f>'[1]JUL 2025'!F114</f>
        <v>0</v>
      </c>
      <c r="G3493" s="3">
        <f>'[1]JUL 2025'!G114</f>
        <v>0</v>
      </c>
      <c r="H3493" s="3">
        <f>'[1]JUL 2025'!H114</f>
        <v>148</v>
      </c>
    </row>
    <row r="3494" spans="1:8" x14ac:dyDescent="0.2">
      <c r="A3494" s="23">
        <f>'[1]JUL 2025'!A115</f>
        <v>45855</v>
      </c>
      <c r="B3494" s="12" t="str">
        <f>'[1]JUL 2025'!B115</f>
        <v>LM</v>
      </c>
      <c r="C3494" s="3">
        <f>'[1]JUL 2025'!C115</f>
        <v>0</v>
      </c>
      <c r="D3494" s="3">
        <f>'[1]JUL 2025'!D115</f>
        <v>0</v>
      </c>
      <c r="E3494" s="3">
        <f>'[1]JUL 2025'!E115</f>
        <v>0</v>
      </c>
      <c r="F3494" s="3">
        <f>'[1]JUL 2025'!F115</f>
        <v>0</v>
      </c>
      <c r="G3494" s="3">
        <f>'[1]JUL 2025'!G115</f>
        <v>0</v>
      </c>
      <c r="H3494" s="3">
        <f>'[1]JUL 2025'!H115</f>
        <v>8786.99</v>
      </c>
    </row>
    <row r="3495" spans="1:8" x14ac:dyDescent="0.2">
      <c r="A3495" s="20">
        <f>'[1]JUL 2025'!A116</f>
        <v>45855</v>
      </c>
      <c r="B3495" s="12" t="str">
        <f>'[1]JUL 2025'!B116</f>
        <v>none</v>
      </c>
      <c r="C3495" s="3">
        <f>'[1]JUL 2025'!C116</f>
        <v>0</v>
      </c>
      <c r="D3495" s="3">
        <f>'[1]JUL 2025'!D116</f>
        <v>0</v>
      </c>
      <c r="E3495" s="3">
        <f>'[1]JUL 2025'!E116</f>
        <v>0</v>
      </c>
      <c r="F3495" s="3">
        <f>'[1]JUL 2025'!F116</f>
        <v>0</v>
      </c>
      <c r="G3495" s="3">
        <f>'[1]JUL 2025'!G116</f>
        <v>30000</v>
      </c>
      <c r="H3495" s="3">
        <f>'[1]JUL 2025'!H116</f>
        <v>0</v>
      </c>
    </row>
    <row r="3496" spans="1:8" x14ac:dyDescent="0.2">
      <c r="A3496" s="23">
        <f>'[1]JUL 2025'!A117</f>
        <v>45855</v>
      </c>
      <c r="B3496" s="12" t="str">
        <f>'[1]JUL 2025'!B117</f>
        <v>rent</v>
      </c>
      <c r="C3496" s="3">
        <f>'[1]JUL 2025'!C117</f>
        <v>0</v>
      </c>
      <c r="D3496" s="3">
        <f>'[1]JUL 2025'!D117</f>
        <v>0</v>
      </c>
      <c r="E3496" s="3">
        <f>'[1]JUL 2025'!E117</f>
        <v>0</v>
      </c>
      <c r="F3496" s="3">
        <f>'[1]JUL 2025'!F117</f>
        <v>0</v>
      </c>
      <c r="G3496" s="3">
        <f>'[1]JUL 2025'!G117</f>
        <v>0</v>
      </c>
      <c r="H3496" s="3">
        <f>'[1]JUL 2025'!H117</f>
        <v>55000</v>
      </c>
    </row>
    <row r="3497" spans="1:8" x14ac:dyDescent="0.2">
      <c r="A3497" s="23">
        <f>'[1]JUL 2025'!A121</f>
        <v>45856</v>
      </c>
      <c r="B3497" s="12" t="str">
        <f>'[1]JUL 2025'!B121</f>
        <v>VM</v>
      </c>
      <c r="C3497" s="3">
        <f>'[1]JUL 2025'!C121</f>
        <v>0</v>
      </c>
      <c r="D3497" s="3">
        <f>'[1]JUL 2025'!D121</f>
        <v>0</v>
      </c>
      <c r="E3497" s="3">
        <f>'[1]JUL 2025'!E121</f>
        <v>0</v>
      </c>
      <c r="F3497" s="3">
        <f>'[1]JUL 2025'!F121</f>
        <v>0</v>
      </c>
      <c r="G3497" s="3">
        <f>'[1]JUL 2025'!G121</f>
        <v>0</v>
      </c>
      <c r="H3497" s="3">
        <f>'[1]JUL 2025'!H121</f>
        <v>119</v>
      </c>
    </row>
    <row r="3498" spans="1:8" x14ac:dyDescent="0.2">
      <c r="A3498" s="20">
        <f>'[1]JUL 2025'!A128</f>
        <v>45857</v>
      </c>
      <c r="B3498" s="12" t="str">
        <f>'[1]JUL 2025'!B128</f>
        <v>VM</v>
      </c>
      <c r="C3498" s="3">
        <f>'[1]JUL 2025'!C128</f>
        <v>0</v>
      </c>
      <c r="D3498" s="3">
        <f>'[1]JUL 2025'!D128</f>
        <v>0</v>
      </c>
      <c r="E3498" s="3">
        <f>'[1]JUL 2025'!E128</f>
        <v>0</v>
      </c>
      <c r="F3498" s="3">
        <f>'[1]JUL 2025'!F128</f>
        <v>0</v>
      </c>
      <c r="G3498" s="3">
        <f>'[1]JUL 2025'!G128</f>
        <v>0</v>
      </c>
      <c r="H3498" s="3">
        <f>'[1]JUL 2025'!H128</f>
        <v>477</v>
      </c>
    </row>
    <row r="3499" spans="1:8" x14ac:dyDescent="0.2">
      <c r="A3499" s="23">
        <f>'[1]JUL 2025'!A129</f>
        <v>45857</v>
      </c>
      <c r="B3499" s="12" t="str">
        <f>'[1]JUL 2025'!B129</f>
        <v>LM</v>
      </c>
      <c r="C3499" s="3">
        <f>'[1]JUL 2025'!C129</f>
        <v>0</v>
      </c>
      <c r="D3499" s="3">
        <f>'[1]JUL 2025'!D129</f>
        <v>0</v>
      </c>
      <c r="E3499" s="3">
        <f>'[1]JUL 2025'!E129</f>
        <v>0</v>
      </c>
      <c r="F3499" s="3">
        <f>'[1]JUL 2025'!F129</f>
        <v>0</v>
      </c>
      <c r="G3499" s="3">
        <f>'[1]JUL 2025'!G129</f>
        <v>0</v>
      </c>
      <c r="H3499" s="3">
        <f>'[1]JUL 2025'!H129</f>
        <v>129</v>
      </c>
    </row>
    <row r="3500" spans="1:8" x14ac:dyDescent="0.2">
      <c r="A3500" s="20">
        <f>'[1]JUL 2025'!A130</f>
        <v>45857</v>
      </c>
      <c r="B3500" s="12" t="str">
        <f>'[1]JUL 2025'!B130</f>
        <v>Party</v>
      </c>
      <c r="C3500" s="3">
        <f>'[1]JUL 2025'!C130</f>
        <v>0</v>
      </c>
      <c r="D3500" s="3">
        <f>'[1]JUL 2025'!D130</f>
        <v>0</v>
      </c>
      <c r="E3500" s="3">
        <f>'[1]JUL 2025'!E130</f>
        <v>0</v>
      </c>
      <c r="F3500" s="3">
        <f>'[1]JUL 2025'!F130</f>
        <v>0</v>
      </c>
      <c r="G3500" s="3">
        <f>'[1]JUL 2025'!G130</f>
        <v>0</v>
      </c>
      <c r="H3500" s="3">
        <f>'[1]JUL 2025'!H130</f>
        <v>1500</v>
      </c>
    </row>
    <row r="3501" spans="1:8" x14ac:dyDescent="0.2">
      <c r="A3501" s="23">
        <f>'[1]JUL 2025'!A135</f>
        <v>45858</v>
      </c>
      <c r="B3501" s="12" t="str">
        <f>'[1]JUL 2025'!B135</f>
        <v>VM</v>
      </c>
      <c r="C3501" s="3">
        <f>'[1]JUL 2025'!C135</f>
        <v>0</v>
      </c>
      <c r="D3501" s="3">
        <f>'[1]JUL 2025'!D135</f>
        <v>0</v>
      </c>
      <c r="E3501" s="3">
        <f>'[1]JUL 2025'!E135</f>
        <v>0</v>
      </c>
      <c r="F3501" s="3">
        <f>'[1]JUL 2025'!F135</f>
        <v>0</v>
      </c>
      <c r="G3501" s="3">
        <f>'[1]JUL 2025'!G135</f>
        <v>0</v>
      </c>
      <c r="H3501" s="3">
        <f>'[1]JUL 2025'!H135</f>
        <v>245.93</v>
      </c>
    </row>
    <row r="3502" spans="1:8" x14ac:dyDescent="0.2">
      <c r="A3502" s="20">
        <f>'[1]JUL 2025'!A136</f>
        <v>45858</v>
      </c>
      <c r="B3502" s="12" t="str">
        <f>'[1]JUL 2025'!B136</f>
        <v>Andere</v>
      </c>
      <c r="C3502" s="3">
        <f>'[1]JUL 2025'!C136</f>
        <v>0</v>
      </c>
      <c r="D3502" s="3">
        <f>'[1]JUL 2025'!D136</f>
        <v>0</v>
      </c>
      <c r="E3502" s="3">
        <f>'[1]JUL 2025'!E136</f>
        <v>0</v>
      </c>
      <c r="F3502" s="3">
        <f>'[1]JUL 2025'!F136</f>
        <v>0</v>
      </c>
      <c r="G3502" s="3">
        <f>'[1]JUL 2025'!G136</f>
        <v>0</v>
      </c>
      <c r="H3502" s="3">
        <f>'[1]JUL 2025'!H136</f>
        <v>550</v>
      </c>
    </row>
    <row r="3503" spans="1:8" x14ac:dyDescent="0.2">
      <c r="A3503" s="23">
        <f>'[1]JUL 2025'!A137</f>
        <v>45858</v>
      </c>
      <c r="B3503" s="12" t="str">
        <f>'[1]JUL 2025'!B137</f>
        <v>LM</v>
      </c>
      <c r="C3503" s="3">
        <f>'[1]JUL 2025'!C137</f>
        <v>0</v>
      </c>
      <c r="D3503" s="3">
        <f>'[1]JUL 2025'!D137</f>
        <v>0</v>
      </c>
      <c r="E3503" s="3">
        <f>'[1]JUL 2025'!E137</f>
        <v>0</v>
      </c>
      <c r="F3503" s="3">
        <f>'[1]JUL 2025'!F137</f>
        <v>0</v>
      </c>
      <c r="G3503" s="3">
        <f>'[1]JUL 2025'!G137</f>
        <v>0</v>
      </c>
      <c r="H3503" s="3">
        <f>'[1]JUL 2025'!H137</f>
        <v>2720.59</v>
      </c>
    </row>
    <row r="3504" spans="1:8" x14ac:dyDescent="0.2">
      <c r="A3504" s="20">
        <f>'[1]JUL 2025'!A138</f>
        <v>45858</v>
      </c>
      <c r="B3504" s="12" t="str">
        <f>'[1]JUL 2025'!B138</f>
        <v>Refill</v>
      </c>
      <c r="C3504" s="3">
        <f>'[1]JUL 2025'!C138</f>
        <v>0</v>
      </c>
      <c r="D3504" s="3">
        <f>'[1]JUL 2025'!D138</f>
        <v>0</v>
      </c>
      <c r="E3504" s="3">
        <f>'[1]JUL 2025'!E138</f>
        <v>0</v>
      </c>
      <c r="F3504" s="3">
        <f>'[1]JUL 2025'!F138</f>
        <v>0</v>
      </c>
      <c r="G3504" s="3">
        <f>'[1]JUL 2025'!G138</f>
        <v>12000</v>
      </c>
      <c r="H3504" s="3">
        <f>'[1]JUL 2025'!H138</f>
        <v>0</v>
      </c>
    </row>
    <row r="3505" spans="1:8" x14ac:dyDescent="0.2">
      <c r="A3505" s="23">
        <f>'[1]JUL 2025'!A139</f>
        <v>45858</v>
      </c>
      <c r="B3505" s="12" t="str">
        <f>'[1]JUL 2025'!B139</f>
        <v>Andere</v>
      </c>
      <c r="C3505" s="3">
        <f>'[1]JUL 2025'!C139</f>
        <v>0</v>
      </c>
      <c r="D3505" s="3">
        <f>'[1]JUL 2025'!D139</f>
        <v>0</v>
      </c>
      <c r="E3505" s="3">
        <f>'[1]JUL 2025'!E139</f>
        <v>0</v>
      </c>
      <c r="F3505" s="3">
        <f>'[1]JUL 2025'!F139</f>
        <v>0</v>
      </c>
      <c r="G3505" s="3">
        <f>'[1]JUL 2025'!G139</f>
        <v>0</v>
      </c>
      <c r="H3505" s="3">
        <f>'[1]JUL 2025'!H139</f>
        <v>1848</v>
      </c>
    </row>
    <row r="3506" spans="1:8" x14ac:dyDescent="0.2">
      <c r="A3506" s="20">
        <f>'[1]JUL 2025'!A142</f>
        <v>45859</v>
      </c>
      <c r="B3506" s="12" t="str">
        <f>'[1]JUL 2025'!B142</f>
        <v>LM</v>
      </c>
      <c r="C3506" s="3">
        <f>'[1]JUL 2025'!C142</f>
        <v>0</v>
      </c>
      <c r="D3506" s="3">
        <f>'[1]JUL 2025'!D142</f>
        <v>0</v>
      </c>
      <c r="E3506" s="3">
        <f>'[1]JUL 2025'!E142</f>
        <v>0</v>
      </c>
      <c r="F3506" s="3">
        <f>'[1]JUL 2025'!F142</f>
        <v>0</v>
      </c>
      <c r="G3506" s="3">
        <f>'[1]JUL 2025'!G142</f>
        <v>0</v>
      </c>
      <c r="H3506" s="3">
        <f>'[1]JUL 2025'!H142</f>
        <v>590</v>
      </c>
    </row>
    <row r="3507" spans="1:8" x14ac:dyDescent="0.2">
      <c r="A3507" s="23">
        <f>'[1]JUL 2025'!A143</f>
        <v>45859</v>
      </c>
      <c r="B3507" s="12" t="str">
        <f>'[1]JUL 2025'!B143</f>
        <v>VM</v>
      </c>
      <c r="C3507" s="3">
        <f>'[1]JUL 2025'!C143</f>
        <v>0</v>
      </c>
      <c r="D3507" s="3">
        <f>'[1]JUL 2025'!D143</f>
        <v>0</v>
      </c>
      <c r="E3507" s="3">
        <f>'[1]JUL 2025'!E143</f>
        <v>0</v>
      </c>
      <c r="F3507" s="3">
        <f>'[1]JUL 2025'!F143</f>
        <v>0</v>
      </c>
      <c r="G3507" s="3">
        <f>'[1]JUL 2025'!G143</f>
        <v>0</v>
      </c>
      <c r="H3507" s="3">
        <f>'[1]JUL 2025'!H143</f>
        <v>415.74</v>
      </c>
    </row>
    <row r="3508" spans="1:8" x14ac:dyDescent="0.2">
      <c r="A3508" s="20">
        <f>'[1]JUL 2025'!A144</f>
        <v>45859</v>
      </c>
      <c r="B3508" s="12" t="str">
        <f>'[1]JUL 2025'!B144</f>
        <v>LM</v>
      </c>
      <c r="C3508" s="3">
        <f>'[1]JUL 2025'!C144</f>
        <v>0</v>
      </c>
      <c r="D3508" s="3">
        <f>'[1]JUL 2025'!D144</f>
        <v>0</v>
      </c>
      <c r="E3508" s="3">
        <f>'[1]JUL 2025'!E144</f>
        <v>0</v>
      </c>
      <c r="F3508" s="3">
        <f>'[1]JUL 2025'!F144</f>
        <v>0</v>
      </c>
      <c r="G3508" s="3">
        <f>'[1]JUL 2025'!G144</f>
        <v>0</v>
      </c>
      <c r="H3508" s="3">
        <f>'[1]JUL 2025'!H144</f>
        <v>5000</v>
      </c>
    </row>
    <row r="3509" spans="1:8" x14ac:dyDescent="0.2">
      <c r="A3509" s="23">
        <f>'[1]JUL 2025'!A145</f>
        <v>45859</v>
      </c>
      <c r="B3509" s="12" t="str">
        <f>'[1]JUL 2025'!B145</f>
        <v>none</v>
      </c>
      <c r="C3509" s="3">
        <f>'[1]JUL 2025'!C145</f>
        <v>0</v>
      </c>
      <c r="D3509" s="3">
        <f>'[1]JUL 2025'!D145</f>
        <v>0</v>
      </c>
      <c r="E3509" s="3">
        <f>'[1]JUL 2025'!E145</f>
        <v>0</v>
      </c>
      <c r="F3509" s="3">
        <f>'[1]JUL 2025'!F145</f>
        <v>0</v>
      </c>
      <c r="G3509" s="3">
        <f>'[1]JUL 2025'!G145</f>
        <v>0</v>
      </c>
      <c r="H3509" s="3">
        <f>'[1]JUL 2025'!H145</f>
        <v>120000</v>
      </c>
    </row>
    <row r="3510" spans="1:8" x14ac:dyDescent="0.2">
      <c r="A3510" s="23">
        <f>'[1]JUL 2025'!A149</f>
        <v>45860</v>
      </c>
      <c r="B3510" s="12" t="str">
        <f>'[1]JUL 2025'!B149</f>
        <v>none</v>
      </c>
      <c r="C3510" s="3">
        <f>'[1]JUL 2025'!C149</f>
        <v>0</v>
      </c>
      <c r="D3510" s="3">
        <f>'[1]JUL 2025'!D149</f>
        <v>0</v>
      </c>
      <c r="E3510" s="3">
        <f>'[1]JUL 2025'!E149</f>
        <v>0</v>
      </c>
      <c r="F3510" s="3">
        <f>'[1]JUL 2025'!F149</f>
        <v>0</v>
      </c>
      <c r="G3510" s="3">
        <f>'[1]JUL 2025'!G149</f>
        <v>120000</v>
      </c>
      <c r="H3510" s="3">
        <f>'[1]JUL 2025'!H149</f>
        <v>0</v>
      </c>
    </row>
    <row r="3511" spans="1:8" x14ac:dyDescent="0.2">
      <c r="A3511" s="20">
        <f>'[1]JUL 2025'!A150</f>
        <v>45860</v>
      </c>
      <c r="B3511" s="12" t="str">
        <f>'[1]JUL 2025'!B150</f>
        <v>Andere</v>
      </c>
      <c r="C3511" s="3">
        <f>'[1]JUL 2025'!C150</f>
        <v>0</v>
      </c>
      <c r="D3511" s="3">
        <f>'[1]JUL 2025'!D150</f>
        <v>0</v>
      </c>
      <c r="E3511" s="3">
        <f>'[1]JUL 2025'!E150</f>
        <v>0</v>
      </c>
      <c r="F3511" s="3">
        <f>'[1]JUL 2025'!F150</f>
        <v>0</v>
      </c>
      <c r="G3511" s="3">
        <f>'[1]JUL 2025'!G150</f>
        <v>0</v>
      </c>
      <c r="H3511" s="3">
        <f>'[1]JUL 2025'!H150</f>
        <v>713</v>
      </c>
    </row>
    <row r="3512" spans="1:8" x14ac:dyDescent="0.2">
      <c r="A3512" s="20">
        <f>'[1]JUL 2025'!A156</f>
        <v>45861</v>
      </c>
      <c r="B3512" s="12" t="str">
        <f>'[1]JUL 2025'!B156</f>
        <v>Andere</v>
      </c>
      <c r="C3512" s="3">
        <f>'[1]JUL 2025'!C156</f>
        <v>0</v>
      </c>
      <c r="D3512" s="3">
        <f>'[1]JUL 2025'!D156</f>
        <v>0</v>
      </c>
      <c r="E3512" s="3">
        <f>'[1]JUL 2025'!E156</f>
        <v>0</v>
      </c>
      <c r="F3512" s="3">
        <f>'[1]JUL 2025'!F156</f>
        <v>0</v>
      </c>
      <c r="G3512" s="3">
        <f>'[1]JUL 2025'!G156</f>
        <v>0</v>
      </c>
      <c r="H3512" s="3">
        <f>'[1]JUL 2025'!H156</f>
        <v>300</v>
      </c>
    </row>
    <row r="3513" spans="1:8" x14ac:dyDescent="0.2">
      <c r="A3513" s="23">
        <f>'[1]JUL 2025'!A163</f>
        <v>45862</v>
      </c>
      <c r="B3513" s="12" t="str">
        <f>'[1]JUL 2025'!B163</f>
        <v>Andere</v>
      </c>
      <c r="C3513" s="3">
        <f>'[1]JUL 2025'!C163</f>
        <v>0</v>
      </c>
      <c r="D3513" s="3">
        <f>'[1]JUL 2025'!D163</f>
        <v>0</v>
      </c>
      <c r="E3513" s="3">
        <f>'[1]JUL 2025'!E163</f>
        <v>0</v>
      </c>
      <c r="F3513" s="3">
        <f>'[1]JUL 2025'!F163</f>
        <v>0</v>
      </c>
      <c r="G3513" s="3">
        <f>'[1]JUL 2025'!G163</f>
        <v>0</v>
      </c>
      <c r="H3513" s="3">
        <f>'[1]JUL 2025'!H163</f>
        <v>3000</v>
      </c>
    </row>
    <row r="3514" spans="1:8" x14ac:dyDescent="0.2">
      <c r="A3514" s="20">
        <f>'[1]JUL 2025'!A170</f>
        <v>45863</v>
      </c>
      <c r="B3514" s="12" t="str">
        <f>'[1]JUL 2025'!B170</f>
        <v>Refill</v>
      </c>
      <c r="C3514" s="3">
        <f>'[1]JUL 2025'!C170</f>
        <v>0</v>
      </c>
      <c r="D3514" s="3">
        <f>'[1]JUL 2025'!D170</f>
        <v>0</v>
      </c>
      <c r="E3514" s="3">
        <f>'[1]JUL 2025'!E170</f>
        <v>0</v>
      </c>
      <c r="F3514" s="3">
        <f>'[1]JUL 2025'!F170</f>
        <v>0</v>
      </c>
      <c r="G3514" s="3">
        <f>'[1]JUL 2025'!G170</f>
        <v>110533.48</v>
      </c>
      <c r="H3514" s="3">
        <f>'[1]JUL 2025'!H170</f>
        <v>0</v>
      </c>
    </row>
    <row r="3515" spans="1:8" x14ac:dyDescent="0.2">
      <c r="A3515" s="23">
        <f>'[1]JUL 2025'!A171</f>
        <v>45863</v>
      </c>
      <c r="B3515" s="12" t="str">
        <f>'[1]JUL 2025'!B171</f>
        <v>Refill</v>
      </c>
      <c r="C3515" s="3">
        <f>'[1]JUL 2025'!C171</f>
        <v>0</v>
      </c>
      <c r="D3515" s="3">
        <f>'[1]JUL 2025'!D171</f>
        <v>0</v>
      </c>
      <c r="E3515" s="3">
        <f>'[1]JUL 2025'!E171</f>
        <v>0</v>
      </c>
      <c r="F3515" s="3">
        <f>'[1]JUL 2025'!F171</f>
        <v>0</v>
      </c>
      <c r="G3515" s="3">
        <f>'[1]JUL 2025'!G171</f>
        <v>4298.84</v>
      </c>
      <c r="H3515" s="3">
        <f>'[1]JUL 2025'!H171</f>
        <v>0</v>
      </c>
    </row>
    <row r="3516" spans="1:8" x14ac:dyDescent="0.2">
      <c r="A3516" s="23">
        <f>'[1]JUL 2025'!A177</f>
        <v>45864</v>
      </c>
      <c r="B3516" s="12" t="str">
        <f>'[1]JUL 2025'!B177</f>
        <v>Refill</v>
      </c>
      <c r="C3516" s="3">
        <f>'[1]JUL 2025'!C177</f>
        <v>0</v>
      </c>
      <c r="D3516" s="3">
        <f>'[1]JUL 2025'!D177</f>
        <v>0</v>
      </c>
      <c r="E3516" s="3">
        <f>'[1]JUL 2025'!E177</f>
        <v>0</v>
      </c>
      <c r="F3516" s="3">
        <f>'[1]JUL 2025'!F177</f>
        <v>0</v>
      </c>
      <c r="G3516" s="3">
        <f>'[1]JUL 2025'!G177</f>
        <v>25772.68</v>
      </c>
      <c r="H3516" s="3">
        <f>'[1]JUL 2025'!H177</f>
        <v>0</v>
      </c>
    </row>
    <row r="3517" spans="1:8" x14ac:dyDescent="0.2">
      <c r="A3517" s="20">
        <f>'[1]JUL 2025'!A178</f>
        <v>45864</v>
      </c>
      <c r="B3517" s="12" t="str">
        <f>'[1]JUL 2025'!B178</f>
        <v>LM</v>
      </c>
      <c r="C3517" s="3">
        <f>'[1]JUL 2025'!C178</f>
        <v>0</v>
      </c>
      <c r="D3517" s="3">
        <f>'[1]JUL 2025'!D178</f>
        <v>0</v>
      </c>
      <c r="E3517" s="3">
        <f>'[1]JUL 2025'!E178</f>
        <v>0</v>
      </c>
      <c r="F3517" s="3">
        <f>'[1]JUL 2025'!F178</f>
        <v>0</v>
      </c>
      <c r="G3517" s="3">
        <f>'[1]JUL 2025'!G178</f>
        <v>0</v>
      </c>
      <c r="H3517" s="3">
        <f>'[1]JUL 2025'!H178</f>
        <v>5000</v>
      </c>
    </row>
    <row r="3518" spans="1:8" x14ac:dyDescent="0.2">
      <c r="A3518" s="20">
        <f>'[1]JUL 2025'!A184</f>
        <v>45865</v>
      </c>
      <c r="B3518" s="12" t="str">
        <f>'[1]JUL 2025'!B184</f>
        <v>Andere</v>
      </c>
      <c r="C3518" s="3">
        <f>'[1]JUL 2025'!C184</f>
        <v>0</v>
      </c>
      <c r="D3518" s="3">
        <f>'[1]JUL 2025'!D184</f>
        <v>0</v>
      </c>
      <c r="E3518" s="3">
        <f>'[1]JUL 2025'!E184</f>
        <v>0</v>
      </c>
      <c r="F3518" s="3">
        <f>'[1]JUL 2025'!F184</f>
        <v>0</v>
      </c>
      <c r="G3518" s="3">
        <f>'[1]JUL 2025'!G184</f>
        <v>0</v>
      </c>
      <c r="H3518" s="3">
        <f>'[1]JUL 2025'!H184</f>
        <v>1</v>
      </c>
    </row>
    <row r="3519" spans="1:8" x14ac:dyDescent="0.2">
      <c r="A3519" s="23">
        <f>'[1]JUL 2025'!A185</f>
        <v>45865</v>
      </c>
      <c r="B3519" s="12" t="str">
        <f>'[1]JUL 2025'!B185</f>
        <v>Car</v>
      </c>
      <c r="C3519" s="3">
        <f>'[1]JUL 2025'!C185</f>
        <v>0</v>
      </c>
      <c r="D3519" s="3">
        <f>'[1]JUL 2025'!D185</f>
        <v>0</v>
      </c>
      <c r="E3519" s="3">
        <f>'[1]JUL 2025'!E185</f>
        <v>0</v>
      </c>
      <c r="F3519" s="3">
        <f>'[1]JUL 2025'!F185</f>
        <v>0</v>
      </c>
      <c r="G3519" s="3">
        <f>'[1]JUL 2025'!G185</f>
        <v>0</v>
      </c>
      <c r="H3519" s="3">
        <f>'[1]JUL 2025'!H185</f>
        <v>1036000</v>
      </c>
    </row>
    <row r="3520" spans="1:8" x14ac:dyDescent="0.2">
      <c r="A3520" s="20">
        <f>'[1]JUL 2025'!A212</f>
        <v>45869</v>
      </c>
      <c r="B3520" s="12" t="str">
        <f>'[1]JUL 2025'!B212</f>
        <v>Car</v>
      </c>
      <c r="C3520" s="3">
        <f>'[1]JUL 2025'!C212</f>
        <v>0</v>
      </c>
      <c r="D3520" s="3">
        <f>'[1]JUL 2025'!D212</f>
        <v>0</v>
      </c>
      <c r="E3520" s="3">
        <f>'[1]JUL 2025'!E212</f>
        <v>0</v>
      </c>
      <c r="F3520" s="3">
        <f>'[1]JUL 2025'!F212</f>
        <v>0</v>
      </c>
      <c r="G3520" s="3">
        <f>'[1]JUL 2025'!G212</f>
        <v>0</v>
      </c>
      <c r="H3520" s="3">
        <f>'[1]JUL 2025'!H212</f>
        <v>526000</v>
      </c>
    </row>
    <row r="3521" spans="1:8" x14ac:dyDescent="0.2">
      <c r="A3521" s="23">
        <f>'[1]AUG 2025'!A8</f>
        <v>45870</v>
      </c>
      <c r="B3521" s="12" t="str">
        <f>'[1]AUG 2025'!B8</f>
        <v>none</v>
      </c>
      <c r="C3521" s="3">
        <f>'[1]AUG 2025'!C8</f>
        <v>0</v>
      </c>
      <c r="D3521" s="3">
        <f>'[1]AUG 2025'!D8</f>
        <v>0</v>
      </c>
      <c r="E3521" s="3">
        <f>'[1]AUG 2025'!E8</f>
        <v>0</v>
      </c>
      <c r="F3521" s="3">
        <f>'[1]AUG 2025'!F8</f>
        <v>0</v>
      </c>
      <c r="G3521" s="3">
        <f>'[1]AUG 2025'!G8</f>
        <v>3000</v>
      </c>
      <c r="H3521" s="3">
        <f>'[1]AUG 2025'!H8</f>
        <v>0</v>
      </c>
    </row>
    <row r="3522" spans="1:8" x14ac:dyDescent="0.2">
      <c r="A3522" s="20">
        <f>'[1]AUG 2025'!A9</f>
        <v>45871</v>
      </c>
      <c r="B3522" s="12" t="str">
        <f>'[1]AUG 2025'!B9</f>
        <v>Andere</v>
      </c>
      <c r="C3522" s="3">
        <f>'[1]AUG 2025'!C9</f>
        <v>0</v>
      </c>
      <c r="D3522" s="3">
        <f>'[1]AUG 2025'!D9</f>
        <v>0</v>
      </c>
      <c r="E3522" s="3">
        <f>'[1]AUG 2025'!E9</f>
        <v>0</v>
      </c>
      <c r="F3522" s="3">
        <f>'[1]AUG 2025'!F9</f>
        <v>0</v>
      </c>
      <c r="G3522" s="3">
        <f>'[1]AUG 2025'!G9</f>
        <v>0</v>
      </c>
      <c r="H3522" s="3">
        <f>'[1]AUG 2025'!H9</f>
        <v>1990</v>
      </c>
    </row>
    <row r="3523" spans="1:8" x14ac:dyDescent="0.2">
      <c r="A3523" s="20">
        <f>'[1]AUG 2025'!A23</f>
        <v>45873</v>
      </c>
      <c r="B3523" s="12" t="str">
        <f>'[1]AUG 2025'!B23</f>
        <v>Car</v>
      </c>
      <c r="C3523" s="3">
        <f>'[1]AUG 2025'!C23</f>
        <v>0</v>
      </c>
      <c r="D3523" s="3">
        <f>'[1]AUG 2025'!D23</f>
        <v>0</v>
      </c>
      <c r="E3523" s="3">
        <f>'[1]AUG 2025'!E23</f>
        <v>0</v>
      </c>
      <c r="F3523" s="3">
        <f>'[1]AUG 2025'!F23</f>
        <v>0</v>
      </c>
      <c r="G3523" s="3">
        <f>'[1]AUG 2025'!G23</f>
        <v>0</v>
      </c>
      <c r="H3523" s="3">
        <f>'[1]AUG 2025'!H23</f>
        <v>280000</v>
      </c>
    </row>
    <row r="3524" spans="1:8" x14ac:dyDescent="0.2">
      <c r="A3524" s="23">
        <f>'[1]AUG 2025'!A44</f>
        <v>45876</v>
      </c>
      <c r="B3524" s="12" t="str">
        <f>'[1]AUG 2025'!B44</f>
        <v>none</v>
      </c>
      <c r="C3524" s="3">
        <f>'[1]AUG 2025'!C44</f>
        <v>0</v>
      </c>
      <c r="D3524" s="3">
        <f>'[1]AUG 2025'!D44</f>
        <v>0</v>
      </c>
      <c r="E3524" s="3">
        <f>'[1]AUG 2025'!E44</f>
        <v>0</v>
      </c>
      <c r="F3524" s="3">
        <f>'[1]AUG 2025'!F44</f>
        <v>0</v>
      </c>
      <c r="G3524" s="3">
        <f>'[1]AUG 2025'!G44</f>
        <v>500</v>
      </c>
      <c r="H3524" s="3">
        <f>'[1]AUG 2025'!H44</f>
        <v>0</v>
      </c>
    </row>
    <row r="3525" spans="1:8" x14ac:dyDescent="0.2">
      <c r="A3525" s="20">
        <f>'[1]AUG 2025'!A45</f>
        <v>45876</v>
      </c>
      <c r="B3525" s="12" t="str">
        <f>'[1]AUG 2025'!B45</f>
        <v>Frauen</v>
      </c>
      <c r="C3525" s="3">
        <f>'[1]AUG 2025'!C45</f>
        <v>0</v>
      </c>
      <c r="D3525" s="3">
        <f>'[1]AUG 2025'!D45</f>
        <v>0</v>
      </c>
      <c r="E3525" s="3">
        <f>'[1]AUG 2025'!E45</f>
        <v>0</v>
      </c>
      <c r="F3525" s="3">
        <f>'[1]AUG 2025'!F45</f>
        <v>0</v>
      </c>
      <c r="G3525" s="3">
        <f>'[1]AUG 2025'!G45</f>
        <v>0</v>
      </c>
      <c r="H3525" s="3">
        <f>'[1]AUG 2025'!H45</f>
        <v>947</v>
      </c>
    </row>
    <row r="3526" spans="1:8" x14ac:dyDescent="0.2">
      <c r="A3526" s="20">
        <f>'[1]AUG 2025'!A51</f>
        <v>45877</v>
      </c>
      <c r="B3526" s="12" t="str">
        <f>'[1]AUG 2025'!B51</f>
        <v>Andere</v>
      </c>
      <c r="C3526" s="3">
        <f>'[1]AUG 2025'!C51</f>
        <v>0</v>
      </c>
      <c r="D3526" s="3">
        <f>'[1]AUG 2025'!D51</f>
        <v>0</v>
      </c>
      <c r="E3526" s="3">
        <f>'[1]AUG 2025'!E51</f>
        <v>0</v>
      </c>
      <c r="F3526" s="3">
        <f>'[1]AUG 2025'!F51</f>
        <v>0</v>
      </c>
      <c r="G3526" s="3">
        <f>'[1]AUG 2025'!G51</f>
        <v>0</v>
      </c>
      <c r="H3526" s="3">
        <f>'[1]AUG 2025'!H51</f>
        <v>249</v>
      </c>
    </row>
    <row r="3527" spans="1:8" x14ac:dyDescent="0.2">
      <c r="A3527" s="23">
        <f>'[1]AUG 2025'!A52</f>
        <v>45877</v>
      </c>
      <c r="B3527" s="12" t="str">
        <f>'[1]AUG 2025'!B52</f>
        <v>Car</v>
      </c>
      <c r="C3527" s="3">
        <f>'[1]AUG 2025'!C52</f>
        <v>0</v>
      </c>
      <c r="D3527" s="3">
        <f>'[1]AUG 2025'!D52</f>
        <v>0</v>
      </c>
      <c r="E3527" s="3">
        <f>'[1]AUG 2025'!E52</f>
        <v>0</v>
      </c>
      <c r="F3527" s="3">
        <f>'[1]AUG 2025'!F52</f>
        <v>0</v>
      </c>
      <c r="G3527" s="3">
        <f>'[1]AUG 2025'!G52</f>
        <v>0</v>
      </c>
      <c r="H3527" s="3">
        <f>'[1]AUG 2025'!H52</f>
        <v>500</v>
      </c>
    </row>
    <row r="3528" spans="1:8" x14ac:dyDescent="0.2">
      <c r="A3528" s="20">
        <f>'[1]AUG 2025'!A53</f>
        <v>45877</v>
      </c>
      <c r="B3528" s="12" t="str">
        <f>'[1]AUG 2025'!B53</f>
        <v>Refill</v>
      </c>
      <c r="C3528" s="3">
        <f>'[1]AUG 2025'!C53</f>
        <v>0</v>
      </c>
      <c r="D3528" s="3">
        <f>'[1]AUG 2025'!D53</f>
        <v>0</v>
      </c>
      <c r="E3528" s="3">
        <f>'[1]AUG 2025'!E53</f>
        <v>0</v>
      </c>
      <c r="F3528" s="3">
        <f>'[1]AUG 2025'!F53</f>
        <v>0</v>
      </c>
      <c r="G3528" s="3">
        <f>'[1]AUG 2025'!G53</f>
        <v>118235.52</v>
      </c>
      <c r="H3528" s="3">
        <f>'[1]AUG 2025'!H53</f>
        <v>0</v>
      </c>
    </row>
    <row r="3529" spans="1:8" x14ac:dyDescent="0.2">
      <c r="A3529" s="23">
        <f>'[1]AUG 2025'!A58</f>
        <v>45878</v>
      </c>
      <c r="B3529" s="12" t="str">
        <f>'[1]AUG 2025'!B58</f>
        <v>LM</v>
      </c>
      <c r="C3529" s="3">
        <f>'[1]AUG 2025'!C58</f>
        <v>0</v>
      </c>
      <c r="D3529" s="3">
        <f>'[1]AUG 2025'!D58</f>
        <v>0</v>
      </c>
      <c r="E3529" s="3">
        <f>'[1]AUG 2025'!E58</f>
        <v>0</v>
      </c>
      <c r="F3529" s="3">
        <f>'[1]AUG 2025'!F58</f>
        <v>0</v>
      </c>
      <c r="G3529" s="3">
        <f>'[1]AUG 2025'!G58</f>
        <v>0</v>
      </c>
      <c r="H3529" s="3">
        <f>'[1]AUG 2025'!H58</f>
        <v>1975.64</v>
      </c>
    </row>
    <row r="3530" spans="1:8" x14ac:dyDescent="0.2">
      <c r="A3530" s="20">
        <f>'[1]AUG 2025'!A59</f>
        <v>45878</v>
      </c>
      <c r="B3530" s="12" t="str">
        <f>'[1]AUG 2025'!B59</f>
        <v>VM</v>
      </c>
      <c r="C3530" s="3">
        <f>'[1]AUG 2025'!C59</f>
        <v>0</v>
      </c>
      <c r="D3530" s="3">
        <f>'[1]AUG 2025'!D59</f>
        <v>0</v>
      </c>
      <c r="E3530" s="3">
        <f>'[1]AUG 2025'!E59</f>
        <v>0</v>
      </c>
      <c r="F3530" s="3">
        <f>'[1]AUG 2025'!F59</f>
        <v>0</v>
      </c>
      <c r="G3530" s="3">
        <f>'[1]AUG 2025'!G59</f>
        <v>0</v>
      </c>
      <c r="H3530" s="3">
        <f>'[1]AUG 2025'!H59</f>
        <v>148</v>
      </c>
    </row>
    <row r="3531" spans="1:8" x14ac:dyDescent="0.2">
      <c r="A3531" s="23">
        <f>'[1]AUG 2025'!A60</f>
        <v>45878</v>
      </c>
      <c r="B3531" s="12" t="str">
        <f>'[1]AUG 2025'!B60</f>
        <v>Frauen</v>
      </c>
      <c r="C3531" s="3">
        <f>'[1]AUG 2025'!C60</f>
        <v>0</v>
      </c>
      <c r="D3531" s="3">
        <f>'[1]AUG 2025'!D60</f>
        <v>0</v>
      </c>
      <c r="E3531" s="3">
        <f>'[1]AUG 2025'!E60</f>
        <v>0</v>
      </c>
      <c r="F3531" s="3">
        <f>'[1]AUG 2025'!F60</f>
        <v>0</v>
      </c>
      <c r="G3531" s="3">
        <f>'[1]AUG 2025'!G60</f>
        <v>0</v>
      </c>
      <c r="H3531" s="3">
        <f>'[1]AUG 2025'!H60</f>
        <v>862</v>
      </c>
    </row>
    <row r="3532" spans="1:8" x14ac:dyDescent="0.2">
      <c r="A3532" s="20">
        <f>'[1]AUG 2025'!A65</f>
        <v>45879</v>
      </c>
      <c r="B3532" s="12" t="str">
        <f>'[1]AUG 2025'!B65</f>
        <v>VM</v>
      </c>
      <c r="C3532" s="3">
        <f>'[1]AUG 2025'!C65</f>
        <v>0</v>
      </c>
      <c r="D3532" s="3">
        <f>'[1]AUG 2025'!D65</f>
        <v>0</v>
      </c>
      <c r="E3532" s="3">
        <f>'[1]AUG 2025'!E65</f>
        <v>0</v>
      </c>
      <c r="F3532" s="3">
        <f>'[1]AUG 2025'!F65</f>
        <v>0</v>
      </c>
      <c r="G3532" s="3">
        <f>'[1]AUG 2025'!G65</f>
        <v>0</v>
      </c>
      <c r="H3532" s="3">
        <f>'[1]AUG 2025'!H65</f>
        <v>207</v>
      </c>
    </row>
    <row r="3533" spans="1:8" x14ac:dyDescent="0.2">
      <c r="A3533" s="23">
        <f>'[1]AUG 2025'!A66</f>
        <v>45879</v>
      </c>
      <c r="B3533" s="12" t="str">
        <f>'[1]AUG 2025'!B66</f>
        <v>LM</v>
      </c>
      <c r="C3533" s="3">
        <f>'[1]AUG 2025'!C66</f>
        <v>0</v>
      </c>
      <c r="D3533" s="3">
        <f>'[1]AUG 2025'!D66</f>
        <v>0</v>
      </c>
      <c r="E3533" s="3">
        <f>'[1]AUG 2025'!E66</f>
        <v>0</v>
      </c>
      <c r="F3533" s="3">
        <f>'[1]AUG 2025'!F66</f>
        <v>0</v>
      </c>
      <c r="G3533" s="3">
        <f>'[1]AUG 2025'!G66</f>
        <v>0</v>
      </c>
      <c r="H3533" s="3">
        <f>'[1]AUG 2025'!H66</f>
        <v>1878.72</v>
      </c>
    </row>
    <row r="3534" spans="1:8" x14ac:dyDescent="0.2">
      <c r="A3534" s="20">
        <f>'[1]AUG 2025'!A67</f>
        <v>45879</v>
      </c>
      <c r="B3534" s="12" t="str">
        <f>'[1]AUG 2025'!B67</f>
        <v>for me</v>
      </c>
      <c r="C3534" s="3">
        <f>'[1]AUG 2025'!C67</f>
        <v>0</v>
      </c>
      <c r="D3534" s="3">
        <f>'[1]AUG 2025'!D67</f>
        <v>0</v>
      </c>
      <c r="E3534" s="3">
        <f>'[1]AUG 2025'!E67</f>
        <v>0</v>
      </c>
      <c r="F3534" s="3">
        <f>'[1]AUG 2025'!F67</f>
        <v>0</v>
      </c>
      <c r="G3534" s="3">
        <f>'[1]AUG 2025'!G67</f>
        <v>0</v>
      </c>
      <c r="H3534" s="3">
        <f>'[1]AUG 2025'!H67</f>
        <v>650</v>
      </c>
    </row>
    <row r="3535" spans="1:8" x14ac:dyDescent="0.2">
      <c r="A3535" s="23">
        <f>'[1]AUG 2025'!A72</f>
        <v>45880</v>
      </c>
      <c r="B3535" s="12" t="str">
        <f>'[1]AUG 2025'!B72</f>
        <v>Andere</v>
      </c>
      <c r="C3535" s="3">
        <f>'[1]AUG 2025'!C72</f>
        <v>0</v>
      </c>
      <c r="D3535" s="3">
        <f>'[1]AUG 2025'!D72</f>
        <v>0</v>
      </c>
      <c r="E3535" s="3">
        <f>'[1]AUG 2025'!E72</f>
        <v>0</v>
      </c>
      <c r="F3535" s="3">
        <f>'[1]AUG 2025'!F72</f>
        <v>0</v>
      </c>
      <c r="G3535" s="3">
        <f>'[1]AUG 2025'!G72</f>
        <v>0</v>
      </c>
      <c r="H3535" s="3">
        <f>'[1]AUG 2025'!H72</f>
        <v>1272</v>
      </c>
    </row>
    <row r="3536" spans="1:8" x14ac:dyDescent="0.2">
      <c r="A3536" s="20">
        <f>'[1]AUG 2025'!A73</f>
        <v>45880</v>
      </c>
      <c r="B3536" s="12" t="str">
        <f>'[1]AUG 2025'!B73</f>
        <v>LM</v>
      </c>
      <c r="C3536" s="3">
        <f>'[1]AUG 2025'!C73</f>
        <v>0</v>
      </c>
      <c r="D3536" s="3">
        <f>'[1]AUG 2025'!D73</f>
        <v>0</v>
      </c>
      <c r="E3536" s="3">
        <f>'[1]AUG 2025'!E73</f>
        <v>0</v>
      </c>
      <c r="F3536" s="3">
        <f>'[1]AUG 2025'!F73</f>
        <v>0</v>
      </c>
      <c r="G3536" s="3">
        <f>'[1]AUG 2025'!G73</f>
        <v>0</v>
      </c>
      <c r="H3536" s="3">
        <f>'[1]AUG 2025'!H73</f>
        <v>1181.97</v>
      </c>
    </row>
    <row r="3537" spans="1:8" x14ac:dyDescent="0.2">
      <c r="A3537" s="23">
        <f>'[1]AUG 2025'!A74</f>
        <v>45880</v>
      </c>
      <c r="B3537" s="12" t="str">
        <f>'[1]AUG 2025'!B74</f>
        <v>VM</v>
      </c>
      <c r="C3537" s="3">
        <f>'[1]AUG 2025'!C74</f>
        <v>0</v>
      </c>
      <c r="D3537" s="3">
        <f>'[1]AUG 2025'!D74</f>
        <v>0</v>
      </c>
      <c r="E3537" s="3">
        <f>'[1]AUG 2025'!E74</f>
        <v>0</v>
      </c>
      <c r="F3537" s="3">
        <f>'[1]AUG 2025'!F74</f>
        <v>0</v>
      </c>
      <c r="G3537" s="3">
        <f>'[1]AUG 2025'!G74</f>
        <v>0</v>
      </c>
      <c r="H3537" s="3">
        <f>'[1]AUG 2025'!H74</f>
        <v>166</v>
      </c>
    </row>
    <row r="3538" spans="1:8" x14ac:dyDescent="0.2">
      <c r="A3538" s="20">
        <f>'[1]AUG 2025'!A79</f>
        <v>45881</v>
      </c>
      <c r="B3538" s="12" t="str">
        <f>'[1]AUG 2025'!B79</f>
        <v>LM</v>
      </c>
      <c r="C3538" s="3">
        <f>'[1]AUG 2025'!C79</f>
        <v>0</v>
      </c>
      <c r="D3538" s="3">
        <f>'[1]AUG 2025'!D79</f>
        <v>0</v>
      </c>
      <c r="E3538" s="3">
        <f>'[1]AUG 2025'!E79</f>
        <v>0</v>
      </c>
      <c r="F3538" s="3">
        <f>'[1]AUG 2025'!F79</f>
        <v>0</v>
      </c>
      <c r="G3538" s="3">
        <f>'[1]AUG 2025'!G79</f>
        <v>0</v>
      </c>
      <c r="H3538" s="3">
        <f>'[1]AUG 2025'!H79</f>
        <v>259.95999999999998</v>
      </c>
    </row>
    <row r="3539" spans="1:8" x14ac:dyDescent="0.2">
      <c r="A3539" s="23">
        <f>'[1]AUG 2025'!A86</f>
        <v>45882</v>
      </c>
      <c r="B3539" s="12" t="str">
        <f>'[1]AUG 2025'!B86</f>
        <v>VM</v>
      </c>
      <c r="C3539" s="3">
        <f>'[1]AUG 2025'!C86</f>
        <v>0</v>
      </c>
      <c r="D3539" s="3">
        <f>'[1]AUG 2025'!D86</f>
        <v>0</v>
      </c>
      <c r="E3539" s="3">
        <f>'[1]AUG 2025'!E86</f>
        <v>0</v>
      </c>
      <c r="F3539" s="3">
        <f>'[1]AUG 2025'!F86</f>
        <v>0</v>
      </c>
      <c r="G3539" s="3">
        <f>'[1]AUG 2025'!G86</f>
        <v>0</v>
      </c>
      <c r="H3539" s="3">
        <f>'[1]AUG 2025'!H86</f>
        <v>171</v>
      </c>
    </row>
    <row r="3540" spans="1:8" x14ac:dyDescent="0.2">
      <c r="A3540" s="20">
        <f>'[1]AUG 2025'!A87</f>
        <v>45882</v>
      </c>
      <c r="B3540" s="12" t="str">
        <f>'[1]AUG 2025'!B87</f>
        <v>for me</v>
      </c>
      <c r="C3540" s="3">
        <f>'[1]AUG 2025'!C87</f>
        <v>0</v>
      </c>
      <c r="D3540" s="3">
        <f>'[1]AUG 2025'!D87</f>
        <v>0</v>
      </c>
      <c r="E3540" s="3">
        <f>'[1]AUG 2025'!E87</f>
        <v>0</v>
      </c>
      <c r="F3540" s="3">
        <f>'[1]AUG 2025'!F87</f>
        <v>0</v>
      </c>
      <c r="G3540" s="3">
        <f>'[1]AUG 2025'!G87</f>
        <v>0</v>
      </c>
      <c r="H3540" s="3">
        <f>'[1]AUG 2025'!H87</f>
        <v>1115</v>
      </c>
    </row>
    <row r="3541" spans="1:8" x14ac:dyDescent="0.2">
      <c r="A3541" s="23">
        <f>'[1]AUG 2025'!A88</f>
        <v>45882</v>
      </c>
      <c r="B3541" s="12" t="str">
        <f>'[1]AUG 2025'!B88</f>
        <v>Andere</v>
      </c>
      <c r="C3541" s="3">
        <f>'[1]AUG 2025'!C88</f>
        <v>0</v>
      </c>
      <c r="D3541" s="3">
        <f>'[1]AUG 2025'!D88</f>
        <v>0</v>
      </c>
      <c r="E3541" s="3">
        <f>'[1]AUG 2025'!E88</f>
        <v>0</v>
      </c>
      <c r="F3541" s="3">
        <f>'[1]AUG 2025'!F88</f>
        <v>0</v>
      </c>
      <c r="G3541" s="3">
        <f>'[1]AUG 2025'!G88</f>
        <v>0</v>
      </c>
      <c r="H3541" s="3">
        <f>'[1]AUG 2025'!H88</f>
        <v>403</v>
      </c>
    </row>
    <row r="3542" spans="1:8" x14ac:dyDescent="0.2">
      <c r="A3542" s="20">
        <f>'[1]AUG 2025'!A89</f>
        <v>45882</v>
      </c>
      <c r="B3542" s="12" t="str">
        <f>'[1]AUG 2025'!B89</f>
        <v>LM</v>
      </c>
      <c r="C3542" s="3">
        <f>'[1]AUG 2025'!C89</f>
        <v>0</v>
      </c>
      <c r="D3542" s="3">
        <f>'[1]AUG 2025'!D89</f>
        <v>0</v>
      </c>
      <c r="E3542" s="3">
        <f>'[1]AUG 2025'!E89</f>
        <v>0</v>
      </c>
      <c r="F3542" s="3">
        <f>'[1]AUG 2025'!F89</f>
        <v>0</v>
      </c>
      <c r="G3542" s="3">
        <f>'[1]AUG 2025'!G89</f>
        <v>0</v>
      </c>
      <c r="H3542" s="3">
        <f>'[1]AUG 2025'!H89</f>
        <v>700</v>
      </c>
    </row>
    <row r="3543" spans="1:8" x14ac:dyDescent="0.2">
      <c r="A3543" s="20">
        <f>'[1]AUG 2025'!A93</f>
        <v>45883</v>
      </c>
      <c r="B3543" s="12" t="str">
        <f>'[1]AUG 2025'!B93</f>
        <v>VM</v>
      </c>
      <c r="C3543" s="3">
        <f>'[1]AUG 2025'!C93</f>
        <v>0</v>
      </c>
      <c r="D3543" s="3">
        <f>'[1]AUG 2025'!D93</f>
        <v>0</v>
      </c>
      <c r="E3543" s="3">
        <f>'[1]AUG 2025'!E93</f>
        <v>0</v>
      </c>
      <c r="F3543" s="3">
        <f>'[1]AUG 2025'!F93</f>
        <v>0</v>
      </c>
      <c r="G3543" s="3">
        <f>'[1]AUG 2025'!G93</f>
        <v>0</v>
      </c>
      <c r="H3543" s="3">
        <f>'[1]AUG 2025'!H93</f>
        <v>361.93</v>
      </c>
    </row>
    <row r="3544" spans="1:8" x14ac:dyDescent="0.2">
      <c r="A3544" s="23">
        <f>'[1]AUG 2025'!A94</f>
        <v>45883</v>
      </c>
      <c r="B3544" s="12" t="str">
        <f>'[1]AUG 2025'!B94</f>
        <v>LM</v>
      </c>
      <c r="C3544" s="3">
        <f>'[1]AUG 2025'!C94</f>
        <v>0</v>
      </c>
      <c r="D3544" s="3">
        <f>'[1]AUG 2025'!D94</f>
        <v>0</v>
      </c>
      <c r="E3544" s="3">
        <f>'[1]AUG 2025'!E94</f>
        <v>0</v>
      </c>
      <c r="F3544" s="3">
        <f>'[1]AUG 2025'!F94</f>
        <v>0</v>
      </c>
      <c r="G3544" s="3">
        <f>'[1]AUG 2025'!G94</f>
        <v>0</v>
      </c>
      <c r="H3544" s="3">
        <f>'[1]AUG 2025'!H94</f>
        <v>1764.99</v>
      </c>
    </row>
    <row r="3545" spans="1:8" x14ac:dyDescent="0.2">
      <c r="A3545" s="20">
        <f>'[1]AUG 2025'!A95</f>
        <v>45883</v>
      </c>
      <c r="B3545" s="12" t="str">
        <f>'[1]AUG 2025'!B95</f>
        <v>Andere</v>
      </c>
      <c r="C3545" s="3">
        <f>'[1]AUG 2025'!C95</f>
        <v>0</v>
      </c>
      <c r="D3545" s="3">
        <f>'[1]AUG 2025'!D95</f>
        <v>0</v>
      </c>
      <c r="E3545" s="3">
        <f>'[1]AUG 2025'!E95</f>
        <v>0</v>
      </c>
      <c r="F3545" s="3">
        <f>'[1]AUG 2025'!F95</f>
        <v>0</v>
      </c>
      <c r="G3545" s="3">
        <f>'[1]AUG 2025'!G95</f>
        <v>0</v>
      </c>
      <c r="H3545" s="3">
        <f>'[1]AUG 2025'!H95</f>
        <v>771</v>
      </c>
    </row>
    <row r="3546" spans="1:8" x14ac:dyDescent="0.2">
      <c r="A3546" s="23">
        <f>'[1]AUG 2025'!A96</f>
        <v>45883</v>
      </c>
      <c r="B3546" s="12" t="str">
        <f>'[1]AUG 2025'!B96</f>
        <v>Refill</v>
      </c>
      <c r="C3546" s="3">
        <f>'[1]AUG 2025'!C96</f>
        <v>0</v>
      </c>
      <c r="D3546" s="3">
        <f>'[1]AUG 2025'!D96</f>
        <v>0</v>
      </c>
      <c r="E3546" s="3">
        <f>'[1]AUG 2025'!E96</f>
        <v>0</v>
      </c>
      <c r="F3546" s="3">
        <f>'[1]AUG 2025'!F96</f>
        <v>0</v>
      </c>
      <c r="G3546" s="3">
        <f>'[1]AUG 2025'!G96</f>
        <v>49884</v>
      </c>
      <c r="H3546" s="3">
        <f>'[1]AUG 2025'!H96</f>
        <v>0</v>
      </c>
    </row>
    <row r="3547" spans="1:8" x14ac:dyDescent="0.2">
      <c r="A3547" s="23">
        <f>'[1]AUG 2025'!A100</f>
        <v>45884</v>
      </c>
      <c r="B3547" s="12" t="str">
        <f>'[1]AUG 2025'!B100</f>
        <v>LM</v>
      </c>
      <c r="C3547" s="3">
        <f>'[1]AUG 2025'!C100</f>
        <v>0</v>
      </c>
      <c r="D3547" s="3">
        <f>'[1]AUG 2025'!D100</f>
        <v>0</v>
      </c>
      <c r="E3547" s="3">
        <f>'[1]AUG 2025'!E100</f>
        <v>0</v>
      </c>
      <c r="F3547" s="3">
        <f>'[1]AUG 2025'!F100</f>
        <v>0</v>
      </c>
      <c r="G3547" s="3">
        <f>'[1]AUG 2025'!G100</f>
        <v>0</v>
      </c>
      <c r="H3547" s="3">
        <f>'[1]AUG 2025'!H100</f>
        <v>6000</v>
      </c>
    </row>
    <row r="3548" spans="1:8" x14ac:dyDescent="0.2">
      <c r="A3548" s="20">
        <f>'[1]AUG 2025'!A101</f>
        <v>45884</v>
      </c>
      <c r="B3548" s="12" t="str">
        <f>'[1]AUG 2025'!B101</f>
        <v>LM</v>
      </c>
      <c r="C3548" s="3">
        <f>'[1]AUG 2025'!C101</f>
        <v>0</v>
      </c>
      <c r="D3548" s="3">
        <f>'[1]AUG 2025'!D101</f>
        <v>0</v>
      </c>
      <c r="E3548" s="3">
        <f>'[1]AUG 2025'!E101</f>
        <v>0</v>
      </c>
      <c r="F3548" s="3">
        <f>'[1]AUG 2025'!F101</f>
        <v>0</v>
      </c>
      <c r="G3548" s="3">
        <f>'[1]AUG 2025'!G101</f>
        <v>0</v>
      </c>
      <c r="H3548" s="3">
        <f>'[1]AUG 2025'!H101</f>
        <v>1975</v>
      </c>
    </row>
    <row r="3549" spans="1:8" x14ac:dyDescent="0.2">
      <c r="A3549" s="23">
        <f>'[1]AUG 2025'!A102</f>
        <v>45884</v>
      </c>
      <c r="B3549" s="12" t="str">
        <f>'[1]AUG 2025'!B102</f>
        <v>VM</v>
      </c>
      <c r="C3549" s="3">
        <f>'[1]AUG 2025'!C102</f>
        <v>0</v>
      </c>
      <c r="D3549" s="3">
        <f>'[1]AUG 2025'!D102</f>
        <v>0</v>
      </c>
      <c r="E3549" s="3">
        <f>'[1]AUG 2025'!E102</f>
        <v>0</v>
      </c>
      <c r="F3549" s="3">
        <f>'[1]AUG 2025'!F102</f>
        <v>0</v>
      </c>
      <c r="G3549" s="3">
        <f>'[1]AUG 2025'!G102</f>
        <v>0</v>
      </c>
      <c r="H3549" s="3">
        <f>'[1]AUG 2025'!H102</f>
        <v>144</v>
      </c>
    </row>
    <row r="3550" spans="1:8" x14ac:dyDescent="0.2">
      <c r="A3550" s="20">
        <f>'[1]AUG 2025'!A107</f>
        <v>45885</v>
      </c>
      <c r="B3550" s="12" t="str">
        <f>'[1]AUG 2025'!B107</f>
        <v>Andere</v>
      </c>
      <c r="C3550" s="3">
        <f>'[1]AUG 2025'!C107</f>
        <v>0</v>
      </c>
      <c r="D3550" s="3">
        <f>'[1]AUG 2025'!D107</f>
        <v>0</v>
      </c>
      <c r="E3550" s="3">
        <f>'[1]AUG 2025'!E107</f>
        <v>0</v>
      </c>
      <c r="F3550" s="3">
        <f>'[1]AUG 2025'!F107</f>
        <v>0</v>
      </c>
      <c r="G3550" s="3">
        <f>'[1]AUG 2025'!G107</f>
        <v>0</v>
      </c>
      <c r="H3550" s="3">
        <f>'[1]AUG 2025'!H107</f>
        <v>389</v>
      </c>
    </row>
    <row r="3551" spans="1:8" x14ac:dyDescent="0.2">
      <c r="A3551" s="23">
        <f>'[1]AUG 2025'!A108</f>
        <v>45885</v>
      </c>
      <c r="B3551" s="12" t="str">
        <f>'[1]AUG 2025'!B108</f>
        <v>Frauen</v>
      </c>
      <c r="C3551" s="3">
        <f>'[1]AUG 2025'!C108</f>
        <v>0</v>
      </c>
      <c r="D3551" s="3">
        <f>'[1]AUG 2025'!D108</f>
        <v>0</v>
      </c>
      <c r="E3551" s="3">
        <f>'[1]AUG 2025'!E108</f>
        <v>0</v>
      </c>
      <c r="F3551" s="3">
        <f>'[1]AUG 2025'!F108</f>
        <v>0</v>
      </c>
      <c r="G3551" s="3">
        <f>'[1]AUG 2025'!G108</f>
        <v>0</v>
      </c>
      <c r="H3551" s="3">
        <f>'[1]AUG 2025'!H108</f>
        <v>600</v>
      </c>
    </row>
    <row r="3552" spans="1:8" x14ac:dyDescent="0.2">
      <c r="A3552" s="20">
        <f>'[1]AUG 2025'!A109</f>
        <v>45885</v>
      </c>
      <c r="B3552" s="12" t="str">
        <f>'[1]AUG 2025'!B109</f>
        <v>LM</v>
      </c>
      <c r="C3552" s="3">
        <f>'[1]AUG 2025'!C109</f>
        <v>0</v>
      </c>
      <c r="D3552" s="3">
        <f>'[1]AUG 2025'!D109</f>
        <v>0</v>
      </c>
      <c r="E3552" s="3">
        <f>'[1]AUG 2025'!E109</f>
        <v>0</v>
      </c>
      <c r="F3552" s="3">
        <f>'[1]AUG 2025'!F109</f>
        <v>0</v>
      </c>
      <c r="G3552" s="3">
        <f>'[1]AUG 2025'!G109</f>
        <v>0</v>
      </c>
      <c r="H3552" s="3">
        <f>'[1]AUG 2025'!H109</f>
        <v>671.97</v>
      </c>
    </row>
    <row r="3553" spans="1:8" x14ac:dyDescent="0.2">
      <c r="A3553" s="23">
        <f>'[1]AUG 2025'!A114</f>
        <v>45886</v>
      </c>
      <c r="B3553" s="12" t="str">
        <f>'[1]AUG 2025'!B114</f>
        <v>Refill</v>
      </c>
      <c r="C3553" s="3">
        <f>'[1]AUG 2025'!C114</f>
        <v>0</v>
      </c>
      <c r="D3553" s="3">
        <f>'[1]AUG 2025'!D114</f>
        <v>0</v>
      </c>
      <c r="E3553" s="3">
        <f>'[1]AUG 2025'!E114</f>
        <v>0</v>
      </c>
      <c r="F3553" s="3">
        <f>'[1]AUG 2025'!F114</f>
        <v>0</v>
      </c>
      <c r="G3553" s="3">
        <f>'[1]AUG 2025'!G114</f>
        <v>12000</v>
      </c>
      <c r="H3553" s="3">
        <f>'[1]AUG 2025'!H114</f>
        <v>0</v>
      </c>
    </row>
    <row r="3554" spans="1:8" x14ac:dyDescent="0.2">
      <c r="A3554" s="20">
        <f>'[1]AUG 2025'!A115</f>
        <v>45886</v>
      </c>
      <c r="B3554" s="12" t="str">
        <f>'[1]AUG 2025'!B115</f>
        <v>LM</v>
      </c>
      <c r="C3554" s="3">
        <f>'[1]AUG 2025'!C115</f>
        <v>0</v>
      </c>
      <c r="D3554" s="3">
        <f>'[1]AUG 2025'!D115</f>
        <v>0</v>
      </c>
      <c r="E3554" s="3">
        <f>'[1]AUG 2025'!E115</f>
        <v>0</v>
      </c>
      <c r="F3554" s="3">
        <f>'[1]AUG 2025'!F115</f>
        <v>0</v>
      </c>
      <c r="G3554" s="3">
        <f>'[1]AUG 2025'!G115</f>
        <v>0</v>
      </c>
      <c r="H3554" s="3">
        <f>'[1]AUG 2025'!H115</f>
        <v>678</v>
      </c>
    </row>
    <row r="3555" spans="1:8" x14ac:dyDescent="0.2">
      <c r="A3555" s="23">
        <f>'[1]AUG 2025'!A116</f>
        <v>45886</v>
      </c>
      <c r="B3555" s="12" t="str">
        <f>'[1]AUG 2025'!B116</f>
        <v>rent</v>
      </c>
      <c r="C3555" s="3">
        <f>'[1]AUG 2025'!C116</f>
        <v>0</v>
      </c>
      <c r="D3555" s="3">
        <f>'[1]AUG 2025'!D116</f>
        <v>0</v>
      </c>
      <c r="E3555" s="3">
        <f>'[1]AUG 2025'!E116</f>
        <v>0</v>
      </c>
      <c r="F3555" s="3">
        <f>'[1]AUG 2025'!F116</f>
        <v>0</v>
      </c>
      <c r="G3555" s="3">
        <f>'[1]AUG 2025'!G116</f>
        <v>0</v>
      </c>
      <c r="H3555" s="3">
        <f>'[1]AUG 2025'!H116</f>
        <v>64750</v>
      </c>
    </row>
    <row r="3556" spans="1:8" x14ac:dyDescent="0.2">
      <c r="A3556" s="20">
        <f>'[1]AUG 2025'!A117</f>
        <v>45886</v>
      </c>
      <c r="B3556" s="12" t="str">
        <f>'[1]AUG 2025'!B117</f>
        <v>VM</v>
      </c>
      <c r="C3556" s="3">
        <f>'[1]AUG 2025'!C117</f>
        <v>0</v>
      </c>
      <c r="D3556" s="3">
        <f>'[1]AUG 2025'!D117</f>
        <v>0</v>
      </c>
      <c r="E3556" s="3">
        <f>'[1]AUG 2025'!E117</f>
        <v>0</v>
      </c>
      <c r="F3556" s="3">
        <f>'[1]AUG 2025'!F117</f>
        <v>0</v>
      </c>
      <c r="G3556" s="3">
        <f>'[1]AUG 2025'!G117</f>
        <v>0</v>
      </c>
      <c r="H3556" s="3">
        <f>'[1]AUG 2025'!H117</f>
        <v>74</v>
      </c>
    </row>
    <row r="3557" spans="1:8" x14ac:dyDescent="0.2">
      <c r="A3557" s="20">
        <f>'[1]AUG 2025'!A121</f>
        <v>45887</v>
      </c>
      <c r="B3557" s="12" t="str">
        <f>'[1]AUG 2025'!B121</f>
        <v>VM</v>
      </c>
      <c r="C3557" s="3">
        <f>'[1]AUG 2025'!C121</f>
        <v>0</v>
      </c>
      <c r="D3557" s="3">
        <f>'[1]AUG 2025'!D121</f>
        <v>0</v>
      </c>
      <c r="E3557" s="3">
        <f>'[1]AUG 2025'!E121</f>
        <v>0</v>
      </c>
      <c r="F3557" s="3">
        <f>'[1]AUG 2025'!F121</f>
        <v>0</v>
      </c>
      <c r="G3557" s="3">
        <f>'[1]AUG 2025'!G121</f>
        <v>0</v>
      </c>
      <c r="H3557" s="3">
        <f>'[1]AUG 2025'!H121</f>
        <v>199</v>
      </c>
    </row>
    <row r="3558" spans="1:8" x14ac:dyDescent="0.2">
      <c r="A3558" s="23">
        <f>'[1]AUG 2025'!A122</f>
        <v>45887</v>
      </c>
      <c r="B3558" s="12" t="str">
        <f>'[1]AUG 2025'!B122</f>
        <v>LM</v>
      </c>
      <c r="C3558" s="3">
        <f>'[1]AUG 2025'!C122</f>
        <v>0</v>
      </c>
      <c r="D3558" s="3">
        <f>'[1]AUG 2025'!D122</f>
        <v>0</v>
      </c>
      <c r="E3558" s="3">
        <f>'[1]AUG 2025'!E122</f>
        <v>0</v>
      </c>
      <c r="F3558" s="3">
        <f>'[1]AUG 2025'!F122</f>
        <v>0</v>
      </c>
      <c r="G3558" s="3">
        <f>'[1]AUG 2025'!G122</f>
        <v>0</v>
      </c>
      <c r="H3558" s="3">
        <f>'[1]AUG 2025'!H122</f>
        <v>1330.77</v>
      </c>
    </row>
    <row r="3559" spans="1:8" x14ac:dyDescent="0.2">
      <c r="A3559" s="20">
        <f>'[1]AUG 2025'!A123</f>
        <v>45887</v>
      </c>
      <c r="B3559" s="12" t="str">
        <f>'[1]AUG 2025'!B123</f>
        <v>Andere</v>
      </c>
      <c r="C3559" s="3">
        <f>'[1]AUG 2025'!C123</f>
        <v>0</v>
      </c>
      <c r="D3559" s="3">
        <f>'[1]AUG 2025'!D123</f>
        <v>0</v>
      </c>
      <c r="E3559" s="3">
        <f>'[1]AUG 2025'!E123</f>
        <v>0</v>
      </c>
      <c r="F3559" s="3">
        <f>'[1]AUG 2025'!F123</f>
        <v>0</v>
      </c>
      <c r="G3559" s="3">
        <f>'[1]AUG 2025'!G123</f>
        <v>0</v>
      </c>
      <c r="H3559" s="3">
        <f>'[1]AUG 2025'!H123</f>
        <v>2017</v>
      </c>
    </row>
    <row r="3560" spans="1:8" x14ac:dyDescent="0.2">
      <c r="A3560" s="23">
        <f>'[1]AUG 2025'!A124</f>
        <v>45887</v>
      </c>
      <c r="B3560" s="12" t="str">
        <f>'[1]AUG 2025'!B124</f>
        <v>for me</v>
      </c>
      <c r="C3560" s="3">
        <f>'[1]AUG 2025'!C124</f>
        <v>0</v>
      </c>
      <c r="D3560" s="3">
        <f>'[1]AUG 2025'!D124</f>
        <v>0</v>
      </c>
      <c r="E3560" s="3">
        <f>'[1]AUG 2025'!E124</f>
        <v>0</v>
      </c>
      <c r="F3560" s="3">
        <f>'[1]AUG 2025'!F124</f>
        <v>0</v>
      </c>
      <c r="G3560" s="3">
        <f>'[1]AUG 2025'!G124</f>
        <v>0</v>
      </c>
      <c r="H3560" s="3">
        <f>'[1]AUG 2025'!H124</f>
        <v>653</v>
      </c>
    </row>
    <row r="3561" spans="1:8" x14ac:dyDescent="0.2">
      <c r="A3561" s="23">
        <f>'[1]AUG 2025'!A128</f>
        <v>45888</v>
      </c>
      <c r="B3561" s="12" t="str">
        <f>'[1]AUG 2025'!B128</f>
        <v>LM</v>
      </c>
      <c r="C3561" s="3">
        <f>'[1]AUG 2025'!C128</f>
        <v>0</v>
      </c>
      <c r="D3561" s="3">
        <f>'[1]AUG 2025'!D128</f>
        <v>0</v>
      </c>
      <c r="E3561" s="3">
        <f>'[1]AUG 2025'!E128</f>
        <v>0</v>
      </c>
      <c r="F3561" s="3">
        <f>'[1]AUG 2025'!F128</f>
        <v>0</v>
      </c>
      <c r="G3561" s="3">
        <f>'[1]AUG 2025'!G128</f>
        <v>0</v>
      </c>
      <c r="H3561" s="3">
        <f>'[1]AUG 2025'!H128</f>
        <v>819.94</v>
      </c>
    </row>
    <row r="3562" spans="1:8" x14ac:dyDescent="0.2">
      <c r="A3562" s="20">
        <f>'[1]AUG 2025'!A129</f>
        <v>45888</v>
      </c>
      <c r="B3562" s="12" t="str">
        <f>'[1]AUG 2025'!B129</f>
        <v>VM</v>
      </c>
      <c r="C3562" s="3">
        <f>'[1]AUG 2025'!C129</f>
        <v>0</v>
      </c>
      <c r="D3562" s="3">
        <f>'[1]AUG 2025'!D129</f>
        <v>0</v>
      </c>
      <c r="E3562" s="3">
        <f>'[1]AUG 2025'!E129</f>
        <v>0</v>
      </c>
      <c r="F3562" s="3">
        <f>'[1]AUG 2025'!F129</f>
        <v>0</v>
      </c>
      <c r="G3562" s="3">
        <f>'[1]AUG 2025'!G129</f>
        <v>0</v>
      </c>
      <c r="H3562" s="3">
        <f>'[1]AUG 2025'!H129</f>
        <v>29</v>
      </c>
    </row>
    <row r="3563" spans="1:8" x14ac:dyDescent="0.2">
      <c r="A3563" s="20">
        <f>'[1]AUG 2025'!A135</f>
        <v>45889</v>
      </c>
      <c r="B3563" s="12" t="str">
        <f>'[1]AUG 2025'!B135</f>
        <v>VM</v>
      </c>
      <c r="C3563" s="3">
        <f>'[1]AUG 2025'!C135</f>
        <v>0</v>
      </c>
      <c r="D3563" s="3">
        <f>'[1]AUG 2025'!D135</f>
        <v>0</v>
      </c>
      <c r="E3563" s="3">
        <f>'[1]AUG 2025'!E135</f>
        <v>0</v>
      </c>
      <c r="F3563" s="3">
        <f>'[1]AUG 2025'!F135</f>
        <v>0</v>
      </c>
      <c r="G3563" s="3">
        <f>'[1]AUG 2025'!G135</f>
        <v>0</v>
      </c>
      <c r="H3563" s="3">
        <f>'[1]AUG 2025'!H135</f>
        <v>170</v>
      </c>
    </row>
    <row r="3564" spans="1:8" x14ac:dyDescent="0.2">
      <c r="A3564" s="23">
        <f>'[1]AUG 2025'!A136</f>
        <v>45889</v>
      </c>
      <c r="B3564" s="12" t="str">
        <f>'[1]AUG 2025'!B136</f>
        <v>none</v>
      </c>
      <c r="C3564" s="3">
        <f>'[1]AUG 2025'!C136</f>
        <v>0</v>
      </c>
      <c r="D3564" s="3">
        <f>'[1]AUG 2025'!D136</f>
        <v>0</v>
      </c>
      <c r="E3564" s="3">
        <f>'[1]AUG 2025'!E136</f>
        <v>0</v>
      </c>
      <c r="F3564" s="3">
        <f>'[1]AUG 2025'!F136</f>
        <v>0</v>
      </c>
      <c r="G3564" s="3">
        <f>'[1]AUG 2025'!G136</f>
        <v>0</v>
      </c>
      <c r="H3564" s="3">
        <f>'[1]AUG 2025'!H136</f>
        <v>820</v>
      </c>
    </row>
    <row r="3565" spans="1:8" x14ac:dyDescent="0.2">
      <c r="A3565" s="20">
        <f>'[1]AUG 2025'!A137</f>
        <v>45889</v>
      </c>
      <c r="B3565" s="12" t="str">
        <f>'[1]AUG 2025'!B137</f>
        <v>LM</v>
      </c>
      <c r="C3565" s="3">
        <f>'[1]AUG 2025'!C137</f>
        <v>0</v>
      </c>
      <c r="D3565" s="3">
        <f>'[1]AUG 2025'!D137</f>
        <v>0</v>
      </c>
      <c r="E3565" s="3">
        <f>'[1]AUG 2025'!E137</f>
        <v>0</v>
      </c>
      <c r="F3565" s="3">
        <f>'[1]AUG 2025'!F137</f>
        <v>0</v>
      </c>
      <c r="G3565" s="3">
        <f>'[1]AUG 2025'!G137</f>
        <v>0</v>
      </c>
      <c r="H3565" s="3">
        <f>'[1]AUG 2025'!H137</f>
        <v>723.99</v>
      </c>
    </row>
    <row r="3566" spans="1:8" x14ac:dyDescent="0.2">
      <c r="A3566" s="23">
        <f>'[1]AUG 2025'!A138</f>
        <v>45889</v>
      </c>
      <c r="B3566" s="12" t="str">
        <f>'[1]AUG 2025'!B138</f>
        <v>Andere</v>
      </c>
      <c r="C3566" s="3">
        <f>'[1]AUG 2025'!C138</f>
        <v>0</v>
      </c>
      <c r="D3566" s="3">
        <f>'[1]AUG 2025'!D138</f>
        <v>0</v>
      </c>
      <c r="E3566" s="3">
        <f>'[1]AUG 2025'!E138</f>
        <v>0</v>
      </c>
      <c r="F3566" s="3">
        <f>'[1]AUG 2025'!F138</f>
        <v>0</v>
      </c>
      <c r="G3566" s="3">
        <f>'[1]AUG 2025'!G138</f>
        <v>0</v>
      </c>
      <c r="H3566" s="3">
        <f>'[1]AUG 2025'!H138</f>
        <v>2694</v>
      </c>
    </row>
    <row r="3567" spans="1:8" x14ac:dyDescent="0.2">
      <c r="A3567" s="20">
        <f>'[1]AUG 2025'!A143</f>
        <v>45890</v>
      </c>
      <c r="B3567" s="12" t="str">
        <f>'[1]AUG 2025'!B143</f>
        <v>Andere</v>
      </c>
      <c r="C3567" s="3">
        <f>'[1]AUG 2025'!C143</f>
        <v>0</v>
      </c>
      <c r="D3567" s="3">
        <f>'[1]AUG 2025'!D143</f>
        <v>0</v>
      </c>
      <c r="E3567" s="3">
        <f>'[1]AUG 2025'!E143</f>
        <v>0</v>
      </c>
      <c r="F3567" s="3">
        <f>'[1]AUG 2025'!F143</f>
        <v>0</v>
      </c>
      <c r="G3567" s="3">
        <f>'[1]AUG 2025'!G143</f>
        <v>0</v>
      </c>
      <c r="H3567" s="3">
        <f>'[1]AUG 2025'!H143</f>
        <v>1474</v>
      </c>
    </row>
    <row r="3568" spans="1:8" x14ac:dyDescent="0.2">
      <c r="A3568" s="23">
        <f>'[1]AUG 2025'!A144</f>
        <v>45890</v>
      </c>
      <c r="B3568" s="12" t="str">
        <f>'[1]AUG 2025'!B144</f>
        <v>LM</v>
      </c>
      <c r="C3568" s="3">
        <f>'[1]AUG 2025'!C144</f>
        <v>0</v>
      </c>
      <c r="D3568" s="3">
        <f>'[1]AUG 2025'!D144</f>
        <v>0</v>
      </c>
      <c r="E3568" s="3">
        <f>'[1]AUG 2025'!E144</f>
        <v>0</v>
      </c>
      <c r="F3568" s="3">
        <f>'[1]AUG 2025'!F144</f>
        <v>0</v>
      </c>
      <c r="G3568" s="3">
        <f>'[1]AUG 2025'!G144</f>
        <v>0</v>
      </c>
      <c r="H3568" s="3">
        <f>'[1]AUG 2025'!H144</f>
        <v>679.96</v>
      </c>
    </row>
    <row r="3569" spans="1:8" x14ac:dyDescent="0.2">
      <c r="A3569" s="20">
        <f>'[1]AUG 2025'!A149</f>
        <v>45891</v>
      </c>
      <c r="B3569" s="12" t="str">
        <f>'[1]AUG 2025'!B149</f>
        <v>VM</v>
      </c>
      <c r="C3569" s="3">
        <f>'[1]AUG 2025'!C149</f>
        <v>0</v>
      </c>
      <c r="D3569" s="3">
        <f>'[1]AUG 2025'!D149</f>
        <v>0</v>
      </c>
      <c r="E3569" s="3">
        <f>'[1]AUG 2025'!E149</f>
        <v>0</v>
      </c>
      <c r="F3569" s="3">
        <f>'[1]AUG 2025'!F149</f>
        <v>0</v>
      </c>
      <c r="G3569" s="3">
        <f>'[1]AUG 2025'!G149</f>
        <v>0</v>
      </c>
      <c r="H3569" s="3">
        <f>'[1]AUG 2025'!H149</f>
        <v>43</v>
      </c>
    </row>
    <row r="3570" spans="1:8" x14ac:dyDescent="0.2">
      <c r="A3570" s="23">
        <f>'[1]AUG 2025'!A150</f>
        <v>45891</v>
      </c>
      <c r="B3570" s="12" t="str">
        <f>'[1]AUG 2025'!B150</f>
        <v>for me</v>
      </c>
      <c r="C3570" s="3">
        <f>'[1]AUG 2025'!C150</f>
        <v>0</v>
      </c>
      <c r="D3570" s="3">
        <f>'[1]AUG 2025'!D150</f>
        <v>0</v>
      </c>
      <c r="E3570" s="3">
        <f>'[1]AUG 2025'!E150</f>
        <v>0</v>
      </c>
      <c r="F3570" s="3">
        <f>'[1]AUG 2025'!F150</f>
        <v>0</v>
      </c>
      <c r="G3570" s="3">
        <f>'[1]AUG 2025'!G150</f>
        <v>0</v>
      </c>
      <c r="H3570" s="3">
        <f>'[1]AUG 2025'!H150</f>
        <v>1400</v>
      </c>
    </row>
    <row r="3571" spans="1:8" x14ac:dyDescent="0.2">
      <c r="A3571" s="20">
        <f>'[1]AUG 2025'!A151</f>
        <v>45891</v>
      </c>
      <c r="B3571" s="12" t="str">
        <f>'[1]AUG 2025'!B151</f>
        <v>LM</v>
      </c>
      <c r="C3571" s="3">
        <f>'[1]AUG 2025'!C151</f>
        <v>0</v>
      </c>
      <c r="D3571" s="3">
        <f>'[1]AUG 2025'!D151</f>
        <v>0</v>
      </c>
      <c r="E3571" s="3">
        <f>'[1]AUG 2025'!E151</f>
        <v>0</v>
      </c>
      <c r="F3571" s="3">
        <f>'[1]AUG 2025'!F151</f>
        <v>0</v>
      </c>
      <c r="G3571" s="3">
        <f>'[1]AUG 2025'!G151</f>
        <v>0</v>
      </c>
      <c r="H3571" s="3">
        <f>'[1]AUG 2025'!H151</f>
        <v>1565.3400000000001</v>
      </c>
    </row>
    <row r="3572" spans="1:8" x14ac:dyDescent="0.2">
      <c r="A3572" s="23">
        <f>'[1]AUG 2025'!A156</f>
        <v>45892</v>
      </c>
      <c r="B3572" s="12" t="str">
        <f>'[1]AUG 2025'!B156</f>
        <v>VM</v>
      </c>
      <c r="C3572" s="3">
        <f>'[1]AUG 2025'!C156</f>
        <v>0</v>
      </c>
      <c r="D3572" s="3">
        <f>'[1]AUG 2025'!D156</f>
        <v>0</v>
      </c>
      <c r="E3572" s="3">
        <f>'[1]AUG 2025'!E156</f>
        <v>0</v>
      </c>
      <c r="F3572" s="3">
        <f>'[1]AUG 2025'!F156</f>
        <v>0</v>
      </c>
      <c r="G3572" s="3">
        <f>'[1]AUG 2025'!G156</f>
        <v>0</v>
      </c>
      <c r="H3572" s="3">
        <f>'[1]AUG 2025'!H156</f>
        <v>239</v>
      </c>
    </row>
    <row r="3573" spans="1:8" x14ac:dyDescent="0.2">
      <c r="A3573" s="20">
        <f>'[1]AUG 2025'!A157</f>
        <v>45892</v>
      </c>
      <c r="B3573" s="12" t="str">
        <f>'[1]AUG 2025'!B157</f>
        <v>LM</v>
      </c>
      <c r="C3573" s="3">
        <f>'[1]AUG 2025'!C157</f>
        <v>0</v>
      </c>
      <c r="D3573" s="3">
        <f>'[1]AUG 2025'!D157</f>
        <v>0</v>
      </c>
      <c r="E3573" s="3">
        <f>'[1]AUG 2025'!E157</f>
        <v>0</v>
      </c>
      <c r="F3573" s="3">
        <f>'[1]AUG 2025'!F157</f>
        <v>0</v>
      </c>
      <c r="G3573" s="3">
        <f>'[1]AUG 2025'!G157</f>
        <v>0</v>
      </c>
      <c r="H3573" s="3">
        <f>'[1]AUG 2025'!H157</f>
        <v>145.77000000000001</v>
      </c>
    </row>
    <row r="3574" spans="1:8" x14ac:dyDescent="0.2">
      <c r="A3574" s="20">
        <f>'[1]AUG 2025'!A163</f>
        <v>45893</v>
      </c>
      <c r="B3574" s="12" t="str">
        <f>'[1]AUG 2025'!B163</f>
        <v>LM</v>
      </c>
      <c r="C3574" s="3">
        <f>'[1]AUG 2025'!C163</f>
        <v>0</v>
      </c>
      <c r="D3574" s="3">
        <f>'[1]AUG 2025'!D163</f>
        <v>0</v>
      </c>
      <c r="E3574" s="3">
        <f>'[1]AUG 2025'!E163</f>
        <v>0</v>
      </c>
      <c r="F3574" s="3">
        <f>'[1]AUG 2025'!F163</f>
        <v>0</v>
      </c>
      <c r="G3574" s="3">
        <f>'[1]AUG 2025'!G163</f>
        <v>0</v>
      </c>
      <c r="H3574" s="3">
        <f>'[1]AUG 2025'!H163</f>
        <v>533.78</v>
      </c>
    </row>
    <row r="3575" spans="1:8" x14ac:dyDescent="0.2">
      <c r="A3575" s="23">
        <f>'[1]AUG 2025'!A164</f>
        <v>45893</v>
      </c>
      <c r="B3575" s="12" t="str">
        <f>'[1]AUG 2025'!B164</f>
        <v>for me</v>
      </c>
      <c r="C3575" s="3">
        <f>'[1]AUG 2025'!C164</f>
        <v>0</v>
      </c>
      <c r="D3575" s="3">
        <f>'[1]AUG 2025'!D164</f>
        <v>0</v>
      </c>
      <c r="E3575" s="3">
        <f>'[1]AUG 2025'!E164</f>
        <v>0</v>
      </c>
      <c r="F3575" s="3">
        <f>'[1]AUG 2025'!F164</f>
        <v>0</v>
      </c>
      <c r="G3575" s="3">
        <f>'[1]AUG 2025'!G164</f>
        <v>0</v>
      </c>
      <c r="H3575" s="3">
        <f>'[1]AUG 2025'!H164</f>
        <v>1929.86</v>
      </c>
    </row>
    <row r="3576" spans="1:8" x14ac:dyDescent="0.2">
      <c r="A3576" s="23">
        <f>'[1]AUG 2025'!A170</f>
        <v>45894</v>
      </c>
      <c r="B3576" s="12" t="str">
        <f>'[1]AUG 2025'!B170</f>
        <v>Refill</v>
      </c>
      <c r="C3576" s="3">
        <f>'[1]AUG 2025'!C170</f>
        <v>0</v>
      </c>
      <c r="D3576" s="3">
        <f>'[1]AUG 2025'!D170</f>
        <v>0</v>
      </c>
      <c r="E3576" s="3">
        <f>'[1]AUG 2025'!E170</f>
        <v>0</v>
      </c>
      <c r="F3576" s="3">
        <f>'[1]AUG 2025'!F170</f>
        <v>0</v>
      </c>
      <c r="G3576" s="3">
        <f>'[1]AUG 2025'!G170</f>
        <v>122851.97</v>
      </c>
      <c r="H3576" s="3">
        <f>'[1]AUG 2025'!H170</f>
        <v>0</v>
      </c>
    </row>
    <row r="3577" spans="1:8" x14ac:dyDescent="0.2">
      <c r="A3577" s="20">
        <f>'[1]AUG 2025'!A171</f>
        <v>45894</v>
      </c>
      <c r="B3577" s="12" t="str">
        <f>'[1]AUG 2025'!B171</f>
        <v>Andere</v>
      </c>
      <c r="C3577" s="3">
        <f>'[1]AUG 2025'!C171</f>
        <v>0</v>
      </c>
      <c r="D3577" s="3">
        <f>'[1]AUG 2025'!D171</f>
        <v>0</v>
      </c>
      <c r="E3577" s="3">
        <f>'[1]AUG 2025'!E171</f>
        <v>0</v>
      </c>
      <c r="F3577" s="3">
        <f>'[1]AUG 2025'!F171</f>
        <v>0</v>
      </c>
      <c r="G3577" s="3">
        <f>'[1]AUG 2025'!G171</f>
        <v>0</v>
      </c>
      <c r="H3577" s="3">
        <f>'[1]AUG 2025'!H171</f>
        <v>20000</v>
      </c>
    </row>
    <row r="3578" spans="1:8" x14ac:dyDescent="0.2">
      <c r="A3578" s="23">
        <f>'[1]AUG 2025'!A184</f>
        <v>45896</v>
      </c>
      <c r="B3578" s="12" t="str">
        <f>'[1]AUG 2025'!B184</f>
        <v>Frauen</v>
      </c>
      <c r="C3578" s="3">
        <f>'[1]AUG 2025'!C184</f>
        <v>0</v>
      </c>
      <c r="D3578" s="3">
        <f>'[1]AUG 2025'!D184</f>
        <v>0</v>
      </c>
      <c r="E3578" s="3">
        <f>'[1]AUG 2025'!E184</f>
        <v>0</v>
      </c>
      <c r="F3578" s="3">
        <f>'[1]AUG 2025'!F184</f>
        <v>0</v>
      </c>
      <c r="G3578" s="3">
        <f>'[1]AUG 2025'!G184</f>
        <v>0</v>
      </c>
      <c r="H3578" s="3">
        <f>'[1]AUG 2025'!H184</f>
        <v>432</v>
      </c>
    </row>
    <row r="3579" spans="1:8" x14ac:dyDescent="0.2">
      <c r="A3579" s="20">
        <f>'[1]AUG 2025'!A185</f>
        <v>45896</v>
      </c>
      <c r="B3579" s="12" t="str">
        <f>'[1]AUG 2025'!B185</f>
        <v>Andere</v>
      </c>
      <c r="C3579" s="3">
        <f>'[1]AUG 2025'!C185</f>
        <v>0</v>
      </c>
      <c r="D3579" s="3">
        <f>'[1]AUG 2025'!D185</f>
        <v>0</v>
      </c>
      <c r="E3579" s="3">
        <f>'[1]AUG 2025'!E185</f>
        <v>0</v>
      </c>
      <c r="F3579" s="3">
        <f>'[1]AUG 2025'!F185</f>
        <v>0</v>
      </c>
      <c r="G3579" s="3">
        <f>'[1]AUG 2025'!G185</f>
        <v>0</v>
      </c>
      <c r="H3579" s="3">
        <f>'[1]AUG 2025'!H185</f>
        <v>9023</v>
      </c>
    </row>
    <row r="3580" spans="1:8" x14ac:dyDescent="0.2">
      <c r="A3580" s="23">
        <f>'[1]AUG 2025'!A198</f>
        <v>45898</v>
      </c>
      <c r="B3580" s="12" t="str">
        <f>'[1]AUG 2025'!B198</f>
        <v>Frauen</v>
      </c>
      <c r="C3580" s="3">
        <f>'[1]AUG 2025'!C198</f>
        <v>0</v>
      </c>
      <c r="D3580" s="3">
        <f>'[1]AUG 2025'!D198</f>
        <v>0</v>
      </c>
      <c r="E3580" s="3">
        <f>'[1]AUG 2025'!E198</f>
        <v>0</v>
      </c>
      <c r="F3580" s="3">
        <f>'[1]AUG 2025'!F198</f>
        <v>0</v>
      </c>
      <c r="G3580" s="3">
        <f>'[1]AUG 2025'!G198</f>
        <v>0</v>
      </c>
      <c r="H3580" s="3">
        <f>'[1]AUG 2025'!H198</f>
        <v>5265</v>
      </c>
    </row>
    <row r="3581" spans="1:8" x14ac:dyDescent="0.2">
      <c r="A3581" s="20">
        <f>'[1]AUG 2025'!A205</f>
        <v>45899</v>
      </c>
      <c r="B3581" s="12" t="str">
        <f>'[1]AUG 2025'!B205</f>
        <v>Car</v>
      </c>
      <c r="C3581" s="3">
        <f>'[1]AUG 2025'!C205</f>
        <v>0</v>
      </c>
      <c r="D3581" s="3">
        <f>'[1]AUG 2025'!D205</f>
        <v>0</v>
      </c>
      <c r="E3581" s="3">
        <f>'[1]AUG 2025'!E205</f>
        <v>0</v>
      </c>
      <c r="F3581" s="3">
        <f>'[1]AUG 2025'!F205</f>
        <v>0</v>
      </c>
      <c r="G3581" s="3">
        <f>'[1]AUG 2025'!G205</f>
        <v>0</v>
      </c>
      <c r="H3581" s="3">
        <f>'[1]AUG 2025'!H205</f>
        <v>85000</v>
      </c>
    </row>
    <row r="3582" spans="1:8" x14ac:dyDescent="0.2">
      <c r="A3582" s="23">
        <f>'[1]AUG 2025'!A212</f>
        <v>45900</v>
      </c>
      <c r="B3582" s="12" t="str">
        <f>'[1]AUG 2025'!B212</f>
        <v>CarMaint</v>
      </c>
      <c r="C3582" s="3">
        <f>'[1]AUG 2025'!C212</f>
        <v>0</v>
      </c>
      <c r="D3582" s="3">
        <f>'[1]AUG 2025'!D212</f>
        <v>0</v>
      </c>
      <c r="E3582" s="3">
        <f>'[1]AUG 2025'!E212</f>
        <v>0</v>
      </c>
      <c r="F3582" s="3">
        <f>'[1]AUG 2025'!F212</f>
        <v>0</v>
      </c>
      <c r="G3582" s="3">
        <f>'[1]AUG 2025'!G212</f>
        <v>0</v>
      </c>
      <c r="H3582" s="3">
        <f>'[1]AUG 2025'!H212</f>
        <v>12174.94</v>
      </c>
    </row>
    <row r="3583" spans="1:8" x14ac:dyDescent="0.2">
      <c r="A3583" s="23">
        <f>'[1]SEP 2025'!A9</f>
        <v>45902</v>
      </c>
      <c r="B3583" s="12" t="str">
        <f>'[1]SEP 2025'!B9</f>
        <v>Andere</v>
      </c>
      <c r="C3583" s="3">
        <f>'[1]SEP 2025'!C9</f>
        <v>0</v>
      </c>
      <c r="D3583" s="3">
        <f>'[1]SEP 2025'!D9</f>
        <v>0</v>
      </c>
      <c r="E3583" s="3">
        <f>'[1]SEP 2025'!E9</f>
        <v>0</v>
      </c>
      <c r="F3583" s="3">
        <f>'[1]SEP 2025'!F9</f>
        <v>0</v>
      </c>
      <c r="G3583" s="3">
        <f>'[1]SEP 2025'!G9</f>
        <v>0</v>
      </c>
      <c r="H3583" s="3">
        <f>'[1]SEP 2025'!H9</f>
        <v>1490</v>
      </c>
    </row>
    <row r="3584" spans="1:8" x14ac:dyDescent="0.2">
      <c r="A3584" s="20">
        <f>'[1]SEP 2025'!A10</f>
        <v>45902</v>
      </c>
      <c r="B3584" s="12" t="str">
        <f>'[1]SEP 2025'!B10</f>
        <v>Refill</v>
      </c>
      <c r="C3584" s="3">
        <f>'[1]SEP 2025'!C10</f>
        <v>0</v>
      </c>
      <c r="D3584" s="3">
        <f>'[1]SEP 2025'!D10</f>
        <v>0</v>
      </c>
      <c r="E3584" s="3">
        <f>'[1]SEP 2025'!E10</f>
        <v>0</v>
      </c>
      <c r="F3584" s="3">
        <f>'[1]SEP 2025'!F10</f>
        <v>0</v>
      </c>
      <c r="G3584" s="3">
        <f>'[1]SEP 2025'!G10</f>
        <v>53698.37</v>
      </c>
      <c r="H3584" s="3">
        <f>'[1]SEP 2025'!H10</f>
        <v>0</v>
      </c>
    </row>
    <row r="3585" spans="1:8" x14ac:dyDescent="0.2">
      <c r="A3585" s="20">
        <f>'[1]SEP 2025'!A16</f>
        <v>45903</v>
      </c>
      <c r="B3585" s="12" t="str">
        <f>'[1]SEP 2025'!B16</f>
        <v>Frauen</v>
      </c>
      <c r="C3585" s="3">
        <f>'[1]SEP 2025'!C16</f>
        <v>0</v>
      </c>
      <c r="D3585" s="3">
        <f>'[1]SEP 2025'!D16</f>
        <v>0</v>
      </c>
      <c r="E3585" s="3">
        <f>'[1]SEP 2025'!E16</f>
        <v>0</v>
      </c>
      <c r="F3585" s="3">
        <f>'[1]SEP 2025'!F16</f>
        <v>0</v>
      </c>
      <c r="G3585" s="3">
        <f>'[1]SEP 2025'!G16</f>
        <v>0</v>
      </c>
      <c r="H3585" s="3">
        <f>'[1]SEP 2025'!H16</f>
        <v>500</v>
      </c>
    </row>
    <row r="3586" spans="1:8" x14ac:dyDescent="0.2">
      <c r="A3586" s="23">
        <f>'[1]SEP 2025'!A23</f>
        <v>45904</v>
      </c>
      <c r="B3586" s="12" t="str">
        <f>'[1]SEP 2025'!B23</f>
        <v>Andere</v>
      </c>
      <c r="C3586" s="3">
        <f>'[1]SEP 2025'!C23</f>
        <v>0</v>
      </c>
      <c r="D3586" s="3">
        <f>'[1]SEP 2025'!D23</f>
        <v>0</v>
      </c>
      <c r="E3586" s="3">
        <f>'[1]SEP 2025'!E23</f>
        <v>0</v>
      </c>
      <c r="F3586" s="3">
        <f>'[1]SEP 2025'!F23</f>
        <v>0</v>
      </c>
      <c r="G3586" s="3">
        <f>'[1]SEP 2025'!G23</f>
        <v>0</v>
      </c>
      <c r="H3586" s="3">
        <f>'[1]SEP 2025'!H23</f>
        <v>3039</v>
      </c>
    </row>
    <row r="3587" spans="1:8" x14ac:dyDescent="0.2">
      <c r="A3587" s="20">
        <f>'[1]SEP 2025'!A30</f>
        <v>45905</v>
      </c>
      <c r="B3587" s="12" t="str">
        <f>'[1]SEP 2025'!B30</f>
        <v>CarMaint</v>
      </c>
      <c r="C3587" s="3">
        <f>'[1]SEP 2025'!C30</f>
        <v>0</v>
      </c>
      <c r="D3587" s="3">
        <f>'[1]SEP 2025'!D30</f>
        <v>0</v>
      </c>
      <c r="E3587" s="3">
        <f>'[1]SEP 2025'!E30</f>
        <v>0</v>
      </c>
      <c r="F3587" s="3">
        <f>'[1]SEP 2025'!F30</f>
        <v>0</v>
      </c>
      <c r="G3587" s="3">
        <f>'[1]SEP 2025'!G30</f>
        <v>0</v>
      </c>
      <c r="H3587" s="3">
        <f>'[1]SEP 2025'!H30</f>
        <v>11017</v>
      </c>
    </row>
    <row r="3588" spans="1:8" x14ac:dyDescent="0.2">
      <c r="A3588" s="23">
        <f>'[1]SEP 2025'!A31</f>
        <v>45905</v>
      </c>
      <c r="B3588" s="12" t="str">
        <f>'[1]SEP 2025'!B31</f>
        <v>VM</v>
      </c>
      <c r="C3588" s="3">
        <f>'[1]SEP 2025'!C31</f>
        <v>0</v>
      </c>
      <c r="D3588" s="3">
        <f>'[1]SEP 2025'!D31</f>
        <v>0</v>
      </c>
      <c r="E3588" s="3">
        <f>'[1]SEP 2025'!E31</f>
        <v>0</v>
      </c>
      <c r="F3588" s="3">
        <f>'[1]SEP 2025'!F31</f>
        <v>0</v>
      </c>
      <c r="G3588" s="3">
        <f>'[1]SEP 2025'!G31</f>
        <v>0</v>
      </c>
      <c r="H3588" s="3">
        <f>'[1]SEP 2025'!H31</f>
        <v>74</v>
      </c>
    </row>
    <row r="3589" spans="1:8" x14ac:dyDescent="0.2">
      <c r="A3589" s="20">
        <f>'[1]SEP 2025'!A32</f>
        <v>45905</v>
      </c>
      <c r="B3589" s="12" t="str">
        <f>'[1]SEP 2025'!B32</f>
        <v>CarMaint</v>
      </c>
      <c r="C3589" s="3">
        <f>'[1]SEP 2025'!C32</f>
        <v>0</v>
      </c>
      <c r="D3589" s="3">
        <f>'[1]SEP 2025'!D32</f>
        <v>0</v>
      </c>
      <c r="E3589" s="3">
        <f>'[1]SEP 2025'!E32</f>
        <v>0</v>
      </c>
      <c r="F3589" s="3">
        <f>'[1]SEP 2025'!F32</f>
        <v>0</v>
      </c>
      <c r="G3589" s="3">
        <f>'[1]SEP 2025'!G32</f>
        <v>0</v>
      </c>
      <c r="H3589" s="3">
        <f>'[1]SEP 2025'!H32</f>
        <v>2800</v>
      </c>
    </row>
    <row r="3590" spans="1:8" x14ac:dyDescent="0.2">
      <c r="A3590" s="23">
        <f>'[1]SEP 2025'!A33</f>
        <v>45905</v>
      </c>
      <c r="B3590" s="12" t="str">
        <f>'[1]SEP 2025'!B33</f>
        <v>Fuel</v>
      </c>
      <c r="C3590" s="3">
        <f>'[1]SEP 2025'!C33</f>
        <v>0</v>
      </c>
      <c r="D3590" s="3">
        <f>'[1]SEP 2025'!D33</f>
        <v>0</v>
      </c>
      <c r="E3590" s="3">
        <f>'[1]SEP 2025'!E33</f>
        <v>0</v>
      </c>
      <c r="F3590" s="3">
        <f>'[1]SEP 2025'!F33</f>
        <v>0</v>
      </c>
      <c r="G3590" s="3">
        <f>'[1]SEP 2025'!G33</f>
        <v>0</v>
      </c>
      <c r="H3590" s="3">
        <f>'[1]SEP 2025'!H33</f>
        <v>4169.51</v>
      </c>
    </row>
    <row r="3591" spans="1:8" x14ac:dyDescent="0.2">
      <c r="A3591" s="20">
        <f>'[1]SEP 2025'!A34</f>
        <v>45905</v>
      </c>
      <c r="B3591" s="12" t="str">
        <f>'[1]SEP 2025'!B34</f>
        <v>CarMaint</v>
      </c>
      <c r="C3591" s="3">
        <f>'[1]SEP 2025'!C34</f>
        <v>0</v>
      </c>
      <c r="D3591" s="3">
        <f>'[1]SEP 2025'!D34</f>
        <v>0</v>
      </c>
      <c r="E3591" s="3">
        <f>'[1]SEP 2025'!E34</f>
        <v>0</v>
      </c>
      <c r="F3591" s="3">
        <f>'[1]SEP 2025'!F34</f>
        <v>0</v>
      </c>
      <c r="G3591" s="3">
        <f>'[1]SEP 2025'!G34</f>
        <v>0</v>
      </c>
      <c r="H3591" s="3">
        <f>'[1]SEP 2025'!H34</f>
        <v>5680</v>
      </c>
    </row>
    <row r="3592" spans="1:8" x14ac:dyDescent="0.2">
      <c r="A3592" s="23">
        <f>'[1]SEP 2025'!A37</f>
        <v>45906</v>
      </c>
      <c r="B3592" s="12" t="str">
        <f>'[1]SEP 2025'!B37</f>
        <v>Andere</v>
      </c>
      <c r="C3592" s="3">
        <f>'[1]SEP 2025'!C37</f>
        <v>0</v>
      </c>
      <c r="D3592" s="3">
        <f>'[1]SEP 2025'!D37</f>
        <v>0</v>
      </c>
      <c r="E3592" s="3">
        <f>'[1]SEP 2025'!E37</f>
        <v>0</v>
      </c>
      <c r="F3592" s="3">
        <f>'[1]SEP 2025'!F37</f>
        <v>0</v>
      </c>
      <c r="G3592" s="3">
        <f>'[1]SEP 2025'!G37</f>
        <v>0</v>
      </c>
      <c r="H3592" s="3">
        <f>'[1]SEP 2025'!H37</f>
        <v>2800.96</v>
      </c>
    </row>
    <row r="3593" spans="1:8" x14ac:dyDescent="0.2">
      <c r="A3593" s="20">
        <f>'[1]SEP 2025'!A38</f>
        <v>45906</v>
      </c>
      <c r="B3593" s="12" t="str">
        <f>'[1]SEP 2025'!B38</f>
        <v>LM</v>
      </c>
      <c r="C3593" s="3">
        <f>'[1]SEP 2025'!C38</f>
        <v>0</v>
      </c>
      <c r="D3593" s="3">
        <f>'[1]SEP 2025'!D38</f>
        <v>0</v>
      </c>
      <c r="E3593" s="3">
        <f>'[1]SEP 2025'!E38</f>
        <v>0</v>
      </c>
      <c r="F3593" s="3">
        <f>'[1]SEP 2025'!F38</f>
        <v>0</v>
      </c>
      <c r="G3593" s="3">
        <f>'[1]SEP 2025'!G38</f>
        <v>0</v>
      </c>
      <c r="H3593" s="3">
        <f>'[1]SEP 2025'!H38</f>
        <v>570</v>
      </c>
    </row>
    <row r="3594" spans="1:8" x14ac:dyDescent="0.2">
      <c r="A3594" s="23">
        <f>'[1]SEP 2025'!A39</f>
        <v>45906</v>
      </c>
      <c r="B3594" s="12" t="str">
        <f>'[1]SEP 2025'!B39</f>
        <v>Andere</v>
      </c>
      <c r="C3594" s="3">
        <f>'[1]SEP 2025'!C39</f>
        <v>0</v>
      </c>
      <c r="D3594" s="3">
        <f>'[1]SEP 2025'!D39</f>
        <v>0</v>
      </c>
      <c r="E3594" s="3">
        <f>'[1]SEP 2025'!E39</f>
        <v>0</v>
      </c>
      <c r="F3594" s="3">
        <f>'[1]SEP 2025'!F39</f>
        <v>0</v>
      </c>
      <c r="G3594" s="3">
        <f>'[1]SEP 2025'!G39</f>
        <v>0</v>
      </c>
      <c r="H3594" s="3">
        <f>'[1]SEP 2025'!H39</f>
        <v>20000</v>
      </c>
    </row>
    <row r="3595" spans="1:8" x14ac:dyDescent="0.2">
      <c r="A3595" s="20">
        <f>'[1]SEP 2025'!A40</f>
        <v>45906</v>
      </c>
      <c r="B3595" s="12" t="str">
        <f>'[1]SEP 2025'!B40</f>
        <v>none</v>
      </c>
      <c r="C3595" s="3">
        <f>'[1]SEP 2025'!C40</f>
        <v>0</v>
      </c>
      <c r="D3595" s="3">
        <f>'[1]SEP 2025'!D40</f>
        <v>0</v>
      </c>
      <c r="E3595" s="3">
        <f>'[1]SEP 2025'!E40</f>
        <v>0</v>
      </c>
      <c r="F3595" s="3">
        <f>'[1]SEP 2025'!F40</f>
        <v>0</v>
      </c>
      <c r="G3595" s="3">
        <f>'[1]SEP 2025'!G40</f>
        <v>0</v>
      </c>
      <c r="H3595" s="3">
        <f>'[1]SEP 2025'!H40</f>
        <v>0.72</v>
      </c>
    </row>
    <row r="3596" spans="1:8" x14ac:dyDescent="0.2">
      <c r="A3596" s="20">
        <f>'[1]SEP 2025'!A44</f>
        <v>45907</v>
      </c>
      <c r="B3596" s="12" t="str">
        <f>'[1]SEP 2025'!B44</f>
        <v>LM</v>
      </c>
      <c r="C3596" s="3">
        <f>'[1]SEP 2025'!C44</f>
        <v>0</v>
      </c>
      <c r="D3596" s="3">
        <f>'[1]SEP 2025'!D44</f>
        <v>0</v>
      </c>
      <c r="E3596" s="3">
        <f>'[1]SEP 2025'!E44</f>
        <v>0</v>
      </c>
      <c r="F3596" s="3">
        <f>'[1]SEP 2025'!F44</f>
        <v>0</v>
      </c>
      <c r="G3596" s="3">
        <f>'[1]SEP 2025'!G44</f>
        <v>0</v>
      </c>
      <c r="H3596" s="3">
        <f>'[1]SEP 2025'!H44</f>
        <v>3102.25</v>
      </c>
    </row>
    <row r="3597" spans="1:8" x14ac:dyDescent="0.2">
      <c r="A3597" s="23">
        <f>'[1]SEP 2025'!A45</f>
        <v>45907</v>
      </c>
      <c r="B3597" s="12" t="str">
        <f>'[1]SEP 2025'!B45</f>
        <v>Frauen</v>
      </c>
      <c r="C3597" s="3">
        <f>'[1]SEP 2025'!C45</f>
        <v>0</v>
      </c>
      <c r="D3597" s="3">
        <f>'[1]SEP 2025'!D45</f>
        <v>0</v>
      </c>
      <c r="E3597" s="3">
        <f>'[1]SEP 2025'!E45</f>
        <v>0</v>
      </c>
      <c r="F3597" s="3">
        <f>'[1]SEP 2025'!F45</f>
        <v>0</v>
      </c>
      <c r="G3597" s="3">
        <f>'[1]SEP 2025'!G45</f>
        <v>0</v>
      </c>
      <c r="H3597" s="3">
        <f>'[1]SEP 2025'!H45</f>
        <v>1370</v>
      </c>
    </row>
    <row r="3598" spans="1:8" x14ac:dyDescent="0.2">
      <c r="A3598" s="20">
        <f>'[1]SEP 2025'!A46</f>
        <v>45907</v>
      </c>
      <c r="B3598" s="12" t="str">
        <f>'[1]SEP 2025'!B46</f>
        <v>Andere</v>
      </c>
      <c r="C3598" s="3">
        <f>'[1]SEP 2025'!C46</f>
        <v>0</v>
      </c>
      <c r="D3598" s="3">
        <f>'[1]SEP 2025'!D46</f>
        <v>0</v>
      </c>
      <c r="E3598" s="3">
        <f>'[1]SEP 2025'!E46</f>
        <v>0</v>
      </c>
      <c r="F3598" s="3">
        <f>'[1]SEP 2025'!F46</f>
        <v>0</v>
      </c>
      <c r="G3598" s="3">
        <f>'[1]SEP 2025'!G46</f>
        <v>0</v>
      </c>
      <c r="H3598" s="3">
        <f>'[1]SEP 2025'!H46</f>
        <v>789</v>
      </c>
    </row>
    <row r="3599" spans="1:8" x14ac:dyDescent="0.2">
      <c r="A3599" s="23">
        <f>'[1]SEP 2025'!A47</f>
        <v>45907</v>
      </c>
      <c r="B3599" s="12" t="str">
        <f>'[1]SEP 2025'!B47</f>
        <v>for me</v>
      </c>
      <c r="C3599" s="3">
        <f>'[1]SEP 2025'!C47</f>
        <v>0</v>
      </c>
      <c r="D3599" s="3">
        <f>'[1]SEP 2025'!D47</f>
        <v>0</v>
      </c>
      <c r="E3599" s="3">
        <f>'[1]SEP 2025'!E47</f>
        <v>0</v>
      </c>
      <c r="F3599" s="3">
        <f>'[1]SEP 2025'!F47</f>
        <v>0</v>
      </c>
      <c r="G3599" s="3">
        <f>'[1]SEP 2025'!G47</f>
        <v>0</v>
      </c>
      <c r="H3599" s="3">
        <f>'[1]SEP 2025'!H47</f>
        <v>3795</v>
      </c>
    </row>
    <row r="3600" spans="1:8" x14ac:dyDescent="0.2">
      <c r="A3600" s="20">
        <f>'[1]SEP 2025'!A48</f>
        <v>45907</v>
      </c>
      <c r="B3600" s="12" t="str">
        <f>'[1]SEP 2025'!B48</f>
        <v>VM</v>
      </c>
      <c r="C3600" s="3">
        <f>'[1]SEP 2025'!C48</f>
        <v>0</v>
      </c>
      <c r="D3600" s="3">
        <f>'[1]SEP 2025'!D48</f>
        <v>0</v>
      </c>
      <c r="E3600" s="3">
        <f>'[1]SEP 2025'!E48</f>
        <v>0</v>
      </c>
      <c r="F3600" s="3">
        <f>'[1]SEP 2025'!F48</f>
        <v>0</v>
      </c>
      <c r="G3600" s="3">
        <f>'[1]SEP 2025'!G48</f>
        <v>0</v>
      </c>
      <c r="H3600" s="3">
        <f>'[1]SEP 2025'!H48</f>
        <v>89</v>
      </c>
    </row>
    <row r="3601" spans="1:8" x14ac:dyDescent="0.2">
      <c r="A3601" s="23">
        <f>'[1]SEP 2025'!A51</f>
        <v>45908</v>
      </c>
      <c r="B3601" s="12" t="str">
        <f>'[1]SEP 2025'!B51</f>
        <v>Andere</v>
      </c>
      <c r="C3601" s="3">
        <f>'[1]SEP 2025'!C51</f>
        <v>0</v>
      </c>
      <c r="D3601" s="3">
        <f>'[1]SEP 2025'!D51</f>
        <v>0</v>
      </c>
      <c r="E3601" s="3">
        <f>'[1]SEP 2025'!E51</f>
        <v>0</v>
      </c>
      <c r="F3601" s="3">
        <f>'[1]SEP 2025'!F51</f>
        <v>0</v>
      </c>
      <c r="G3601" s="3">
        <f>'[1]SEP 2025'!G51</f>
        <v>0</v>
      </c>
      <c r="H3601" s="3">
        <f>'[1]SEP 2025'!H51</f>
        <v>249</v>
      </c>
    </row>
    <row r="3602" spans="1:8" x14ac:dyDescent="0.2">
      <c r="A3602" s="20">
        <f>'[1]SEP 2025'!A52</f>
        <v>45908</v>
      </c>
      <c r="B3602" s="12" t="str">
        <f>'[1]SEP 2025'!B52</f>
        <v>LM</v>
      </c>
      <c r="C3602" s="3">
        <f>'[1]SEP 2025'!C52</f>
        <v>0</v>
      </c>
      <c r="D3602" s="3">
        <f>'[1]SEP 2025'!D52</f>
        <v>0</v>
      </c>
      <c r="E3602" s="3">
        <f>'[1]SEP 2025'!E52</f>
        <v>0</v>
      </c>
      <c r="F3602" s="3">
        <f>'[1]SEP 2025'!F52</f>
        <v>0</v>
      </c>
      <c r="G3602" s="3">
        <f>'[1]SEP 2025'!G52</f>
        <v>0</v>
      </c>
      <c r="H3602" s="3">
        <f>'[1]SEP 2025'!H52</f>
        <v>490</v>
      </c>
    </row>
    <row r="3603" spans="1:8" x14ac:dyDescent="0.2">
      <c r="A3603" s="23">
        <f>'[1]SEP 2025'!A53</f>
        <v>45908</v>
      </c>
      <c r="B3603" s="12" t="str">
        <f>'[1]SEP 2025'!B53</f>
        <v>VM</v>
      </c>
      <c r="C3603" s="3">
        <f>'[1]SEP 2025'!C53</f>
        <v>0</v>
      </c>
      <c r="D3603" s="3">
        <f>'[1]SEP 2025'!D53</f>
        <v>0</v>
      </c>
      <c r="E3603" s="3">
        <f>'[1]SEP 2025'!E53</f>
        <v>0</v>
      </c>
      <c r="F3603" s="3">
        <f>'[1]SEP 2025'!F53</f>
        <v>0</v>
      </c>
      <c r="G3603" s="3">
        <f>'[1]SEP 2025'!G53</f>
        <v>0</v>
      </c>
      <c r="H3603" s="3">
        <f>'[1]SEP 2025'!H53</f>
        <v>1328</v>
      </c>
    </row>
    <row r="3604" spans="1:8" x14ac:dyDescent="0.2">
      <c r="A3604" s="23">
        <f>'[1]SEP 2025'!A65</f>
        <v>45910</v>
      </c>
      <c r="B3604" s="12" t="str">
        <f>'[1]SEP 2025'!B65</f>
        <v>Refill</v>
      </c>
      <c r="C3604" s="3">
        <f>'[1]SEP 2025'!C65</f>
        <v>0</v>
      </c>
      <c r="D3604" s="3">
        <f>'[1]SEP 2025'!D65</f>
        <v>0</v>
      </c>
      <c r="E3604" s="3">
        <f>'[1]SEP 2025'!E65</f>
        <v>0</v>
      </c>
      <c r="F3604" s="3">
        <f>'[1]SEP 2025'!F65</f>
        <v>0</v>
      </c>
      <c r="G3604" s="3">
        <f>'[1]SEP 2025'!G65</f>
        <v>107525.48</v>
      </c>
      <c r="H3604" s="3">
        <f>'[1]SEP 2025'!H65</f>
        <v>0</v>
      </c>
    </row>
    <row r="3605" spans="1:8" x14ac:dyDescent="0.2">
      <c r="A3605" s="23">
        <f>'[1]SEP 2025'!A79</f>
        <v>45912</v>
      </c>
      <c r="B3605" s="12" t="str">
        <f>'[1]SEP 2025'!B79</f>
        <v>Andere</v>
      </c>
      <c r="C3605" s="3">
        <f>'[1]SEP 2025'!C79</f>
        <v>0</v>
      </c>
      <c r="D3605" s="3">
        <f>'[1]SEP 2025'!D79</f>
        <v>0</v>
      </c>
      <c r="E3605" s="3">
        <f>'[1]SEP 2025'!E79</f>
        <v>0</v>
      </c>
      <c r="F3605" s="3">
        <f>'[1]SEP 2025'!F79</f>
        <v>0</v>
      </c>
      <c r="G3605" s="3">
        <f>'[1]SEP 2025'!G79</f>
        <v>0</v>
      </c>
      <c r="H3605" s="3">
        <f>'[1]SEP 2025'!H79</f>
        <v>299</v>
      </c>
    </row>
    <row r="3606" spans="1:8" x14ac:dyDescent="0.2">
      <c r="A3606" s="23">
        <f>'[1]SEP 2025'!A107</f>
        <v>45916</v>
      </c>
      <c r="B3606" s="12" t="str">
        <f>'[1]SEP 2025'!B107</f>
        <v>LM</v>
      </c>
      <c r="C3606" s="3">
        <f>'[1]SEP 2025'!C107</f>
        <v>0</v>
      </c>
      <c r="D3606" s="3">
        <f>'[1]SEP 2025'!D107</f>
        <v>0</v>
      </c>
      <c r="E3606" s="3">
        <f>'[1]SEP 2025'!E107</f>
        <v>0</v>
      </c>
      <c r="F3606" s="3">
        <f>'[1]SEP 2025'!F107</f>
        <v>0</v>
      </c>
      <c r="G3606" s="3">
        <f>'[1]SEP 2025'!G107</f>
        <v>0</v>
      </c>
      <c r="H3606" s="3">
        <f>'[1]SEP 2025'!H107</f>
        <v>2023.95</v>
      </c>
    </row>
    <row r="3607" spans="1:8" x14ac:dyDescent="0.2">
      <c r="A3607" s="20">
        <f>'[1]SEP 2025'!A108</f>
        <v>45916</v>
      </c>
      <c r="B3607" s="12" t="str">
        <f>'[1]SEP 2025'!B108</f>
        <v>CarMaint</v>
      </c>
      <c r="C3607" s="3">
        <f>'[1]SEP 2025'!C108</f>
        <v>0</v>
      </c>
      <c r="D3607" s="3">
        <f>'[1]SEP 2025'!D108</f>
        <v>0</v>
      </c>
      <c r="E3607" s="3">
        <f>'[1]SEP 2025'!E108</f>
        <v>0</v>
      </c>
      <c r="F3607" s="3">
        <f>'[1]SEP 2025'!F108</f>
        <v>0</v>
      </c>
      <c r="G3607" s="3">
        <f>'[1]SEP 2025'!G108</f>
        <v>0</v>
      </c>
      <c r="H3607" s="3">
        <f>'[1]SEP 2025'!H108</f>
        <v>13060</v>
      </c>
    </row>
    <row r="3608" spans="1:8" x14ac:dyDescent="0.2">
      <c r="A3608" s="23">
        <f>'[1]SEP 2025'!A109</f>
        <v>45916</v>
      </c>
      <c r="B3608" s="12" t="str">
        <f>'[1]SEP 2025'!B109</f>
        <v>CarMaint</v>
      </c>
      <c r="C3608" s="3">
        <f>'[1]SEP 2025'!C109</f>
        <v>0</v>
      </c>
      <c r="D3608" s="3">
        <f>'[1]SEP 2025'!D109</f>
        <v>0</v>
      </c>
      <c r="E3608" s="3">
        <f>'[1]SEP 2025'!E109</f>
        <v>0</v>
      </c>
      <c r="F3608" s="3">
        <f>'[1]SEP 2025'!F109</f>
        <v>0</v>
      </c>
      <c r="G3608" s="3">
        <f>'[1]SEP 2025'!G109</f>
        <v>0</v>
      </c>
      <c r="H3608" s="3">
        <f>'[1]SEP 2025'!H109</f>
        <v>654</v>
      </c>
    </row>
    <row r="3609" spans="1:8" x14ac:dyDescent="0.2">
      <c r="A3609" s="20">
        <f>'[1]SEP 2025'!A110</f>
        <v>45916</v>
      </c>
      <c r="B3609" s="12" t="str">
        <f>'[1]SEP 2025'!B110</f>
        <v>LM</v>
      </c>
      <c r="C3609" s="3">
        <f>'[1]SEP 2025'!C110</f>
        <v>0</v>
      </c>
      <c r="D3609" s="3">
        <f>'[1]SEP 2025'!D110</f>
        <v>0</v>
      </c>
      <c r="E3609" s="3">
        <f>'[1]SEP 2025'!E110</f>
        <v>0</v>
      </c>
      <c r="F3609" s="3">
        <f>'[1]SEP 2025'!F110</f>
        <v>0</v>
      </c>
      <c r="G3609" s="3">
        <f>'[1]SEP 2025'!G110</f>
        <v>0</v>
      </c>
      <c r="H3609" s="3">
        <f>'[1]SEP 2025'!H110</f>
        <v>149</v>
      </c>
    </row>
    <row r="3610" spans="1:8" x14ac:dyDescent="0.2">
      <c r="A3610" s="23">
        <f>'[1]SEP 2025'!A111</f>
        <v>45916</v>
      </c>
      <c r="B3610" s="12" t="str">
        <f>'[1]SEP 2025'!B111</f>
        <v>Refill</v>
      </c>
      <c r="C3610" s="3">
        <f>'[1]SEP 2025'!C111</f>
        <v>0</v>
      </c>
      <c r="D3610" s="3">
        <f>'[1]SEP 2025'!D111</f>
        <v>0</v>
      </c>
      <c r="E3610" s="3">
        <f>'[1]SEP 2025'!E111</f>
        <v>0</v>
      </c>
      <c r="F3610" s="3">
        <f>'[1]SEP 2025'!F111</f>
        <v>0</v>
      </c>
      <c r="G3610" s="3">
        <f>'[1]SEP 2025'!G111</f>
        <v>12000</v>
      </c>
      <c r="H3610" s="3">
        <f>'[1]SEP 2025'!H111</f>
        <v>0</v>
      </c>
    </row>
    <row r="3611" spans="1:8" x14ac:dyDescent="0.2">
      <c r="A3611" s="20">
        <f>'[1]SEP 2025'!A112</f>
        <v>45916</v>
      </c>
      <c r="B3611" s="12" t="str">
        <f>'[1]SEP 2025'!B112</f>
        <v>Refill</v>
      </c>
      <c r="C3611" s="3">
        <f>'[1]SEP 2025'!C112</f>
        <v>0</v>
      </c>
      <c r="D3611" s="3">
        <f>'[1]SEP 2025'!D112</f>
        <v>0</v>
      </c>
      <c r="E3611" s="3">
        <f>'[1]SEP 2025'!E112</f>
        <v>0</v>
      </c>
      <c r="F3611" s="3">
        <f>'[1]SEP 2025'!F112</f>
        <v>0</v>
      </c>
      <c r="G3611" s="3">
        <f>'[1]SEP 2025'!G112</f>
        <v>28200</v>
      </c>
      <c r="H3611" s="3">
        <f>'[1]SEP 2025'!H112</f>
        <v>0</v>
      </c>
    </row>
    <row r="3612" spans="1:8" x14ac:dyDescent="0.2">
      <c r="A3612" s="23">
        <f>'[1]SEP 2025'!A113</f>
        <v>45916</v>
      </c>
      <c r="B3612" s="12" t="str">
        <f>'[1]SEP 2025'!B113</f>
        <v>VM</v>
      </c>
      <c r="C3612" s="3">
        <f>'[1]SEP 2025'!C113</f>
        <v>0</v>
      </c>
      <c r="D3612" s="3">
        <f>'[1]SEP 2025'!D113</f>
        <v>0</v>
      </c>
      <c r="E3612" s="3">
        <f>'[1]SEP 2025'!E113</f>
        <v>0</v>
      </c>
      <c r="F3612" s="3">
        <f>'[1]SEP 2025'!F113</f>
        <v>0</v>
      </c>
      <c r="G3612" s="3">
        <f>'[1]SEP 2025'!G113</f>
        <v>0</v>
      </c>
      <c r="H3612" s="3">
        <f>'[1]SEP 2025'!H113</f>
        <v>1506</v>
      </c>
    </row>
    <row r="3613" spans="1:8" x14ac:dyDescent="0.2">
      <c r="A3613" s="20">
        <f>'[1]SEP 2025'!A114</f>
        <v>45917</v>
      </c>
      <c r="B3613" s="12" t="str">
        <f>'[1]SEP 2025'!B114</f>
        <v>rent</v>
      </c>
      <c r="C3613" s="3">
        <f>'[1]SEP 2025'!C114</f>
        <v>0</v>
      </c>
      <c r="D3613" s="3">
        <f>'[1]SEP 2025'!D114</f>
        <v>0</v>
      </c>
      <c r="E3613" s="3">
        <f>'[1]SEP 2025'!E114</f>
        <v>0</v>
      </c>
      <c r="F3613" s="3">
        <f>'[1]SEP 2025'!F114</f>
        <v>0</v>
      </c>
      <c r="G3613" s="3">
        <f>'[1]SEP 2025'!G114</f>
        <v>0</v>
      </c>
      <c r="H3613" s="3">
        <f>'[1]SEP 2025'!H114</f>
        <v>55000</v>
      </c>
    </row>
    <row r="3614" spans="1:8" x14ac:dyDescent="0.2">
      <c r="A3614" s="23">
        <f>'[1]SEP 2025'!A115</f>
        <v>45917</v>
      </c>
      <c r="B3614" s="12" t="str">
        <f>'[1]SEP 2025'!B115</f>
        <v>Frauen</v>
      </c>
      <c r="C3614" s="3">
        <f>'[1]SEP 2025'!C115</f>
        <v>0</v>
      </c>
      <c r="D3614" s="3">
        <f>'[1]SEP 2025'!D115</f>
        <v>0</v>
      </c>
      <c r="E3614" s="3">
        <f>'[1]SEP 2025'!E115</f>
        <v>0</v>
      </c>
      <c r="F3614" s="3">
        <f>'[1]SEP 2025'!F115</f>
        <v>0</v>
      </c>
      <c r="G3614" s="3">
        <f>'[1]SEP 2025'!G115</f>
        <v>0</v>
      </c>
      <c r="H3614" s="3">
        <f>'[1]SEP 2025'!H115</f>
        <v>500</v>
      </c>
    </row>
    <row r="3615" spans="1:8" x14ac:dyDescent="0.2">
      <c r="A3615" s="20">
        <f>'[1]SEP 2025'!A116</f>
        <v>45917</v>
      </c>
      <c r="B3615" s="12" t="str">
        <f>'[1]SEP 2025'!B116</f>
        <v>CarMaint</v>
      </c>
      <c r="C3615" s="3">
        <f>'[1]SEP 2025'!C116</f>
        <v>0</v>
      </c>
      <c r="D3615" s="3">
        <f>'[1]SEP 2025'!D116</f>
        <v>0</v>
      </c>
      <c r="E3615" s="3">
        <f>'[1]SEP 2025'!E116</f>
        <v>0</v>
      </c>
      <c r="F3615" s="3">
        <f>'[1]SEP 2025'!F116</f>
        <v>0</v>
      </c>
      <c r="G3615" s="3">
        <f>'[1]SEP 2025'!G116</f>
        <v>0</v>
      </c>
      <c r="H3615" s="3">
        <f>'[1]SEP 2025'!H116</f>
        <v>100</v>
      </c>
    </row>
    <row r="3616" spans="1:8" x14ac:dyDescent="0.2">
      <c r="A3616" s="23">
        <f>'[1]SEP 2025'!A117</f>
        <v>45917</v>
      </c>
      <c r="B3616" s="12" t="str">
        <f>'[1]SEP 2025'!B117</f>
        <v>LM</v>
      </c>
      <c r="C3616" s="3">
        <f>'[1]SEP 2025'!C117</f>
        <v>0</v>
      </c>
      <c r="D3616" s="3">
        <f>'[1]SEP 2025'!D117</f>
        <v>0</v>
      </c>
      <c r="E3616" s="3">
        <f>'[1]SEP 2025'!E117</f>
        <v>0</v>
      </c>
      <c r="F3616" s="3">
        <f>'[1]SEP 2025'!F117</f>
        <v>0</v>
      </c>
      <c r="G3616" s="3">
        <f>'[1]SEP 2025'!G117</f>
        <v>0</v>
      </c>
      <c r="H3616" s="3">
        <f>'[1]SEP 2025'!H117</f>
        <v>5422.79</v>
      </c>
    </row>
    <row r="3617" spans="1:8" x14ac:dyDescent="0.2">
      <c r="A3617" s="23">
        <f>'[1]SEP 2025'!A121</f>
        <v>45918</v>
      </c>
      <c r="B3617" s="12" t="str">
        <f>'[1]SEP 2025'!B121</f>
        <v>CarMaint</v>
      </c>
      <c r="C3617" s="3">
        <f>'[1]SEP 2025'!C121</f>
        <v>0</v>
      </c>
      <c r="D3617" s="3">
        <f>'[1]SEP 2025'!D121</f>
        <v>0</v>
      </c>
      <c r="E3617" s="3">
        <f>'[1]SEP 2025'!E121</f>
        <v>0</v>
      </c>
      <c r="F3617" s="3">
        <f>'[1]SEP 2025'!F121</f>
        <v>0</v>
      </c>
      <c r="G3617" s="3">
        <f>'[1]SEP 2025'!G121</f>
        <v>0</v>
      </c>
      <c r="H3617" s="3">
        <f>'[1]SEP 2025'!H121</f>
        <v>67320</v>
      </c>
    </row>
    <row r="3618" spans="1:8" x14ac:dyDescent="0.2">
      <c r="A3618" s="20">
        <f>'[1]SEP 2025'!A128</f>
        <v>45919</v>
      </c>
      <c r="B3618" s="12" t="str">
        <f>'[1]SEP 2025'!B128</f>
        <v>LM</v>
      </c>
      <c r="C3618" s="3">
        <f>'[1]SEP 2025'!C128</f>
        <v>0</v>
      </c>
      <c r="D3618" s="3">
        <f>'[1]SEP 2025'!D128</f>
        <v>0</v>
      </c>
      <c r="E3618" s="3">
        <f>'[1]SEP 2025'!E128</f>
        <v>0</v>
      </c>
      <c r="F3618" s="3">
        <f>'[1]SEP 2025'!F128</f>
        <v>0</v>
      </c>
      <c r="G3618" s="3">
        <f>'[1]SEP 2025'!G128</f>
        <v>0</v>
      </c>
      <c r="H3618" s="3">
        <f>'[1]SEP 2025'!H128</f>
        <v>299.08</v>
      </c>
    </row>
    <row r="3619" spans="1:8" x14ac:dyDescent="0.2">
      <c r="A3619" s="23">
        <f>'[1]SEP 2025'!A129</f>
        <v>45919</v>
      </c>
      <c r="B3619" s="12" t="str">
        <f>'[1]SEP 2025'!B129</f>
        <v>VM</v>
      </c>
      <c r="C3619" s="3">
        <f>'[1]SEP 2025'!C129</f>
        <v>0</v>
      </c>
      <c r="D3619" s="3">
        <f>'[1]SEP 2025'!D129</f>
        <v>0</v>
      </c>
      <c r="E3619" s="3">
        <f>'[1]SEP 2025'!E129</f>
        <v>0</v>
      </c>
      <c r="F3619" s="3">
        <f>'[1]SEP 2025'!F129</f>
        <v>0</v>
      </c>
      <c r="G3619" s="3">
        <f>'[1]SEP 2025'!G129</f>
        <v>0</v>
      </c>
      <c r="H3619" s="3">
        <f>'[1]SEP 2025'!H129</f>
        <v>148</v>
      </c>
    </row>
    <row r="3620" spans="1:8" x14ac:dyDescent="0.2">
      <c r="A3620" s="23">
        <f>'[1]SEP 2025'!A135</f>
        <v>45920</v>
      </c>
      <c r="B3620" s="12" t="str">
        <f>'[1]SEP 2025'!B135</f>
        <v>LM</v>
      </c>
      <c r="C3620" s="3">
        <f>'[1]SEP 2025'!C135</f>
        <v>0</v>
      </c>
      <c r="D3620" s="3">
        <f>'[1]SEP 2025'!D135</f>
        <v>0</v>
      </c>
      <c r="E3620" s="3">
        <f>'[1]SEP 2025'!E135</f>
        <v>0</v>
      </c>
      <c r="F3620" s="3">
        <f>'[1]SEP 2025'!F135</f>
        <v>0</v>
      </c>
      <c r="G3620" s="3">
        <f>'[1]SEP 2025'!G135</f>
        <v>0</v>
      </c>
      <c r="H3620" s="3">
        <f>'[1]SEP 2025'!H135</f>
        <v>959.77</v>
      </c>
    </row>
    <row r="3621" spans="1:8" x14ac:dyDescent="0.2">
      <c r="A3621" s="20">
        <f>'[1]SEP 2025'!A142</f>
        <v>45921</v>
      </c>
      <c r="B3621" s="12" t="str">
        <f>'[1]SEP 2025'!B142</f>
        <v>LM</v>
      </c>
      <c r="C3621" s="3">
        <f>'[1]SEP 2025'!C142</f>
        <v>0</v>
      </c>
      <c r="D3621" s="3">
        <f>'[1]SEP 2025'!D142</f>
        <v>0</v>
      </c>
      <c r="E3621" s="3">
        <f>'[1]SEP 2025'!E142</f>
        <v>0</v>
      </c>
      <c r="F3621" s="3">
        <f>'[1]SEP 2025'!F142</f>
        <v>0</v>
      </c>
      <c r="G3621" s="3">
        <f>'[1]SEP 2025'!G142</f>
        <v>0</v>
      </c>
      <c r="H3621" s="3">
        <f>'[1]SEP 2025'!H142</f>
        <v>636.83000000000004</v>
      </c>
    </row>
    <row r="3622" spans="1:8" x14ac:dyDescent="0.2">
      <c r="A3622" s="23">
        <f>'[1]SEP 2025'!A149</f>
        <v>45922</v>
      </c>
      <c r="B3622" s="12" t="str">
        <f>'[1]SEP 2025'!B149</f>
        <v>LM</v>
      </c>
      <c r="C3622" s="3">
        <f>'[1]SEP 2025'!C149</f>
        <v>0</v>
      </c>
      <c r="D3622" s="3">
        <f>'[1]SEP 2025'!D149</f>
        <v>0</v>
      </c>
      <c r="E3622" s="3">
        <f>'[1]SEP 2025'!E149</f>
        <v>0</v>
      </c>
      <c r="F3622" s="3">
        <f>'[1]SEP 2025'!F149</f>
        <v>0</v>
      </c>
      <c r="G3622" s="3">
        <f>'[1]SEP 2025'!G149</f>
        <v>0</v>
      </c>
      <c r="H3622" s="3">
        <f>'[1]SEP 2025'!H149</f>
        <v>2761.9700000000003</v>
      </c>
    </row>
    <row r="3623" spans="1:8" x14ac:dyDescent="0.2">
      <c r="A3623" s="20">
        <f>'[1]SEP 2025'!A150</f>
        <v>45922</v>
      </c>
      <c r="B3623" s="12" t="str">
        <f>'[1]SEP 2025'!B150</f>
        <v>VM</v>
      </c>
      <c r="C3623" s="3">
        <f>'[1]SEP 2025'!C150</f>
        <v>0</v>
      </c>
      <c r="D3623" s="3">
        <f>'[1]SEP 2025'!D150</f>
        <v>0</v>
      </c>
      <c r="E3623" s="3">
        <f>'[1]SEP 2025'!E150</f>
        <v>0</v>
      </c>
      <c r="F3623" s="3">
        <f>'[1]SEP 2025'!F150</f>
        <v>0</v>
      </c>
      <c r="G3623" s="3">
        <f>'[1]SEP 2025'!G150</f>
        <v>0</v>
      </c>
      <c r="H3623" s="3">
        <f>'[1]SEP 2025'!H150</f>
        <v>148</v>
      </c>
    </row>
    <row r="3624" spans="1:8" x14ac:dyDescent="0.2">
      <c r="A3624" s="23">
        <f>'[1]SEP 2025'!A151</f>
        <v>45922</v>
      </c>
      <c r="B3624" s="12" t="str">
        <f>'[1]SEP 2025'!B151</f>
        <v>CarMaint</v>
      </c>
      <c r="C3624" s="3">
        <f>'[1]SEP 2025'!C151</f>
        <v>0</v>
      </c>
      <c r="D3624" s="3">
        <f>'[1]SEP 2025'!D151</f>
        <v>0</v>
      </c>
      <c r="E3624" s="3">
        <f>'[1]SEP 2025'!E151</f>
        <v>0</v>
      </c>
      <c r="F3624" s="3">
        <f>'[1]SEP 2025'!F151</f>
        <v>0</v>
      </c>
      <c r="G3624" s="3">
        <f>'[1]SEP 2025'!G151</f>
        <v>0</v>
      </c>
      <c r="H3624" s="3">
        <f>'[1]SEP 2025'!H151</f>
        <v>1096</v>
      </c>
    </row>
    <row r="3625" spans="1:8" x14ac:dyDescent="0.2">
      <c r="A3625" s="20">
        <f>'[1]SEP 2025'!A156</f>
        <v>45923</v>
      </c>
      <c r="B3625" s="12" t="str">
        <f>'[1]SEP 2025'!B156</f>
        <v>none</v>
      </c>
      <c r="C3625" s="3">
        <f>'[1]SEP 2025'!C156</f>
        <v>0</v>
      </c>
      <c r="D3625" s="3">
        <f>'[1]SEP 2025'!D156</f>
        <v>0</v>
      </c>
      <c r="E3625" s="3">
        <f>'[1]SEP 2025'!E156</f>
        <v>0</v>
      </c>
      <c r="F3625" s="3">
        <f>'[1]SEP 2025'!F156</f>
        <v>0</v>
      </c>
      <c r="G3625" s="3">
        <f>'[1]SEP 2025'!G156</f>
        <v>5000</v>
      </c>
      <c r="H3625" s="3">
        <f>'[1]SEP 2025'!H156</f>
        <v>0</v>
      </c>
    </row>
    <row r="3626" spans="1:8" x14ac:dyDescent="0.2">
      <c r="A3626" s="23">
        <f>'[1]SEP 2025'!A157</f>
        <v>45923</v>
      </c>
      <c r="B3626" s="12" t="str">
        <f>'[1]SEP 2025'!B157</f>
        <v>CarMaint</v>
      </c>
      <c r="C3626" s="3">
        <f>'[1]SEP 2025'!C157</f>
        <v>0</v>
      </c>
      <c r="D3626" s="3">
        <f>'[1]SEP 2025'!D157</f>
        <v>0</v>
      </c>
      <c r="E3626" s="3">
        <f>'[1]SEP 2025'!E157</f>
        <v>0</v>
      </c>
      <c r="F3626" s="3">
        <f>'[1]SEP 2025'!F157</f>
        <v>0</v>
      </c>
      <c r="G3626" s="3">
        <f>'[1]SEP 2025'!G157</f>
        <v>0</v>
      </c>
      <c r="H3626" s="3">
        <f>'[1]SEP 2025'!H157</f>
        <v>3000</v>
      </c>
    </row>
    <row r="3627" spans="1:8" x14ac:dyDescent="0.2">
      <c r="A3627" s="20">
        <f>'[1]SEP 2025'!A158</f>
        <v>45923</v>
      </c>
      <c r="B3627" s="12" t="str">
        <f>'[1]SEP 2025'!B158</f>
        <v>CarMaint</v>
      </c>
      <c r="C3627" s="3">
        <f>'[1]SEP 2025'!C158</f>
        <v>0</v>
      </c>
      <c r="D3627" s="3">
        <f>'[1]SEP 2025'!D158</f>
        <v>0</v>
      </c>
      <c r="E3627" s="3">
        <f>'[1]SEP 2025'!E158</f>
        <v>0</v>
      </c>
      <c r="F3627" s="3">
        <f>'[1]SEP 2025'!F158</f>
        <v>0</v>
      </c>
      <c r="G3627" s="3">
        <f>'[1]SEP 2025'!G158</f>
        <v>0</v>
      </c>
      <c r="H3627" s="3">
        <f>'[1]SEP 2025'!H158</f>
        <v>2345</v>
      </c>
    </row>
    <row r="3628" spans="1:8" x14ac:dyDescent="0.2">
      <c r="A3628" s="23">
        <f>'[1]SEP 2025'!A159</f>
        <v>45923</v>
      </c>
      <c r="B3628" s="12" t="str">
        <f>'[1]SEP 2025'!B159</f>
        <v>CarMaint</v>
      </c>
      <c r="C3628" s="3">
        <f>'[1]SEP 2025'!C159</f>
        <v>0</v>
      </c>
      <c r="D3628" s="3">
        <f>'[1]SEP 2025'!D159</f>
        <v>0</v>
      </c>
      <c r="E3628" s="3">
        <f>'[1]SEP 2025'!E159</f>
        <v>0</v>
      </c>
      <c r="F3628" s="3">
        <f>'[1]SEP 2025'!F159</f>
        <v>0</v>
      </c>
      <c r="G3628" s="3">
        <f>'[1]SEP 2025'!G159</f>
        <v>0</v>
      </c>
      <c r="H3628" s="3">
        <f>'[1]SEP 2025'!H159</f>
        <v>1450</v>
      </c>
    </row>
    <row r="3629" spans="1:8" x14ac:dyDescent="0.2">
      <c r="A3629" s="20">
        <f>'[1]SEP 2025'!A160</f>
        <v>45923</v>
      </c>
      <c r="B3629" s="12" t="str">
        <f>'[1]SEP 2025'!B160</f>
        <v>LM</v>
      </c>
      <c r="C3629" s="3">
        <f>'[1]SEP 2025'!C160</f>
        <v>0</v>
      </c>
      <c r="D3629" s="3">
        <f>'[1]SEP 2025'!D160</f>
        <v>0</v>
      </c>
      <c r="E3629" s="3">
        <f>'[1]SEP 2025'!E160</f>
        <v>0</v>
      </c>
      <c r="F3629" s="3">
        <f>'[1]SEP 2025'!F160</f>
        <v>0</v>
      </c>
      <c r="G3629" s="3">
        <f>'[1]SEP 2025'!G160</f>
        <v>0</v>
      </c>
      <c r="H3629" s="3">
        <f>'[1]SEP 2025'!H160</f>
        <v>399.96000000000004</v>
      </c>
    </row>
    <row r="3630" spans="1:8" x14ac:dyDescent="0.2">
      <c r="A3630" s="23">
        <f>'[1]SEP 2025'!A163</f>
        <v>45924</v>
      </c>
      <c r="B3630" s="12" t="str">
        <f>'[1]SEP 2025'!B163</f>
        <v>Car</v>
      </c>
      <c r="C3630" s="3">
        <f>'[1]SEP 2025'!C163</f>
        <v>0</v>
      </c>
      <c r="D3630" s="3">
        <f>'[1]SEP 2025'!D163</f>
        <v>0</v>
      </c>
      <c r="E3630" s="3">
        <f>'[1]SEP 2025'!E163</f>
        <v>0</v>
      </c>
      <c r="F3630" s="3">
        <f>'[1]SEP 2025'!F163</f>
        <v>0</v>
      </c>
      <c r="G3630" s="3">
        <f>'[1]SEP 2025'!G163</f>
        <v>0</v>
      </c>
      <c r="H3630" s="3">
        <f>'[1]SEP 2025'!H163</f>
        <v>85000</v>
      </c>
    </row>
    <row r="3631" spans="1:8" x14ac:dyDescent="0.2">
      <c r="A3631" s="20">
        <f>'[1]SEP 2025'!A164</f>
        <v>45924</v>
      </c>
      <c r="B3631" s="12" t="str">
        <f>'[1]SEP 2025'!B164</f>
        <v>CarMaint</v>
      </c>
      <c r="C3631" s="3">
        <f>'[1]SEP 2025'!C164</f>
        <v>0</v>
      </c>
      <c r="D3631" s="3">
        <f>'[1]SEP 2025'!D164</f>
        <v>0</v>
      </c>
      <c r="E3631" s="3">
        <f>'[1]SEP 2025'!E164</f>
        <v>0</v>
      </c>
      <c r="F3631" s="3">
        <f>'[1]SEP 2025'!F164</f>
        <v>0</v>
      </c>
      <c r="G3631" s="3">
        <f>'[1]SEP 2025'!G164</f>
        <v>0</v>
      </c>
      <c r="H3631" s="3">
        <f>'[1]SEP 2025'!H164</f>
        <v>730</v>
      </c>
    </row>
    <row r="3632" spans="1:8" x14ac:dyDescent="0.2">
      <c r="A3632" s="23">
        <f>'[1]SEP 2025'!A165</f>
        <v>45924</v>
      </c>
      <c r="B3632" s="12" t="str">
        <f>'[1]SEP 2025'!B165</f>
        <v>LM</v>
      </c>
      <c r="C3632" s="3">
        <f>'[1]SEP 2025'!C165</f>
        <v>0</v>
      </c>
      <c r="D3632" s="3">
        <f>'[1]SEP 2025'!D165</f>
        <v>0</v>
      </c>
      <c r="E3632" s="3">
        <f>'[1]SEP 2025'!E165</f>
        <v>0</v>
      </c>
      <c r="F3632" s="3">
        <f>'[1]SEP 2025'!F165</f>
        <v>0</v>
      </c>
      <c r="G3632" s="3">
        <f>'[1]SEP 2025'!G165</f>
        <v>0</v>
      </c>
      <c r="H3632" s="3">
        <f>'[1]SEP 2025'!H165</f>
        <v>3836.79</v>
      </c>
    </row>
    <row r="3633" spans="1:8" x14ac:dyDescent="0.2">
      <c r="A3633" s="20">
        <f>'[1]SEP 2025'!A166</f>
        <v>45924</v>
      </c>
      <c r="B3633" s="12" t="str">
        <f>'[1]SEP 2025'!B166</f>
        <v>CarMaint</v>
      </c>
      <c r="C3633" s="3">
        <f>'[1]SEP 2025'!C166</f>
        <v>0</v>
      </c>
      <c r="D3633" s="3">
        <f>'[1]SEP 2025'!D166</f>
        <v>0</v>
      </c>
      <c r="E3633" s="3">
        <f>'[1]SEP 2025'!E166</f>
        <v>0</v>
      </c>
      <c r="F3633" s="3">
        <f>'[1]SEP 2025'!F166</f>
        <v>0</v>
      </c>
      <c r="G3633" s="3">
        <f>'[1]SEP 2025'!G166</f>
        <v>0</v>
      </c>
      <c r="H3633" s="3">
        <f>'[1]SEP 2025'!H166</f>
        <v>100</v>
      </c>
    </row>
    <row r="3634" spans="1:8" x14ac:dyDescent="0.2">
      <c r="A3634" s="23">
        <f>'[1]SEP 2025'!A167</f>
        <v>45924</v>
      </c>
      <c r="B3634" s="12" t="str">
        <f>'[1]SEP 2025'!B167</f>
        <v>for me</v>
      </c>
      <c r="C3634" s="3">
        <f>'[1]SEP 2025'!C167</f>
        <v>0</v>
      </c>
      <c r="D3634" s="3">
        <f>'[1]SEP 2025'!D167</f>
        <v>0</v>
      </c>
      <c r="E3634" s="3">
        <f>'[1]SEP 2025'!E167</f>
        <v>0</v>
      </c>
      <c r="F3634" s="3">
        <f>'[1]SEP 2025'!F167</f>
        <v>0</v>
      </c>
      <c r="G3634" s="3">
        <f>'[1]SEP 2025'!G167</f>
        <v>0</v>
      </c>
      <c r="H3634" s="3">
        <f>'[1]SEP 2025'!H167</f>
        <v>22000</v>
      </c>
    </row>
    <row r="3635" spans="1:8" x14ac:dyDescent="0.2">
      <c r="A3635" s="20">
        <f>'[1]SEP 2025'!A170</f>
        <v>45925</v>
      </c>
      <c r="B3635" s="12" t="str">
        <f>'[1]SEP 2025'!B170</f>
        <v>Refill</v>
      </c>
      <c r="C3635" s="3">
        <f>'[1]SEP 2025'!C170</f>
        <v>0</v>
      </c>
      <c r="D3635" s="3">
        <f>'[1]SEP 2025'!D170</f>
        <v>0</v>
      </c>
      <c r="E3635" s="3">
        <f>'[1]SEP 2025'!E170</f>
        <v>0</v>
      </c>
      <c r="F3635" s="3">
        <f>'[1]SEP 2025'!F170</f>
        <v>0</v>
      </c>
      <c r="G3635" s="3">
        <f>'[1]SEP 2025'!G170</f>
        <v>61583.28</v>
      </c>
      <c r="H3635" s="3">
        <f>'[1]SEP 2025'!H170</f>
        <v>0</v>
      </c>
    </row>
    <row r="3636" spans="1:8" x14ac:dyDescent="0.2">
      <c r="A3636" s="23">
        <f>'[1]SEP 2025'!A171</f>
        <v>45925</v>
      </c>
      <c r="B3636" s="12" t="str">
        <f>'[1]SEP 2025'!B171</f>
        <v>Fuel</v>
      </c>
      <c r="C3636" s="3">
        <f>'[1]SEP 2025'!C171</f>
        <v>0</v>
      </c>
      <c r="D3636" s="3">
        <f>'[1]SEP 2025'!D171</f>
        <v>0</v>
      </c>
      <c r="E3636" s="3">
        <f>'[1]SEP 2025'!E171</f>
        <v>0</v>
      </c>
      <c r="F3636" s="3">
        <f>'[1]SEP 2025'!F171</f>
        <v>0</v>
      </c>
      <c r="G3636" s="3">
        <f>'[1]SEP 2025'!G171</f>
        <v>0</v>
      </c>
      <c r="H3636" s="3">
        <f>'[1]SEP 2025'!H171</f>
        <v>2730</v>
      </c>
    </row>
    <row r="3637" spans="1:8" x14ac:dyDescent="0.2">
      <c r="A3637" s="20">
        <f>'[1]SEP 2025'!A172</f>
        <v>45925</v>
      </c>
      <c r="B3637" s="12" t="str">
        <f>'[1]SEP 2025'!B172</f>
        <v>Frauen</v>
      </c>
      <c r="C3637" s="3">
        <f>'[1]SEP 2025'!C172</f>
        <v>0</v>
      </c>
      <c r="D3637" s="3">
        <f>'[1]SEP 2025'!D172</f>
        <v>0</v>
      </c>
      <c r="E3637" s="3">
        <f>'[1]SEP 2025'!E172</f>
        <v>0</v>
      </c>
      <c r="F3637" s="3">
        <f>'[1]SEP 2025'!F172</f>
        <v>0</v>
      </c>
      <c r="G3637" s="3">
        <f>'[1]SEP 2025'!G172</f>
        <v>0</v>
      </c>
      <c r="H3637" s="3">
        <f>'[1]SEP 2025'!H172</f>
        <v>1200</v>
      </c>
    </row>
    <row r="3638" spans="1:8" x14ac:dyDescent="0.2">
      <c r="A3638" s="23">
        <f>'[1]SEP 2025'!A173</f>
        <v>45925</v>
      </c>
      <c r="B3638" s="12" t="str">
        <f>'[1]SEP 2025'!B173</f>
        <v>LM</v>
      </c>
      <c r="C3638" s="3">
        <f>'[1]SEP 2025'!C173</f>
        <v>0</v>
      </c>
      <c r="D3638" s="3">
        <f>'[1]SEP 2025'!D173</f>
        <v>0</v>
      </c>
      <c r="E3638" s="3">
        <f>'[1]SEP 2025'!E173</f>
        <v>0</v>
      </c>
      <c r="F3638" s="3">
        <f>'[1]SEP 2025'!F173</f>
        <v>0</v>
      </c>
      <c r="G3638" s="3">
        <f>'[1]SEP 2025'!G173</f>
        <v>0</v>
      </c>
      <c r="H3638" s="3">
        <f>'[1]SEP 2025'!H173</f>
        <v>650</v>
      </c>
    </row>
    <row r="3639" spans="1:8" x14ac:dyDescent="0.2">
      <c r="A3639" s="20">
        <f>'[1]SEP 2025'!A174</f>
        <v>45925</v>
      </c>
      <c r="B3639" s="12" t="str">
        <f>'[1]SEP 2025'!B174</f>
        <v>Refill</v>
      </c>
      <c r="C3639" s="3">
        <f>'[1]SEP 2025'!C174</f>
        <v>0</v>
      </c>
      <c r="D3639" s="3">
        <f>'[1]SEP 2025'!D174</f>
        <v>0</v>
      </c>
      <c r="E3639" s="3">
        <f>'[1]SEP 2025'!E174</f>
        <v>0</v>
      </c>
      <c r="F3639" s="3">
        <f>'[1]SEP 2025'!F174</f>
        <v>0</v>
      </c>
      <c r="G3639" s="3">
        <f>'[1]SEP 2025'!G174</f>
        <v>4016.65</v>
      </c>
      <c r="H3639" s="3">
        <f>'[1]SEP 2025'!H174</f>
        <v>0</v>
      </c>
    </row>
    <row r="3640" spans="1:8" x14ac:dyDescent="0.2">
      <c r="A3640" s="23">
        <f>'[1]SEP 2025'!A191</f>
        <v>45928</v>
      </c>
      <c r="B3640" s="12" t="str">
        <f>'[1]SEP 2025'!B191</f>
        <v>Andere</v>
      </c>
      <c r="C3640" s="3">
        <f>'[1]SEP 2025'!C191</f>
        <v>0</v>
      </c>
      <c r="D3640" s="3">
        <f>'[1]SEP 2025'!D191</f>
        <v>0</v>
      </c>
      <c r="E3640" s="3">
        <f>'[1]SEP 2025'!E191</f>
        <v>0</v>
      </c>
      <c r="F3640" s="3">
        <f>'[1]SEP 2025'!F191</f>
        <v>0</v>
      </c>
      <c r="G3640" s="3">
        <f>'[1]SEP 2025'!G191</f>
        <v>0</v>
      </c>
      <c r="H3640" s="3">
        <f>'[1]SEP 2025'!H191</f>
        <v>40</v>
      </c>
    </row>
    <row r="3641" spans="1:8" x14ac:dyDescent="0.2">
      <c r="A3641" s="20">
        <f>'[1]SEP 2025'!A192</f>
        <v>45928</v>
      </c>
      <c r="B3641" s="12" t="str">
        <f>'[1]SEP 2025'!B192</f>
        <v>LM</v>
      </c>
      <c r="C3641" s="3">
        <f>'[1]SEP 2025'!C192</f>
        <v>0</v>
      </c>
      <c r="D3641" s="3">
        <f>'[1]SEP 2025'!D192</f>
        <v>0</v>
      </c>
      <c r="E3641" s="3">
        <f>'[1]SEP 2025'!E192</f>
        <v>0</v>
      </c>
      <c r="F3641" s="3">
        <f>'[1]SEP 2025'!F192</f>
        <v>0</v>
      </c>
      <c r="G3641" s="3">
        <f>'[1]SEP 2025'!G192</f>
        <v>0</v>
      </c>
      <c r="H3641" s="3">
        <f>'[1]SEP 2025'!H192</f>
        <v>1476.92</v>
      </c>
    </row>
    <row r="3642" spans="1:8" x14ac:dyDescent="0.2">
      <c r="A3642" s="23">
        <f>'[1]SEP 2025'!A193</f>
        <v>45928</v>
      </c>
      <c r="B3642" s="12" t="str">
        <f>'[1]SEP 2025'!B193</f>
        <v>CarMaint</v>
      </c>
      <c r="C3642" s="3">
        <f>'[1]SEP 2025'!C193</f>
        <v>0</v>
      </c>
      <c r="D3642" s="3">
        <f>'[1]SEP 2025'!D193</f>
        <v>0</v>
      </c>
      <c r="E3642" s="3">
        <f>'[1]SEP 2025'!E193</f>
        <v>0</v>
      </c>
      <c r="F3642" s="3">
        <f>'[1]SEP 2025'!F193</f>
        <v>0</v>
      </c>
      <c r="G3642" s="3">
        <f>'[1]SEP 2025'!G193</f>
        <v>0</v>
      </c>
      <c r="H3642" s="3">
        <f>'[1]SEP 2025'!H193</f>
        <v>500</v>
      </c>
    </row>
    <row r="3643" spans="1:8" x14ac:dyDescent="0.2">
      <c r="A3643" s="20">
        <f>'[1]SEP 2025'!A198</f>
        <v>45929</v>
      </c>
      <c r="B3643" s="12" t="str">
        <f>'[1]SEP 2025'!B198</f>
        <v>LM</v>
      </c>
      <c r="C3643" s="3">
        <f>'[1]SEP 2025'!C198</f>
        <v>0</v>
      </c>
      <c r="D3643" s="3">
        <f>'[1]SEP 2025'!D198</f>
        <v>0</v>
      </c>
      <c r="E3643" s="3">
        <f>'[1]SEP 2025'!E198</f>
        <v>0</v>
      </c>
      <c r="F3643" s="3">
        <f>'[1]SEP 2025'!F198</f>
        <v>0</v>
      </c>
      <c r="G3643" s="3">
        <f>'[1]SEP 2025'!G198</f>
        <v>0</v>
      </c>
      <c r="H3643" s="3">
        <f>'[1]SEP 2025'!H198</f>
        <v>5000</v>
      </c>
    </row>
    <row r="3644" spans="1:8" x14ac:dyDescent="0.2">
      <c r="A3644" s="23">
        <f>'[1]SEP 2025'!A199</f>
        <v>45929</v>
      </c>
      <c r="B3644" s="12" t="str">
        <f>'[1]SEP 2025'!B199</f>
        <v>Frauen</v>
      </c>
      <c r="C3644" s="3">
        <f>'[1]SEP 2025'!C199</f>
        <v>0</v>
      </c>
      <c r="D3644" s="3">
        <f>'[1]SEP 2025'!D199</f>
        <v>0</v>
      </c>
      <c r="E3644" s="3">
        <f>'[1]SEP 2025'!E199</f>
        <v>0</v>
      </c>
      <c r="F3644" s="3">
        <f>'[1]SEP 2025'!F199</f>
        <v>0</v>
      </c>
      <c r="G3644" s="3">
        <f>'[1]SEP 2025'!G199</f>
        <v>0</v>
      </c>
      <c r="H3644" s="3">
        <f>'[1]SEP 2025'!H199</f>
        <v>7600</v>
      </c>
    </row>
    <row r="3645" spans="1:8" x14ac:dyDescent="0.2">
      <c r="A3645" s="23">
        <f>'[1]SEP 2025'!A205</f>
        <v>45930</v>
      </c>
      <c r="B3645" s="12" t="str">
        <f>'[1]SEP 2025'!B205</f>
        <v>LM</v>
      </c>
      <c r="C3645" s="3">
        <f>'[1]SEP 2025'!C205</f>
        <v>0</v>
      </c>
      <c r="D3645" s="3">
        <f>'[1]SEP 2025'!D205</f>
        <v>0</v>
      </c>
      <c r="E3645" s="3">
        <f>'[1]SEP 2025'!E205</f>
        <v>0</v>
      </c>
      <c r="F3645" s="3">
        <f>'[1]SEP 2025'!F205</f>
        <v>0</v>
      </c>
      <c r="G3645" s="3">
        <f>'[1]SEP 2025'!G205</f>
        <v>0</v>
      </c>
      <c r="H3645" s="3">
        <f>'[1]SEP 2025'!H205</f>
        <v>5000</v>
      </c>
    </row>
    <row r="3646" spans="1:8" x14ac:dyDescent="0.2">
      <c r="A3646" s="20">
        <f>'[1]SEP 2025'!A206</f>
        <v>45930</v>
      </c>
      <c r="B3646" s="12" t="str">
        <f>'[1]SEP 2025'!B206</f>
        <v>Frauen</v>
      </c>
      <c r="C3646" s="3">
        <f>'[1]SEP 2025'!C206</f>
        <v>0</v>
      </c>
      <c r="D3646" s="3">
        <f>'[1]SEP 2025'!D206</f>
        <v>0</v>
      </c>
      <c r="E3646" s="3">
        <f>'[1]SEP 2025'!E206</f>
        <v>0</v>
      </c>
      <c r="F3646" s="3">
        <f>'[1]SEP 2025'!F206</f>
        <v>0</v>
      </c>
      <c r="G3646" s="3">
        <f>'[1]SEP 2025'!G206</f>
        <v>0</v>
      </c>
      <c r="H3646" s="3">
        <f>'[1]SEP 2025'!H206</f>
        <v>571</v>
      </c>
    </row>
    <row r="3647" spans="1:8" x14ac:dyDescent="0.2">
      <c r="A3647" s="20">
        <f>'[1]OKT 2025'!A4</f>
        <v>45931</v>
      </c>
      <c r="B3647" s="12" t="str">
        <f>'[1]OKT 2025'!B4</f>
        <v>Andere</v>
      </c>
      <c r="C3647" s="3">
        <f>'[1]OKT 2025'!C4</f>
        <v>0</v>
      </c>
      <c r="D3647" s="3">
        <f>'[1]OKT 2025'!D4</f>
        <v>0</v>
      </c>
      <c r="E3647" s="3">
        <f>'[1]OKT 2025'!E4</f>
        <v>0</v>
      </c>
      <c r="F3647" s="3">
        <f>'[1]OKT 2025'!F4</f>
        <v>0</v>
      </c>
      <c r="G3647" s="3">
        <f>'[1]OKT 2025'!G4</f>
        <v>0</v>
      </c>
      <c r="H3647" s="3">
        <f>'[1]OKT 2025'!H4</f>
        <v>1000</v>
      </c>
    </row>
    <row r="3648" spans="1:8" x14ac:dyDescent="0.2">
      <c r="A3648" s="23">
        <f>'[1]OKT 2025'!A23</f>
        <v>45934</v>
      </c>
      <c r="B3648" s="12" t="str">
        <f>'[1]OKT 2025'!B23</f>
        <v>CarMaint</v>
      </c>
      <c r="C3648" s="3">
        <f>'[1]OKT 2025'!C23</f>
        <v>0</v>
      </c>
      <c r="D3648" s="3">
        <f>'[1]OKT 2025'!D23</f>
        <v>0</v>
      </c>
      <c r="E3648" s="3">
        <f>'[1]OKT 2025'!E23</f>
        <v>0</v>
      </c>
      <c r="F3648" s="3">
        <f>'[1]OKT 2025'!F23</f>
        <v>0</v>
      </c>
      <c r="G3648" s="3">
        <f>'[1]OKT 2025'!G23</f>
        <v>0</v>
      </c>
      <c r="H3648" s="3">
        <f>'[1]OKT 2025'!H23</f>
        <v>800</v>
      </c>
    </row>
    <row r="3649" spans="1:8" x14ac:dyDescent="0.2">
      <c r="A3649" s="23">
        <f>'[1]OKT 2025'!A37</f>
        <v>45936</v>
      </c>
      <c r="B3649" s="12" t="str">
        <f>'[1]OKT 2025'!B37</f>
        <v>Andere</v>
      </c>
      <c r="C3649" s="3">
        <f>'[1]OKT 2025'!C37</f>
        <v>0</v>
      </c>
      <c r="D3649" s="3">
        <f>'[1]OKT 2025'!D37</f>
        <v>0</v>
      </c>
      <c r="E3649" s="3">
        <f>'[1]OKT 2025'!E37</f>
        <v>0</v>
      </c>
      <c r="F3649" s="3">
        <f>'[1]OKT 2025'!F37</f>
        <v>0</v>
      </c>
      <c r="G3649" s="3">
        <f>'[1]OKT 2025'!G37</f>
        <v>0</v>
      </c>
      <c r="H3649" s="3">
        <f>'[1]OKT 2025'!H37</f>
        <v>108</v>
      </c>
    </row>
    <row r="3650" spans="1:8" x14ac:dyDescent="0.2">
      <c r="A3650" s="20">
        <f>'[1]OKT 2025'!A38</f>
        <v>45936</v>
      </c>
      <c r="B3650" s="12" t="str">
        <f>'[1]OKT 2025'!B38</f>
        <v>Frauen</v>
      </c>
      <c r="C3650" s="3">
        <f>'[1]OKT 2025'!C38</f>
        <v>0</v>
      </c>
      <c r="D3650" s="3">
        <f>'[1]OKT 2025'!D38</f>
        <v>0</v>
      </c>
      <c r="E3650" s="3">
        <f>'[1]OKT 2025'!E38</f>
        <v>0</v>
      </c>
      <c r="F3650" s="3">
        <f>'[1]OKT 2025'!F38</f>
        <v>0</v>
      </c>
      <c r="G3650" s="3">
        <f>'[1]OKT 2025'!G38</f>
        <v>0</v>
      </c>
      <c r="H3650" s="3">
        <f>'[1]OKT 2025'!H38</f>
        <v>525</v>
      </c>
    </row>
    <row r="3651" spans="1:8" x14ac:dyDescent="0.2">
      <c r="A3651" s="20">
        <f>'[1]OKT 2025'!A44</f>
        <v>45937</v>
      </c>
      <c r="B3651" s="12" t="str">
        <f>'[1]OKT 2025'!B44</f>
        <v>LM</v>
      </c>
      <c r="C3651" s="3">
        <f>'[1]OKT 2025'!C44</f>
        <v>0</v>
      </c>
      <c r="D3651" s="3">
        <f>'[1]OKT 2025'!D44</f>
        <v>0</v>
      </c>
      <c r="E3651" s="3">
        <f>'[1]OKT 2025'!E44</f>
        <v>0</v>
      </c>
      <c r="F3651" s="3">
        <f>'[1]OKT 2025'!F44</f>
        <v>0</v>
      </c>
      <c r="G3651" s="3">
        <f>'[1]OKT 2025'!G44</f>
        <v>0</v>
      </c>
      <c r="H3651" s="3">
        <f>'[1]OKT 2025'!H44</f>
        <v>3800</v>
      </c>
    </row>
    <row r="3652" spans="1:8" x14ac:dyDescent="0.2">
      <c r="A3652" s="20">
        <f>'[1]OKT 2025'!A58</f>
        <v>45939</v>
      </c>
      <c r="B3652" s="12" t="str">
        <f>'[1]OKT 2025'!B58</f>
        <v>Andere</v>
      </c>
      <c r="C3652" s="3">
        <f>'[1]OKT 2025'!C58</f>
        <v>0</v>
      </c>
      <c r="D3652" s="3">
        <f>'[1]OKT 2025'!D58</f>
        <v>0</v>
      </c>
      <c r="E3652" s="3">
        <f>'[1]OKT 2025'!E58</f>
        <v>0</v>
      </c>
      <c r="F3652" s="3">
        <f>'[1]OKT 2025'!F58</f>
        <v>0</v>
      </c>
      <c r="G3652" s="3">
        <f>'[1]OKT 2025'!G58</f>
        <v>0</v>
      </c>
      <c r="H3652" s="3">
        <f>'[1]OKT 2025'!H58</f>
        <v>249</v>
      </c>
    </row>
    <row r="3653" spans="1:8" x14ac:dyDescent="0.2">
      <c r="A3653" s="23">
        <f>'[1]OKT 2025'!A65</f>
        <v>45940</v>
      </c>
      <c r="B3653" s="12" t="str">
        <f>'[1]OKT 2025'!B65</f>
        <v>CarMaint</v>
      </c>
      <c r="C3653" s="3">
        <f>'[1]OKT 2025'!C65</f>
        <v>0</v>
      </c>
      <c r="D3653" s="3">
        <f>'[1]OKT 2025'!D65</f>
        <v>0</v>
      </c>
      <c r="E3653" s="3">
        <f>'[1]OKT 2025'!E65</f>
        <v>0</v>
      </c>
      <c r="F3653" s="3">
        <f>'[1]OKT 2025'!F65</f>
        <v>0</v>
      </c>
      <c r="G3653" s="3">
        <f>'[1]OKT 2025'!G65</f>
        <v>0</v>
      </c>
      <c r="H3653" s="3">
        <f>'[1]OKT 2025'!H65</f>
        <v>373</v>
      </c>
    </row>
    <row r="3654" spans="1:8" x14ac:dyDescent="0.2">
      <c r="A3654" s="20">
        <f>'[1]OKT 2025'!A66</f>
        <v>45940</v>
      </c>
      <c r="B3654" s="12" t="str">
        <f>'[1]OKT 2025'!B66</f>
        <v>Andere</v>
      </c>
      <c r="C3654" s="3">
        <f>'[1]OKT 2025'!C66</f>
        <v>0</v>
      </c>
      <c r="D3654" s="3">
        <f>'[1]OKT 2025'!D66</f>
        <v>0</v>
      </c>
      <c r="E3654" s="3">
        <f>'[1]OKT 2025'!E66</f>
        <v>0</v>
      </c>
      <c r="F3654" s="3">
        <f>'[1]OKT 2025'!F66</f>
        <v>0</v>
      </c>
      <c r="G3654" s="3">
        <f>'[1]OKT 2025'!G66</f>
        <v>0</v>
      </c>
      <c r="H3654" s="3">
        <f>'[1]OKT 2025'!H66</f>
        <v>2918</v>
      </c>
    </row>
    <row r="3655" spans="1:8" x14ac:dyDescent="0.2">
      <c r="A3655" s="23">
        <f>'[1]OKT 2025'!A67</f>
        <v>45940</v>
      </c>
      <c r="B3655" s="12" t="str">
        <f>'[1]OKT 2025'!B67</f>
        <v>Refill</v>
      </c>
      <c r="C3655" s="3">
        <f>'[1]OKT 2025'!C67</f>
        <v>0</v>
      </c>
      <c r="D3655" s="3">
        <f>'[1]OKT 2025'!D67</f>
        <v>0</v>
      </c>
      <c r="E3655" s="3">
        <f>'[1]OKT 2025'!E67</f>
        <v>0</v>
      </c>
      <c r="F3655" s="3">
        <f>'[1]OKT 2025'!F67</f>
        <v>0</v>
      </c>
      <c r="G3655" s="3">
        <f>'[1]OKT 2025'!G67</f>
        <v>112901.5</v>
      </c>
      <c r="H3655" s="3">
        <f>'[1]OKT 2025'!H67</f>
        <v>0</v>
      </c>
    </row>
    <row r="3656" spans="1:8" x14ac:dyDescent="0.2">
      <c r="A3656" s="20">
        <f>'[1]OKT 2025'!A68</f>
        <v>45940</v>
      </c>
      <c r="B3656" s="12" t="str">
        <f>'[1]OKT 2025'!B68</f>
        <v>Frauen</v>
      </c>
      <c r="C3656" s="3">
        <f>'[1]OKT 2025'!C68</f>
        <v>0</v>
      </c>
      <c r="D3656" s="3">
        <f>'[1]OKT 2025'!D68</f>
        <v>0</v>
      </c>
      <c r="E3656" s="3">
        <f>'[1]OKT 2025'!E68</f>
        <v>0</v>
      </c>
      <c r="F3656" s="3">
        <f>'[1]OKT 2025'!F68</f>
        <v>0</v>
      </c>
      <c r="G3656" s="3">
        <f>'[1]OKT 2025'!G68</f>
        <v>0</v>
      </c>
      <c r="H3656" s="3">
        <f>'[1]OKT 2025'!H68</f>
        <v>3804.6499999999996</v>
      </c>
    </row>
    <row r="3657" spans="1:8" x14ac:dyDescent="0.2">
      <c r="A3657" s="23">
        <f>'[1]OKT 2025'!A69</f>
        <v>45940</v>
      </c>
      <c r="B3657" s="12" t="str">
        <f>'[1]OKT 2025'!B69</f>
        <v>for me</v>
      </c>
      <c r="C3657" s="3">
        <f>'[1]OKT 2025'!C69</f>
        <v>0</v>
      </c>
      <c r="D3657" s="3">
        <f>'[1]OKT 2025'!D69</f>
        <v>0</v>
      </c>
      <c r="E3657" s="3">
        <f>'[1]OKT 2025'!E69</f>
        <v>0</v>
      </c>
      <c r="F3657" s="3">
        <f>'[1]OKT 2025'!F69</f>
        <v>0</v>
      </c>
      <c r="G3657" s="3">
        <f>'[1]OKT 2025'!G69</f>
        <v>0</v>
      </c>
      <c r="H3657" s="3">
        <f>'[1]OKT 2025'!H69</f>
        <v>4000</v>
      </c>
    </row>
    <row r="3658" spans="1:8" x14ac:dyDescent="0.2">
      <c r="A3658" s="20">
        <f>'[1]OKT 2025'!A72</f>
        <v>45941</v>
      </c>
      <c r="B3658" s="12" t="str">
        <f>'[1]OKT 2025'!B72</f>
        <v>Frauen</v>
      </c>
      <c r="C3658" s="3">
        <f>'[1]OKT 2025'!C72</f>
        <v>0</v>
      </c>
      <c r="D3658" s="3">
        <f>'[1]OKT 2025'!D72</f>
        <v>0</v>
      </c>
      <c r="E3658" s="3">
        <f>'[1]OKT 2025'!E72</f>
        <v>0</v>
      </c>
      <c r="F3658" s="3">
        <f>'[1]OKT 2025'!F72</f>
        <v>0</v>
      </c>
      <c r="G3658" s="3">
        <f>'[1]OKT 2025'!G72</f>
        <v>0</v>
      </c>
      <c r="H3658" s="3">
        <f>'[1]OKT 2025'!H72</f>
        <v>12120</v>
      </c>
    </row>
    <row r="3659" spans="1:8" x14ac:dyDescent="0.2">
      <c r="A3659" s="23">
        <f>'[1]OKT 2025'!A73</f>
        <v>45941</v>
      </c>
      <c r="B3659" s="12" t="str">
        <f>'[1]OKT 2025'!B73</f>
        <v>LM</v>
      </c>
      <c r="C3659" s="3">
        <f>'[1]OKT 2025'!C73</f>
        <v>0</v>
      </c>
      <c r="D3659" s="3">
        <f>'[1]OKT 2025'!D73</f>
        <v>0</v>
      </c>
      <c r="E3659" s="3">
        <f>'[1]OKT 2025'!E73</f>
        <v>0</v>
      </c>
      <c r="F3659" s="3">
        <f>'[1]OKT 2025'!F73</f>
        <v>0</v>
      </c>
      <c r="G3659" s="3">
        <f>'[1]OKT 2025'!G73</f>
        <v>0</v>
      </c>
      <c r="H3659" s="3">
        <f>'[1]OKT 2025'!H73</f>
        <v>144.99</v>
      </c>
    </row>
    <row r="3660" spans="1:8" x14ac:dyDescent="0.2">
      <c r="A3660" s="23">
        <f>'[1]OKT 2025'!A79</f>
        <v>45942</v>
      </c>
      <c r="B3660" s="12" t="str">
        <f>'[1]OKT 2025'!B79</f>
        <v>Frauen</v>
      </c>
      <c r="C3660" s="3">
        <f>'[1]OKT 2025'!C79</f>
        <v>0</v>
      </c>
      <c r="D3660" s="3">
        <f>'[1]OKT 2025'!D79</f>
        <v>0</v>
      </c>
      <c r="E3660" s="3">
        <f>'[1]OKT 2025'!E79</f>
        <v>0</v>
      </c>
      <c r="F3660" s="3">
        <f>'[1]OKT 2025'!F79</f>
        <v>0</v>
      </c>
      <c r="G3660" s="3">
        <f>'[1]OKT 2025'!G79</f>
        <v>0</v>
      </c>
      <c r="H3660" s="3">
        <f>'[1]OKT 2025'!H79</f>
        <v>89</v>
      </c>
    </row>
    <row r="3661" spans="1:8" x14ac:dyDescent="0.2">
      <c r="A3661" s="20">
        <f>'[1]OKT 2025'!A80</f>
        <v>45942</v>
      </c>
      <c r="B3661" s="12" t="str">
        <f>'[1]OKT 2025'!B80</f>
        <v>LM</v>
      </c>
      <c r="C3661" s="3">
        <f>'[1]OKT 2025'!C80</f>
        <v>0</v>
      </c>
      <c r="D3661" s="3">
        <f>'[1]OKT 2025'!D80</f>
        <v>0</v>
      </c>
      <c r="E3661" s="3">
        <f>'[1]OKT 2025'!E80</f>
        <v>0</v>
      </c>
      <c r="F3661" s="3">
        <f>'[1]OKT 2025'!F80</f>
        <v>0</v>
      </c>
      <c r="G3661" s="3">
        <f>'[1]OKT 2025'!G80</f>
        <v>0</v>
      </c>
      <c r="H3661" s="3">
        <f>'[1]OKT 2025'!H80</f>
        <v>135</v>
      </c>
    </row>
    <row r="3662" spans="1:8" x14ac:dyDescent="0.2">
      <c r="A3662" s="23">
        <f>'[1]OKT 2025'!A81</f>
        <v>45942</v>
      </c>
      <c r="B3662" s="12" t="str">
        <f>'[1]OKT 2025'!B81</f>
        <v>LM</v>
      </c>
      <c r="C3662" s="3">
        <f>'[1]OKT 2025'!C81</f>
        <v>0</v>
      </c>
      <c r="D3662" s="3">
        <f>'[1]OKT 2025'!D81</f>
        <v>0</v>
      </c>
      <c r="E3662" s="3">
        <f>'[1]OKT 2025'!E81</f>
        <v>0</v>
      </c>
      <c r="F3662" s="3">
        <f>'[1]OKT 2025'!F81</f>
        <v>0</v>
      </c>
      <c r="G3662" s="3">
        <f>'[1]OKT 2025'!G81</f>
        <v>0</v>
      </c>
      <c r="H3662" s="3">
        <f>'[1]OKT 2025'!H81</f>
        <v>5245.69</v>
      </c>
    </row>
    <row r="3663" spans="1:8" x14ac:dyDescent="0.2">
      <c r="A3663" s="20">
        <f>'[1]OKT 2025'!A82</f>
        <v>45942</v>
      </c>
      <c r="B3663" s="12" t="str">
        <f>'[1]OKT 2025'!B82</f>
        <v>CarMaint</v>
      </c>
      <c r="C3663" s="3">
        <f>'[1]OKT 2025'!C82</f>
        <v>0</v>
      </c>
      <c r="D3663" s="3">
        <f>'[1]OKT 2025'!D82</f>
        <v>0</v>
      </c>
      <c r="E3663" s="3">
        <f>'[1]OKT 2025'!E82</f>
        <v>0</v>
      </c>
      <c r="F3663" s="3">
        <f>'[1]OKT 2025'!F82</f>
        <v>0</v>
      </c>
      <c r="G3663" s="3">
        <f>'[1]OKT 2025'!G82</f>
        <v>0</v>
      </c>
      <c r="H3663" s="3">
        <f>'[1]OKT 2025'!H82</f>
        <v>100</v>
      </c>
    </row>
    <row r="3664" spans="1:8" x14ac:dyDescent="0.2">
      <c r="A3664" s="23">
        <f>'[1]OKT 2025'!A83</f>
        <v>45942</v>
      </c>
      <c r="B3664" s="12" t="str">
        <f>'[1]OKT 2025'!B83</f>
        <v>Fuel</v>
      </c>
      <c r="C3664" s="3">
        <f>'[1]OKT 2025'!C83</f>
        <v>0</v>
      </c>
      <c r="D3664" s="3">
        <f>'[1]OKT 2025'!D83</f>
        <v>0</v>
      </c>
      <c r="E3664" s="3">
        <f>'[1]OKT 2025'!E83</f>
        <v>0</v>
      </c>
      <c r="F3664" s="3">
        <f>'[1]OKT 2025'!F83</f>
        <v>0</v>
      </c>
      <c r="G3664" s="3">
        <f>'[1]OKT 2025'!G83</f>
        <v>0</v>
      </c>
      <c r="H3664" s="3">
        <f>'[1]OKT 2025'!H83</f>
        <v>2065</v>
      </c>
    </row>
    <row r="3665" spans="1:8" x14ac:dyDescent="0.2">
      <c r="A3665" s="20">
        <f>'[1]OKT 2025'!A86</f>
        <v>45943</v>
      </c>
      <c r="B3665" s="12" t="str">
        <f>'[1]OKT 2025'!B86</f>
        <v>for me</v>
      </c>
      <c r="C3665" s="3">
        <f>'[1]OKT 2025'!C86</f>
        <v>0</v>
      </c>
      <c r="D3665" s="3">
        <f>'[1]OKT 2025'!D86</f>
        <v>0</v>
      </c>
      <c r="E3665" s="3">
        <f>'[1]OKT 2025'!E86</f>
        <v>0</v>
      </c>
      <c r="F3665" s="3">
        <f>'[1]OKT 2025'!F86</f>
        <v>0</v>
      </c>
      <c r="G3665" s="3">
        <f>'[1]OKT 2025'!G86</f>
        <v>0</v>
      </c>
      <c r="H3665" s="3">
        <f>'[1]OKT 2025'!H86</f>
        <v>4701</v>
      </c>
    </row>
    <row r="3666" spans="1:8" x14ac:dyDescent="0.2">
      <c r="A3666" s="23">
        <f>'[1]OKT 2025'!A93</f>
        <v>45944</v>
      </c>
      <c r="B3666" s="12" t="str">
        <f>'[1]OKT 2025'!B93</f>
        <v>CarMaint</v>
      </c>
      <c r="C3666" s="3">
        <f>'[1]OKT 2025'!C93</f>
        <v>0</v>
      </c>
      <c r="D3666" s="3">
        <f>'[1]OKT 2025'!D93</f>
        <v>0</v>
      </c>
      <c r="E3666" s="3">
        <f>'[1]OKT 2025'!E93</f>
        <v>0</v>
      </c>
      <c r="F3666" s="3">
        <f>'[1]OKT 2025'!F93</f>
        <v>0</v>
      </c>
      <c r="G3666" s="3">
        <f>'[1]OKT 2025'!G93</f>
        <v>0</v>
      </c>
      <c r="H3666" s="3">
        <f>'[1]OKT 2025'!H93</f>
        <v>20330</v>
      </c>
    </row>
    <row r="3667" spans="1:8" x14ac:dyDescent="0.2">
      <c r="A3667" s="20">
        <f>'[1]OKT 2025'!A94</f>
        <v>45944</v>
      </c>
      <c r="B3667" s="12" t="str">
        <f>'[1]OKT 2025'!B94</f>
        <v>LM</v>
      </c>
      <c r="C3667" s="3">
        <f>'[1]OKT 2025'!C94</f>
        <v>0</v>
      </c>
      <c r="D3667" s="3">
        <f>'[1]OKT 2025'!D94</f>
        <v>0</v>
      </c>
      <c r="E3667" s="3">
        <f>'[1]OKT 2025'!E94</f>
        <v>0</v>
      </c>
      <c r="F3667" s="3">
        <f>'[1]OKT 2025'!F94</f>
        <v>0</v>
      </c>
      <c r="G3667" s="3">
        <f>'[1]OKT 2025'!G94</f>
        <v>0</v>
      </c>
      <c r="H3667" s="3">
        <f>'[1]OKT 2025'!H94</f>
        <v>624.16</v>
      </c>
    </row>
    <row r="3668" spans="1:8" x14ac:dyDescent="0.2">
      <c r="A3668" s="23">
        <f>'[1]OKT 2025'!A95</f>
        <v>45944</v>
      </c>
      <c r="B3668" s="12" t="str">
        <f>'[1]OKT 2025'!B95</f>
        <v>CarMaint</v>
      </c>
      <c r="C3668" s="3">
        <f>'[1]OKT 2025'!C95</f>
        <v>0</v>
      </c>
      <c r="D3668" s="3">
        <f>'[1]OKT 2025'!D95</f>
        <v>0</v>
      </c>
      <c r="E3668" s="3">
        <f>'[1]OKT 2025'!E95</f>
        <v>0</v>
      </c>
      <c r="F3668" s="3">
        <f>'[1]OKT 2025'!F95</f>
        <v>0</v>
      </c>
      <c r="G3668" s="3">
        <f>'[1]OKT 2025'!G95</f>
        <v>0</v>
      </c>
      <c r="H3668" s="3">
        <f>'[1]OKT 2025'!H95</f>
        <v>26740</v>
      </c>
    </row>
    <row r="3669" spans="1:8" x14ac:dyDescent="0.2">
      <c r="A3669" s="20">
        <f>'[1]OKT 2025'!A96</f>
        <v>45944</v>
      </c>
      <c r="B3669" s="12" t="str">
        <f>'[1]OKT 2025'!B96</f>
        <v>Refill</v>
      </c>
      <c r="C3669" s="3">
        <f>'[1]OKT 2025'!C96</f>
        <v>0</v>
      </c>
      <c r="D3669" s="3">
        <f>'[1]OKT 2025'!D96</f>
        <v>0</v>
      </c>
      <c r="E3669" s="3">
        <f>'[1]OKT 2025'!E96</f>
        <v>0</v>
      </c>
      <c r="F3669" s="3">
        <f>'[1]OKT 2025'!F96</f>
        <v>0</v>
      </c>
      <c r="G3669" s="3">
        <f>'[1]OKT 2025'!G96</f>
        <v>25000</v>
      </c>
      <c r="H3669" s="3">
        <f>'[1]OKT 2025'!H96</f>
        <v>0</v>
      </c>
    </row>
    <row r="3670" spans="1:8" x14ac:dyDescent="0.2">
      <c r="A3670" s="23">
        <f>'[1]OKT 2025'!A97</f>
        <v>45944</v>
      </c>
      <c r="B3670" s="12" t="str">
        <f>'[1]OKT 2025'!B97</f>
        <v>CarMaint</v>
      </c>
      <c r="C3670" s="3">
        <f>'[1]OKT 2025'!C97</f>
        <v>0</v>
      </c>
      <c r="D3670" s="3">
        <f>'[1]OKT 2025'!D97</f>
        <v>0</v>
      </c>
      <c r="E3670" s="3">
        <f>'[1]OKT 2025'!E97</f>
        <v>0</v>
      </c>
      <c r="F3670" s="3">
        <f>'[1]OKT 2025'!F97</f>
        <v>0</v>
      </c>
      <c r="G3670" s="3">
        <f>'[1]OKT 2025'!G97</f>
        <v>0</v>
      </c>
      <c r="H3670" s="3">
        <f>'[1]OKT 2025'!H97</f>
        <v>783</v>
      </c>
    </row>
    <row r="3671" spans="1:8" x14ac:dyDescent="0.2">
      <c r="A3671" s="20">
        <f>'[1]OKT 2025'!A100</f>
        <v>45945</v>
      </c>
      <c r="B3671" s="12" t="str">
        <f>'[1]OKT 2025'!B100</f>
        <v>Refill</v>
      </c>
      <c r="C3671" s="3">
        <f>'[1]OKT 2025'!C100</f>
        <v>0</v>
      </c>
      <c r="D3671" s="3">
        <f>'[1]OKT 2025'!D100</f>
        <v>0</v>
      </c>
      <c r="E3671" s="3">
        <f>'[1]OKT 2025'!E100</f>
        <v>0</v>
      </c>
      <c r="F3671" s="3">
        <f>'[1]OKT 2025'!F100</f>
        <v>0</v>
      </c>
      <c r="G3671" s="3">
        <f>'[1]OKT 2025'!G100</f>
        <v>27749.02</v>
      </c>
      <c r="H3671" s="3">
        <f>'[1]OKT 2025'!H100</f>
        <v>0</v>
      </c>
    </row>
    <row r="3672" spans="1:8" x14ac:dyDescent="0.2">
      <c r="A3672" s="23">
        <f>'[1]OKT 2025'!A101</f>
        <v>45945</v>
      </c>
      <c r="B3672" s="12" t="str">
        <f>'[1]OKT 2025'!B101</f>
        <v>CarMaint</v>
      </c>
      <c r="C3672" s="3">
        <f>'[1]OKT 2025'!C101</f>
        <v>0</v>
      </c>
      <c r="D3672" s="3">
        <f>'[1]OKT 2025'!D101</f>
        <v>0</v>
      </c>
      <c r="E3672" s="3">
        <f>'[1]OKT 2025'!E101</f>
        <v>0</v>
      </c>
      <c r="F3672" s="3">
        <f>'[1]OKT 2025'!F101</f>
        <v>0</v>
      </c>
      <c r="G3672" s="3">
        <f>'[1]OKT 2025'!G101</f>
        <v>0</v>
      </c>
      <c r="H3672" s="3">
        <f>'[1]OKT 2025'!H101</f>
        <v>562.5</v>
      </c>
    </row>
    <row r="3673" spans="1:8" x14ac:dyDescent="0.2">
      <c r="A3673" s="20">
        <f>'[1]OKT 2025'!A102</f>
        <v>45945</v>
      </c>
      <c r="B3673" s="12" t="str">
        <f>'[1]OKT 2025'!B102</f>
        <v>for me</v>
      </c>
      <c r="C3673" s="3">
        <f>'[1]OKT 2025'!C102</f>
        <v>0</v>
      </c>
      <c r="D3673" s="3">
        <f>'[1]OKT 2025'!D102</f>
        <v>0</v>
      </c>
      <c r="E3673" s="3">
        <f>'[1]OKT 2025'!E102</f>
        <v>0</v>
      </c>
      <c r="F3673" s="3">
        <f>'[1]OKT 2025'!F102</f>
        <v>0</v>
      </c>
      <c r="G3673" s="3">
        <f>'[1]OKT 2025'!G102</f>
        <v>0</v>
      </c>
      <c r="H3673" s="3">
        <f>'[1]OKT 2025'!H102</f>
        <v>4608</v>
      </c>
    </row>
    <row r="3674" spans="1:8" x14ac:dyDescent="0.2">
      <c r="A3674" s="23">
        <f>'[1]OKT 2025'!A107</f>
        <v>45946</v>
      </c>
      <c r="B3674" s="12" t="str">
        <f>'[1]OKT 2025'!B107</f>
        <v>LM</v>
      </c>
      <c r="C3674" s="3">
        <f>'[1]OKT 2025'!C107</f>
        <v>0</v>
      </c>
      <c r="D3674" s="3">
        <f>'[1]OKT 2025'!D107</f>
        <v>0</v>
      </c>
      <c r="E3674" s="3">
        <f>'[1]OKT 2025'!E107</f>
        <v>0</v>
      </c>
      <c r="F3674" s="3">
        <f>'[1]OKT 2025'!F107</f>
        <v>0</v>
      </c>
      <c r="G3674" s="3">
        <f>'[1]OKT 2025'!G107</f>
        <v>0</v>
      </c>
      <c r="H3674" s="3">
        <f>'[1]OKT 2025'!H107</f>
        <v>552.94000000000005</v>
      </c>
    </row>
    <row r="3675" spans="1:8" x14ac:dyDescent="0.2">
      <c r="A3675" s="20">
        <f>'[1]OKT 2025'!A114</f>
        <v>45947</v>
      </c>
      <c r="B3675" s="12" t="str">
        <f>'[1]OKT 2025'!B114</f>
        <v>rent</v>
      </c>
      <c r="C3675" s="3">
        <f>'[1]OKT 2025'!C114</f>
        <v>0</v>
      </c>
      <c r="D3675" s="3">
        <f>'[1]OKT 2025'!D114</f>
        <v>0</v>
      </c>
      <c r="E3675" s="3">
        <f>'[1]OKT 2025'!E114</f>
        <v>0</v>
      </c>
      <c r="F3675" s="3">
        <f>'[1]OKT 2025'!F114</f>
        <v>0</v>
      </c>
      <c r="G3675" s="3">
        <f>'[1]OKT 2025'!G114</f>
        <v>0</v>
      </c>
      <c r="H3675" s="3">
        <f>'[1]OKT 2025'!H114</f>
        <v>55000</v>
      </c>
    </row>
    <row r="3676" spans="1:8" x14ac:dyDescent="0.2">
      <c r="A3676" s="23">
        <f>'[1]OKT 2025'!A115</f>
        <v>45947</v>
      </c>
      <c r="B3676" s="12" t="str">
        <f>'[1]OKT 2025'!B115</f>
        <v>LM</v>
      </c>
      <c r="C3676" s="3">
        <f>'[1]OKT 2025'!C115</f>
        <v>0</v>
      </c>
      <c r="D3676" s="3">
        <f>'[1]OKT 2025'!D115</f>
        <v>0</v>
      </c>
      <c r="E3676" s="3">
        <f>'[1]OKT 2025'!E115</f>
        <v>0</v>
      </c>
      <c r="F3676" s="3">
        <f>'[1]OKT 2025'!F115</f>
        <v>0</v>
      </c>
      <c r="G3676" s="3">
        <f>'[1]OKT 2025'!G115</f>
        <v>0</v>
      </c>
      <c r="H3676" s="3">
        <f>'[1]OKT 2025'!H115</f>
        <v>2950.92</v>
      </c>
    </row>
    <row r="3677" spans="1:8" x14ac:dyDescent="0.2">
      <c r="A3677" s="20">
        <f>'[1]OKT 2025'!A116</f>
        <v>45947</v>
      </c>
      <c r="B3677" s="12" t="str">
        <f>'[1]OKT 2025'!B116</f>
        <v>Frauen</v>
      </c>
      <c r="C3677" s="3">
        <f>'[1]OKT 2025'!C116</f>
        <v>0</v>
      </c>
      <c r="D3677" s="3">
        <f>'[1]OKT 2025'!D116</f>
        <v>0</v>
      </c>
      <c r="E3677" s="3">
        <f>'[1]OKT 2025'!E116</f>
        <v>0</v>
      </c>
      <c r="F3677" s="3">
        <f>'[1]OKT 2025'!F116</f>
        <v>0</v>
      </c>
      <c r="G3677" s="3">
        <f>'[1]OKT 2025'!G116</f>
        <v>0</v>
      </c>
      <c r="H3677" s="3">
        <f>'[1]OKT 2025'!H116</f>
        <v>66.39</v>
      </c>
    </row>
    <row r="3678" spans="1:8" x14ac:dyDescent="0.2">
      <c r="A3678" s="23">
        <f>'[1]OKT 2025'!A117</f>
        <v>45947</v>
      </c>
      <c r="B3678" s="12" t="str">
        <f>'[1]OKT 2025'!B117</f>
        <v>VM</v>
      </c>
      <c r="C3678" s="3">
        <f>'[1]OKT 2025'!C117</f>
        <v>0</v>
      </c>
      <c r="D3678" s="3">
        <f>'[1]OKT 2025'!D117</f>
        <v>0</v>
      </c>
      <c r="E3678" s="3">
        <f>'[1]OKT 2025'!E117</f>
        <v>0</v>
      </c>
      <c r="F3678" s="3">
        <f>'[1]OKT 2025'!F117</f>
        <v>0</v>
      </c>
      <c r="G3678" s="3">
        <f>'[1]OKT 2025'!G117</f>
        <v>0</v>
      </c>
      <c r="H3678" s="3">
        <f>'[1]OKT 2025'!H117</f>
        <v>176.94</v>
      </c>
    </row>
    <row r="3679" spans="1:8" x14ac:dyDescent="0.2">
      <c r="A3679" s="23">
        <f>'[1]OKT 2025'!A121</f>
        <v>45948</v>
      </c>
      <c r="B3679" s="12" t="str">
        <f>'[1]OKT 2025'!B121</f>
        <v>Refill</v>
      </c>
      <c r="C3679" s="3">
        <f>'[1]OKT 2025'!C121</f>
        <v>0</v>
      </c>
      <c r="D3679" s="3">
        <f>'[1]OKT 2025'!D121</f>
        <v>0</v>
      </c>
      <c r="E3679" s="3">
        <f>'[1]OKT 2025'!E121</f>
        <v>0</v>
      </c>
      <c r="F3679" s="3">
        <f>'[1]OKT 2025'!F121</f>
        <v>0</v>
      </c>
      <c r="G3679" s="3">
        <f>'[1]OKT 2025'!G121</f>
        <v>12000</v>
      </c>
      <c r="H3679" s="3">
        <f>'[1]OKT 2025'!H121</f>
        <v>0</v>
      </c>
    </row>
    <row r="3680" spans="1:8" x14ac:dyDescent="0.2">
      <c r="A3680" s="20">
        <f>'[1]OKT 2025'!A122</f>
        <v>45948</v>
      </c>
      <c r="B3680" s="12" t="str">
        <f>'[1]OKT 2025'!B122</f>
        <v>Frauen</v>
      </c>
      <c r="C3680" s="3">
        <f>'[1]OKT 2025'!C122</f>
        <v>0</v>
      </c>
      <c r="D3680" s="3">
        <f>'[1]OKT 2025'!D122</f>
        <v>0</v>
      </c>
      <c r="E3680" s="3">
        <f>'[1]OKT 2025'!E122</f>
        <v>0</v>
      </c>
      <c r="F3680" s="3">
        <f>'[1]OKT 2025'!F122</f>
        <v>0</v>
      </c>
      <c r="G3680" s="3">
        <f>'[1]OKT 2025'!G122</f>
        <v>0</v>
      </c>
      <c r="H3680" s="3">
        <f>'[1]OKT 2025'!H122</f>
        <v>3678</v>
      </c>
    </row>
    <row r="3681" spans="1:8" x14ac:dyDescent="0.2">
      <c r="A3681" s="23">
        <f>'[1]OKT 2025'!A123</f>
        <v>45948</v>
      </c>
      <c r="B3681" s="12" t="str">
        <f>'[1]OKT 2025'!B123</f>
        <v>Andere</v>
      </c>
      <c r="C3681" s="3">
        <f>'[1]OKT 2025'!C123</f>
        <v>0</v>
      </c>
      <c r="D3681" s="3">
        <f>'[1]OKT 2025'!D123</f>
        <v>0</v>
      </c>
      <c r="E3681" s="3">
        <f>'[1]OKT 2025'!E123</f>
        <v>0</v>
      </c>
      <c r="F3681" s="3">
        <f>'[1]OKT 2025'!F123</f>
        <v>0</v>
      </c>
      <c r="G3681" s="3">
        <f>'[1]OKT 2025'!G123</f>
        <v>0</v>
      </c>
      <c r="H3681" s="3">
        <f>'[1]OKT 2025'!H123</f>
        <v>3000</v>
      </c>
    </row>
    <row r="3682" spans="1:8" x14ac:dyDescent="0.2">
      <c r="A3682" s="20">
        <f>'[1]OKT 2025'!A124</f>
        <v>45948</v>
      </c>
      <c r="B3682" s="12" t="str">
        <f>'[1]OKT 2025'!B124</f>
        <v>CarMaint</v>
      </c>
      <c r="C3682" s="3">
        <f>'[1]OKT 2025'!C124</f>
        <v>0</v>
      </c>
      <c r="D3682" s="3">
        <f>'[1]OKT 2025'!D124</f>
        <v>0</v>
      </c>
      <c r="E3682" s="3">
        <f>'[1]OKT 2025'!E124</f>
        <v>0</v>
      </c>
      <c r="F3682" s="3">
        <f>'[1]OKT 2025'!F124</f>
        <v>0</v>
      </c>
      <c r="G3682" s="3">
        <f>'[1]OKT 2025'!G124</f>
        <v>0</v>
      </c>
      <c r="H3682" s="3">
        <f>'[1]OKT 2025'!H124</f>
        <v>40</v>
      </c>
    </row>
    <row r="3683" spans="1:8" x14ac:dyDescent="0.2">
      <c r="A3683" s="23">
        <f>'[1]OKT 2025'!A125</f>
        <v>45948</v>
      </c>
      <c r="B3683" s="12" t="str">
        <f>'[1]OKT 2025'!B125</f>
        <v>Fuel</v>
      </c>
      <c r="C3683" s="3">
        <f>'[1]OKT 2025'!C125</f>
        <v>0</v>
      </c>
      <c r="D3683" s="3">
        <f>'[1]OKT 2025'!D125</f>
        <v>0</v>
      </c>
      <c r="E3683" s="3">
        <f>'[1]OKT 2025'!E125</f>
        <v>0</v>
      </c>
      <c r="F3683" s="3">
        <f>'[1]OKT 2025'!F125</f>
        <v>0</v>
      </c>
      <c r="G3683" s="3">
        <f>'[1]OKT 2025'!G125</f>
        <v>0</v>
      </c>
      <c r="H3683" s="3">
        <f>'[1]OKT 2025'!H125</f>
        <v>2074</v>
      </c>
    </row>
    <row r="3684" spans="1:8" x14ac:dyDescent="0.2">
      <c r="A3684" s="20">
        <f>'[1]OKT 2025'!A126</f>
        <v>45948</v>
      </c>
      <c r="B3684" s="12" t="str">
        <f>'[1]OKT 2025'!B126</f>
        <v>LM</v>
      </c>
      <c r="C3684" s="3">
        <f>'[1]OKT 2025'!C126</f>
        <v>0</v>
      </c>
      <c r="D3684" s="3">
        <f>'[1]OKT 2025'!D126</f>
        <v>0</v>
      </c>
      <c r="E3684" s="3">
        <f>'[1]OKT 2025'!E126</f>
        <v>0</v>
      </c>
      <c r="F3684" s="3">
        <f>'[1]OKT 2025'!F126</f>
        <v>0</v>
      </c>
      <c r="G3684" s="3">
        <f>'[1]OKT 2025'!G126</f>
        <v>0</v>
      </c>
      <c r="H3684" s="3">
        <f>'[1]OKT 2025'!H126</f>
        <v>209.98</v>
      </c>
    </row>
    <row r="3685" spans="1:8" x14ac:dyDescent="0.2">
      <c r="A3685" s="20">
        <f>'[1]OKT 2025'!A128</f>
        <v>45949</v>
      </c>
      <c r="B3685" s="12" t="str">
        <f>'[1]OKT 2025'!B128</f>
        <v>LM</v>
      </c>
      <c r="C3685" s="3">
        <f>'[1]OKT 2025'!C128</f>
        <v>0</v>
      </c>
      <c r="D3685" s="3">
        <f>'[1]OKT 2025'!D128</f>
        <v>0</v>
      </c>
      <c r="E3685" s="3">
        <f>'[1]OKT 2025'!E128</f>
        <v>0</v>
      </c>
      <c r="F3685" s="3">
        <f>'[1]OKT 2025'!F128</f>
        <v>0</v>
      </c>
      <c r="G3685" s="3">
        <f>'[1]OKT 2025'!G128</f>
        <v>0</v>
      </c>
      <c r="H3685" s="3">
        <f>'[1]OKT 2025'!H128</f>
        <v>1000</v>
      </c>
    </row>
    <row r="3686" spans="1:8" x14ac:dyDescent="0.2">
      <c r="A3686" s="23">
        <f>'[1]OKT 2025'!A129</f>
        <v>45949</v>
      </c>
      <c r="B3686" s="12" t="str">
        <f>'[1]OKT 2025'!B129</f>
        <v>Andere</v>
      </c>
      <c r="C3686" s="3">
        <f>'[1]OKT 2025'!C129</f>
        <v>0</v>
      </c>
      <c r="D3686" s="3">
        <f>'[1]OKT 2025'!D129</f>
        <v>0</v>
      </c>
      <c r="E3686" s="3">
        <f>'[1]OKT 2025'!E129</f>
        <v>0</v>
      </c>
      <c r="F3686" s="3">
        <f>'[1]OKT 2025'!F129</f>
        <v>0</v>
      </c>
      <c r="G3686" s="3">
        <f>'[1]OKT 2025'!G129</f>
        <v>0</v>
      </c>
      <c r="H3686" s="3">
        <f>'[1]OKT 2025'!H129</f>
        <v>225</v>
      </c>
    </row>
    <row r="3687" spans="1:8" x14ac:dyDescent="0.2">
      <c r="A3687" s="20">
        <f>'[1]OKT 2025'!A130</f>
        <v>45949</v>
      </c>
      <c r="B3687" s="12" t="str">
        <f>'[1]OKT 2025'!B130</f>
        <v>LM</v>
      </c>
      <c r="C3687" s="3">
        <f>'[1]OKT 2025'!C130</f>
        <v>0</v>
      </c>
      <c r="D3687" s="3">
        <f>'[1]OKT 2025'!D130</f>
        <v>0</v>
      </c>
      <c r="E3687" s="3">
        <f>'[1]OKT 2025'!E130</f>
        <v>0</v>
      </c>
      <c r="F3687" s="3">
        <f>'[1]OKT 2025'!F130</f>
        <v>0</v>
      </c>
      <c r="G3687" s="3">
        <f>'[1]OKT 2025'!G130</f>
        <v>0</v>
      </c>
      <c r="H3687" s="3">
        <f>'[1]OKT 2025'!H130</f>
        <v>251.96</v>
      </c>
    </row>
    <row r="3688" spans="1:8" x14ac:dyDescent="0.2">
      <c r="A3688" s="23">
        <f>'[1]OKT 2025'!A135</f>
        <v>45950</v>
      </c>
      <c r="B3688" s="12" t="str">
        <f>'[1]OKT 2025'!B135</f>
        <v>LM</v>
      </c>
      <c r="C3688" s="3">
        <f>'[1]OKT 2025'!C135</f>
        <v>0</v>
      </c>
      <c r="D3688" s="3">
        <f>'[1]OKT 2025'!D135</f>
        <v>0</v>
      </c>
      <c r="E3688" s="3">
        <f>'[1]OKT 2025'!E135</f>
        <v>0</v>
      </c>
      <c r="F3688" s="3">
        <f>'[1]OKT 2025'!F135</f>
        <v>0</v>
      </c>
      <c r="G3688" s="3">
        <f>'[1]OKT 2025'!G135</f>
        <v>0</v>
      </c>
      <c r="H3688" s="3">
        <f>'[1]OKT 2025'!H135</f>
        <v>716</v>
      </c>
    </row>
    <row r="3689" spans="1:8" x14ac:dyDescent="0.2">
      <c r="A3689" s="20">
        <f>'[1]OKT 2025'!A136</f>
        <v>45950</v>
      </c>
      <c r="B3689" s="12" t="str">
        <f>'[1]OKT 2025'!B136</f>
        <v>Frauen</v>
      </c>
      <c r="C3689" s="3">
        <f>'[1]OKT 2025'!C136</f>
        <v>0</v>
      </c>
      <c r="D3689" s="3">
        <f>'[1]OKT 2025'!D136</f>
        <v>0</v>
      </c>
      <c r="E3689" s="3">
        <f>'[1]OKT 2025'!E136</f>
        <v>0</v>
      </c>
      <c r="F3689" s="3">
        <f>'[1]OKT 2025'!F136</f>
        <v>0</v>
      </c>
      <c r="G3689" s="3">
        <f>'[1]OKT 2025'!G136</f>
        <v>0</v>
      </c>
      <c r="H3689" s="3">
        <f>'[1]OKT 2025'!H136</f>
        <v>1000</v>
      </c>
    </row>
    <row r="3690" spans="1:8" x14ac:dyDescent="0.2">
      <c r="A3690" s="20">
        <f>'[1]OKT 2025'!A142</f>
        <v>45951</v>
      </c>
      <c r="B3690" s="12" t="str">
        <f>'[1]OKT 2025'!B142</f>
        <v>LM</v>
      </c>
      <c r="C3690" s="3">
        <f>'[1]OKT 2025'!C142</f>
        <v>0</v>
      </c>
      <c r="D3690" s="3">
        <f>'[1]OKT 2025'!D142</f>
        <v>0</v>
      </c>
      <c r="E3690" s="3">
        <f>'[1]OKT 2025'!E142</f>
        <v>0</v>
      </c>
      <c r="F3690" s="3">
        <f>'[1]OKT 2025'!F142</f>
        <v>0</v>
      </c>
      <c r="G3690" s="3">
        <f>'[1]OKT 2025'!G142</f>
        <v>0</v>
      </c>
      <c r="H3690" s="3">
        <f>'[1]OKT 2025'!H142</f>
        <v>587</v>
      </c>
    </row>
    <row r="3691" spans="1:8" x14ac:dyDescent="0.2">
      <c r="A3691" s="23">
        <f>'[1]OKT 2025'!A149</f>
        <v>45952</v>
      </c>
      <c r="B3691" s="12" t="str">
        <f>'[1]OKT 2025'!B149</f>
        <v>LM</v>
      </c>
      <c r="C3691" s="3">
        <f>'[1]OKT 2025'!C149</f>
        <v>0</v>
      </c>
      <c r="D3691" s="3">
        <f>'[1]OKT 2025'!D149</f>
        <v>0</v>
      </c>
      <c r="E3691" s="3">
        <f>'[1]OKT 2025'!E149</f>
        <v>0</v>
      </c>
      <c r="F3691" s="3">
        <f>'[1]OKT 2025'!F149</f>
        <v>0</v>
      </c>
      <c r="G3691" s="3">
        <f>'[1]OKT 2025'!G149</f>
        <v>0</v>
      </c>
      <c r="H3691" s="3">
        <f>'[1]OKT 2025'!H149</f>
        <v>4440.95</v>
      </c>
    </row>
    <row r="3692" spans="1:8" x14ac:dyDescent="0.2">
      <c r="A3692" s="20">
        <f>'[1]OKT 2025'!A150</f>
        <v>45952</v>
      </c>
      <c r="B3692" s="12" t="str">
        <f>'[1]OKT 2025'!B150</f>
        <v>CarMaint</v>
      </c>
      <c r="C3692" s="3">
        <f>'[1]OKT 2025'!C150</f>
        <v>0</v>
      </c>
      <c r="D3692" s="3">
        <f>'[1]OKT 2025'!D150</f>
        <v>0</v>
      </c>
      <c r="E3692" s="3">
        <f>'[1]OKT 2025'!E150</f>
        <v>0</v>
      </c>
      <c r="F3692" s="3">
        <f>'[1]OKT 2025'!F150</f>
        <v>0</v>
      </c>
      <c r="G3692" s="3">
        <f>'[1]OKT 2025'!G150</f>
        <v>0</v>
      </c>
      <c r="H3692" s="3">
        <f>'[1]OKT 2025'!H150</f>
        <v>100</v>
      </c>
    </row>
    <row r="3693" spans="1:8" x14ac:dyDescent="0.2">
      <c r="A3693" s="23">
        <f>'[1]OKT 2025'!A151</f>
        <v>45952</v>
      </c>
      <c r="B3693" s="12" t="str">
        <f>'[1]OKT 2025'!B151</f>
        <v>CarMaint</v>
      </c>
      <c r="C3693" s="3">
        <f>'[1]OKT 2025'!C151</f>
        <v>0</v>
      </c>
      <c r="D3693" s="3">
        <f>'[1]OKT 2025'!D151</f>
        <v>0</v>
      </c>
      <c r="E3693" s="3">
        <f>'[1]OKT 2025'!E151</f>
        <v>0</v>
      </c>
      <c r="F3693" s="3">
        <f>'[1]OKT 2025'!F151</f>
        <v>0</v>
      </c>
      <c r="G3693" s="3">
        <f>'[1]OKT 2025'!G151</f>
        <v>0</v>
      </c>
      <c r="H3693" s="3">
        <f>'[1]OKT 2025'!H151</f>
        <v>690</v>
      </c>
    </row>
    <row r="3694" spans="1:8" x14ac:dyDescent="0.2">
      <c r="A3694" s="20">
        <f>'[1]OKT 2025'!A156</f>
        <v>45953</v>
      </c>
      <c r="B3694" s="12" t="str">
        <f>'[1]OKT 2025'!B156</f>
        <v>LM</v>
      </c>
      <c r="C3694" s="3">
        <f>'[1]OKT 2025'!C156</f>
        <v>0</v>
      </c>
      <c r="D3694" s="3">
        <f>'[1]OKT 2025'!D156</f>
        <v>0</v>
      </c>
      <c r="E3694" s="3">
        <f>'[1]OKT 2025'!E156</f>
        <v>0</v>
      </c>
      <c r="F3694" s="3">
        <f>'[1]OKT 2025'!F156</f>
        <v>0</v>
      </c>
      <c r="G3694" s="3">
        <f>'[1]OKT 2025'!G156</f>
        <v>0</v>
      </c>
      <c r="H3694" s="3">
        <f>'[1]OKT 2025'!H156</f>
        <v>838</v>
      </c>
    </row>
    <row r="3695" spans="1:8" x14ac:dyDescent="0.2">
      <c r="A3695" s="23">
        <f>'[1]OKT 2025'!A157</f>
        <v>45953</v>
      </c>
      <c r="B3695" s="12" t="str">
        <f>'[1]OKT 2025'!B157</f>
        <v>VM</v>
      </c>
      <c r="C3695" s="3">
        <f>'[1]OKT 2025'!C157</f>
        <v>0</v>
      </c>
      <c r="D3695" s="3">
        <f>'[1]OKT 2025'!D157</f>
        <v>0</v>
      </c>
      <c r="E3695" s="3">
        <f>'[1]OKT 2025'!E157</f>
        <v>0</v>
      </c>
      <c r="F3695" s="3">
        <f>'[1]OKT 2025'!F157</f>
        <v>0</v>
      </c>
      <c r="G3695" s="3">
        <f>'[1]OKT 2025'!G157</f>
        <v>0</v>
      </c>
      <c r="H3695" s="3">
        <f>'[1]OKT 2025'!H157</f>
        <v>1</v>
      </c>
    </row>
    <row r="3696" spans="1:8" x14ac:dyDescent="0.2">
      <c r="A3696" s="23">
        <f>'[1]OKT 2025'!A163</f>
        <v>45954</v>
      </c>
      <c r="B3696" s="12" t="str">
        <f>'[1]OKT 2025'!B163</f>
        <v>Andere</v>
      </c>
      <c r="C3696" s="3">
        <f>'[1]OKT 2025'!C163</f>
        <v>0</v>
      </c>
      <c r="D3696" s="3">
        <f>'[1]OKT 2025'!D163</f>
        <v>0</v>
      </c>
      <c r="E3696" s="3">
        <f>'[1]OKT 2025'!E163</f>
        <v>0</v>
      </c>
      <c r="F3696" s="3">
        <f>'[1]OKT 2025'!F163</f>
        <v>0</v>
      </c>
      <c r="G3696" s="3">
        <f>'[1]OKT 2025'!G163</f>
        <v>0</v>
      </c>
      <c r="H3696" s="3">
        <f>'[1]OKT 2025'!H163</f>
        <v>1181</v>
      </c>
    </row>
    <row r="3697" spans="1:8" x14ac:dyDescent="0.2">
      <c r="A3697" s="20">
        <f>'[1]OKT 2025'!A164</f>
        <v>45954</v>
      </c>
      <c r="B3697" s="12" t="str">
        <f>'[1]OKT 2025'!B164</f>
        <v>for me</v>
      </c>
      <c r="C3697" s="3">
        <f>'[1]OKT 2025'!C164</f>
        <v>0</v>
      </c>
      <c r="D3697" s="3">
        <f>'[1]OKT 2025'!D164</f>
        <v>0</v>
      </c>
      <c r="E3697" s="3">
        <f>'[1]OKT 2025'!E164</f>
        <v>0</v>
      </c>
      <c r="F3697" s="3">
        <f>'[1]OKT 2025'!F164</f>
        <v>0</v>
      </c>
      <c r="G3697" s="3">
        <f>'[1]OKT 2025'!G164</f>
        <v>0</v>
      </c>
      <c r="H3697" s="3">
        <f>'[1]OKT 2025'!H164</f>
        <v>31140</v>
      </c>
    </row>
    <row r="3698" spans="1:8" x14ac:dyDescent="0.2">
      <c r="A3698" s="23">
        <f>'[1]OKT 2025'!A165</f>
        <v>45954</v>
      </c>
      <c r="B3698" s="12" t="str">
        <f>'[1]OKT 2025'!B165</f>
        <v>Refill</v>
      </c>
      <c r="C3698" s="3">
        <f>'[1]OKT 2025'!C165</f>
        <v>0</v>
      </c>
      <c r="D3698" s="3">
        <f>'[1]OKT 2025'!D165</f>
        <v>0</v>
      </c>
      <c r="E3698" s="3">
        <f>'[1]OKT 2025'!E165</f>
        <v>0</v>
      </c>
      <c r="F3698" s="3">
        <f>'[1]OKT 2025'!F165</f>
        <v>0</v>
      </c>
      <c r="G3698" s="3">
        <f>'[1]OKT 2025'!G165</f>
        <v>107992.48</v>
      </c>
      <c r="H3698" s="3">
        <f>'[1]OKT 2025'!H165</f>
        <v>0</v>
      </c>
    </row>
    <row r="3699" spans="1:8" x14ac:dyDescent="0.2">
      <c r="A3699" s="20">
        <f>'[1]OKT 2025'!A166</f>
        <v>45954</v>
      </c>
      <c r="B3699" s="12" t="str">
        <f>'[1]OKT 2025'!B166</f>
        <v>LM</v>
      </c>
      <c r="C3699" s="3">
        <f>'[1]OKT 2025'!C166</f>
        <v>0</v>
      </c>
      <c r="D3699" s="3">
        <f>'[1]OKT 2025'!D166</f>
        <v>0</v>
      </c>
      <c r="E3699" s="3">
        <f>'[1]OKT 2025'!E166</f>
        <v>0</v>
      </c>
      <c r="F3699" s="3">
        <f>'[1]OKT 2025'!F166</f>
        <v>0</v>
      </c>
      <c r="G3699" s="3">
        <f>'[1]OKT 2025'!G166</f>
        <v>0</v>
      </c>
      <c r="H3699" s="3">
        <f>'[1]OKT 2025'!H166</f>
        <v>920.96</v>
      </c>
    </row>
    <row r="3700" spans="1:8" x14ac:dyDescent="0.2">
      <c r="A3700" s="20">
        <f>'[1]OKT 2025'!A170</f>
        <v>45955</v>
      </c>
      <c r="B3700" s="12" t="str">
        <f>'[1]OKT 2025'!B170</f>
        <v>Refill</v>
      </c>
      <c r="C3700" s="3">
        <f>'[1]OKT 2025'!C170</f>
        <v>0</v>
      </c>
      <c r="D3700" s="3">
        <f>'[1]OKT 2025'!D170</f>
        <v>0</v>
      </c>
      <c r="E3700" s="3">
        <f>'[1]OKT 2025'!E170</f>
        <v>0</v>
      </c>
      <c r="F3700" s="3">
        <f>'[1]OKT 2025'!F170</f>
        <v>0</v>
      </c>
      <c r="G3700" s="3">
        <f>'[1]OKT 2025'!G170</f>
        <v>2637.6</v>
      </c>
      <c r="H3700" s="3">
        <f>'[1]OKT 2025'!H170</f>
        <v>0</v>
      </c>
    </row>
    <row r="3701" spans="1:8" x14ac:dyDescent="0.2">
      <c r="A3701" s="23">
        <f>'[1]OKT 2025'!A171</f>
        <v>45955</v>
      </c>
      <c r="B3701" s="12" t="str">
        <f>'[1]OKT 2025'!B171</f>
        <v>LM</v>
      </c>
      <c r="C3701" s="3">
        <f>'[1]OKT 2025'!C171</f>
        <v>0</v>
      </c>
      <c r="D3701" s="3">
        <f>'[1]OKT 2025'!D171</f>
        <v>0</v>
      </c>
      <c r="E3701" s="3">
        <f>'[1]OKT 2025'!E171</f>
        <v>0</v>
      </c>
      <c r="F3701" s="3">
        <f>'[1]OKT 2025'!F171</f>
        <v>0</v>
      </c>
      <c r="G3701" s="3">
        <f>'[1]OKT 2025'!G171</f>
        <v>0</v>
      </c>
      <c r="H3701" s="3">
        <f>'[1]OKT 2025'!H171</f>
        <v>468.95</v>
      </c>
    </row>
    <row r="3702" spans="1:8" x14ac:dyDescent="0.2">
      <c r="A3702" s="23">
        <f>'[1]OKT 2025'!A177</f>
        <v>45956</v>
      </c>
      <c r="B3702" s="12" t="str">
        <f>'[1]OKT 2025'!B177</f>
        <v>Fuel</v>
      </c>
      <c r="C3702" s="3">
        <f>'[1]OKT 2025'!C177</f>
        <v>0</v>
      </c>
      <c r="D3702" s="3">
        <f>'[1]OKT 2025'!D177</f>
        <v>0</v>
      </c>
      <c r="E3702" s="3">
        <f>'[1]OKT 2025'!E177</f>
        <v>0</v>
      </c>
      <c r="F3702" s="3">
        <f>'[1]OKT 2025'!F177</f>
        <v>0</v>
      </c>
      <c r="G3702" s="3">
        <f>'[1]OKT 2025'!G177</f>
        <v>0</v>
      </c>
      <c r="H3702" s="3">
        <f>'[1]OKT 2025'!H177</f>
        <v>7940</v>
      </c>
    </row>
    <row r="3703" spans="1:8" x14ac:dyDescent="0.2">
      <c r="A3703" s="20">
        <f>'[1]OKT 2025'!A178</f>
        <v>45956</v>
      </c>
      <c r="B3703" s="12" t="str">
        <f>'[1]OKT 2025'!B178</f>
        <v>CarMaint</v>
      </c>
      <c r="C3703" s="3">
        <f>'[1]OKT 2025'!C178</f>
        <v>0</v>
      </c>
      <c r="D3703" s="3">
        <f>'[1]OKT 2025'!D178</f>
        <v>0</v>
      </c>
      <c r="E3703" s="3">
        <f>'[1]OKT 2025'!E178</f>
        <v>0</v>
      </c>
      <c r="F3703" s="3">
        <f>'[1]OKT 2025'!F178</f>
        <v>0</v>
      </c>
      <c r="G3703" s="3">
        <f>'[1]OKT 2025'!G178</f>
        <v>0</v>
      </c>
      <c r="H3703" s="3">
        <f>'[1]OKT 2025'!H178</f>
        <v>360</v>
      </c>
    </row>
    <row r="3704" spans="1:8" x14ac:dyDescent="0.2">
      <c r="A3704" s="23">
        <f>'[1]OKT 2025'!A179</f>
        <v>45956</v>
      </c>
      <c r="B3704" s="12" t="str">
        <f>'[1]OKT 2025'!B179</f>
        <v>LM</v>
      </c>
      <c r="C3704" s="3">
        <f>'[1]OKT 2025'!C179</f>
        <v>0</v>
      </c>
      <c r="D3704" s="3">
        <f>'[1]OKT 2025'!D179</f>
        <v>0</v>
      </c>
      <c r="E3704" s="3">
        <f>'[1]OKT 2025'!E179</f>
        <v>0</v>
      </c>
      <c r="F3704" s="3">
        <f>'[1]OKT 2025'!F179</f>
        <v>0</v>
      </c>
      <c r="G3704" s="3">
        <f>'[1]OKT 2025'!G179</f>
        <v>0</v>
      </c>
      <c r="H3704" s="3">
        <f>'[1]OKT 2025'!H179</f>
        <v>220</v>
      </c>
    </row>
    <row r="3705" spans="1:8" x14ac:dyDescent="0.2">
      <c r="A3705" s="20">
        <f>'[1]OKT 2025'!A180</f>
        <v>45956</v>
      </c>
      <c r="B3705" s="12" t="str">
        <f>'[1]OKT 2025'!B180</f>
        <v>LM</v>
      </c>
      <c r="C3705" s="3">
        <f>'[1]OKT 2025'!C180</f>
        <v>0</v>
      </c>
      <c r="D3705" s="3">
        <f>'[1]OKT 2025'!D180</f>
        <v>0</v>
      </c>
      <c r="E3705" s="3">
        <f>'[1]OKT 2025'!E180</f>
        <v>0</v>
      </c>
      <c r="F3705" s="3">
        <f>'[1]OKT 2025'!F180</f>
        <v>0</v>
      </c>
      <c r="G3705" s="3">
        <f>'[1]OKT 2025'!G180</f>
        <v>0</v>
      </c>
      <c r="H3705" s="3">
        <f>'[1]OKT 2025'!H180</f>
        <v>294</v>
      </c>
    </row>
    <row r="3706" spans="1:8" x14ac:dyDescent="0.2">
      <c r="A3706" s="20">
        <f>'[1]OKT 2025'!A184</f>
        <v>45957</v>
      </c>
      <c r="B3706" s="12" t="str">
        <f>'[1]OKT 2025'!B184</f>
        <v>for me</v>
      </c>
      <c r="C3706" s="3">
        <f>'[1]OKT 2025'!C184</f>
        <v>0</v>
      </c>
      <c r="D3706" s="3">
        <f>'[1]OKT 2025'!D184</f>
        <v>0</v>
      </c>
      <c r="E3706" s="3">
        <f>'[1]OKT 2025'!E184</f>
        <v>0</v>
      </c>
      <c r="F3706" s="3">
        <f>'[1]OKT 2025'!F184</f>
        <v>0</v>
      </c>
      <c r="G3706" s="3">
        <f>'[1]OKT 2025'!G184</f>
        <v>0</v>
      </c>
      <c r="H3706" s="3">
        <f>'[1]OKT 2025'!H184</f>
        <v>1000</v>
      </c>
    </row>
    <row r="3707" spans="1:8" x14ac:dyDescent="0.2">
      <c r="A3707" s="23">
        <f>'[1]OKT 2025'!A185</f>
        <v>45957</v>
      </c>
      <c r="B3707" s="12" t="str">
        <f>'[1]OKT 2025'!B185</f>
        <v>Andere</v>
      </c>
      <c r="C3707" s="3">
        <f>'[1]OKT 2025'!C185</f>
        <v>0</v>
      </c>
      <c r="D3707" s="3">
        <f>'[1]OKT 2025'!D185</f>
        <v>0</v>
      </c>
      <c r="E3707" s="3">
        <f>'[1]OKT 2025'!E185</f>
        <v>0</v>
      </c>
      <c r="F3707" s="3">
        <f>'[1]OKT 2025'!F185</f>
        <v>0</v>
      </c>
      <c r="G3707" s="3">
        <f>'[1]OKT 2025'!G185</f>
        <v>0</v>
      </c>
      <c r="H3707" s="3">
        <f>'[1]OKT 2025'!H185</f>
        <v>221</v>
      </c>
    </row>
    <row r="3708" spans="1:8" x14ac:dyDescent="0.2">
      <c r="A3708" s="23">
        <f>'[1]OKT 2025'!A191</f>
        <v>45958</v>
      </c>
      <c r="B3708" s="12" t="str">
        <f>'[1]OKT 2025'!B191</f>
        <v>LM</v>
      </c>
      <c r="C3708" s="3">
        <f>'[1]OKT 2025'!C191</f>
        <v>0</v>
      </c>
      <c r="D3708" s="3">
        <f>'[1]OKT 2025'!D191</f>
        <v>0</v>
      </c>
      <c r="E3708" s="3">
        <f>'[1]OKT 2025'!E191</f>
        <v>0</v>
      </c>
      <c r="F3708" s="3">
        <f>'[1]OKT 2025'!F191</f>
        <v>0</v>
      </c>
      <c r="G3708" s="3">
        <f>'[1]OKT 2025'!G191</f>
        <v>0</v>
      </c>
      <c r="H3708" s="3">
        <f>'[1]OKT 2025'!H191</f>
        <v>861.98</v>
      </c>
    </row>
    <row r="3709" spans="1:8" x14ac:dyDescent="0.2">
      <c r="A3709" s="20">
        <f>'[1]OKT 2025'!A198</f>
        <v>45959</v>
      </c>
      <c r="B3709" s="12" t="str">
        <f>'[1]OKT 2025'!B198</f>
        <v>Frauen</v>
      </c>
      <c r="C3709" s="3">
        <f>'[1]OKT 2025'!C198</f>
        <v>0</v>
      </c>
      <c r="D3709" s="3">
        <f>'[1]OKT 2025'!D198</f>
        <v>0</v>
      </c>
      <c r="E3709" s="3">
        <f>'[1]OKT 2025'!E198</f>
        <v>0</v>
      </c>
      <c r="F3709" s="3">
        <f>'[1]OKT 2025'!F198</f>
        <v>0</v>
      </c>
      <c r="G3709" s="3">
        <f>'[1]OKT 2025'!G198</f>
        <v>0</v>
      </c>
      <c r="H3709" s="3">
        <f>'[1]OKT 2025'!H198</f>
        <v>2677</v>
      </c>
    </row>
    <row r="3710" spans="1:8" x14ac:dyDescent="0.2">
      <c r="A3710" s="23">
        <f>'[1]OKT 2025'!A199</f>
        <v>45959</v>
      </c>
      <c r="B3710" s="12" t="str">
        <f>'[1]OKT 2025'!B199</f>
        <v>none</v>
      </c>
      <c r="C3710" s="3">
        <f>'[1]OKT 2025'!C199</f>
        <v>0</v>
      </c>
      <c r="D3710" s="3">
        <f>'[1]OKT 2025'!D199</f>
        <v>0</v>
      </c>
      <c r="E3710" s="3">
        <f>'[1]OKT 2025'!E199</f>
        <v>0</v>
      </c>
      <c r="F3710" s="3">
        <f>'[1]OKT 2025'!F199</f>
        <v>0</v>
      </c>
      <c r="G3710" s="3">
        <f>'[1]OKT 2025'!G199</f>
        <v>211.72000000000003</v>
      </c>
      <c r="H3710" s="3">
        <f>'[1]OKT 2025'!H199</f>
        <v>0</v>
      </c>
    </row>
    <row r="3711" spans="1:8" x14ac:dyDescent="0.2">
      <c r="A3711" s="20">
        <f>'[1]OKT 2025'!A200</f>
        <v>45959</v>
      </c>
      <c r="B3711" s="12" t="str">
        <f>'[1]OKT 2025'!B200</f>
        <v>none</v>
      </c>
      <c r="C3711" s="3">
        <f>'[1]OKT 2025'!C200</f>
        <v>0</v>
      </c>
      <c r="D3711" s="3">
        <f>'[1]OKT 2025'!D200</f>
        <v>400</v>
      </c>
      <c r="E3711" s="3">
        <f>'[1]OKT 2025'!E200</f>
        <v>0</v>
      </c>
      <c r="F3711" s="3">
        <f>'[1]OKT 2025'!F200</f>
        <v>0</v>
      </c>
      <c r="G3711" s="3">
        <f>'[1]OKT 2025'!G200</f>
        <v>400</v>
      </c>
      <c r="H3711" s="3">
        <f>'[1]OKT 2025'!H200</f>
        <v>0</v>
      </c>
    </row>
    <row r="3712" spans="1:8" x14ac:dyDescent="0.2">
      <c r="A3712" s="23">
        <f>'[1]OKT 2025'!A205</f>
        <v>45960</v>
      </c>
      <c r="B3712" s="12" t="str">
        <f>'[1]OKT 2025'!B205</f>
        <v>Car</v>
      </c>
      <c r="C3712" s="3">
        <f>'[1]OKT 2025'!C205</f>
        <v>0</v>
      </c>
      <c r="D3712" s="3">
        <f>'[1]OKT 2025'!D205</f>
        <v>0</v>
      </c>
      <c r="E3712" s="3">
        <f>'[1]OKT 2025'!E205</f>
        <v>0</v>
      </c>
      <c r="F3712" s="3">
        <f>'[1]OKT 2025'!F205</f>
        <v>0</v>
      </c>
      <c r="G3712" s="3">
        <f>'[1]OKT 2025'!G205</f>
        <v>0</v>
      </c>
      <c r="H3712" s="3">
        <f>'[1]OKT 2025'!H205</f>
        <v>85000</v>
      </c>
    </row>
    <row r="3713" spans="1:8" x14ac:dyDescent="0.2">
      <c r="A3713" s="20">
        <f>'[1]OKT 2025'!A206</f>
        <v>45960</v>
      </c>
      <c r="B3713" s="12" t="str">
        <f>'[1]OKT 2025'!B206</f>
        <v>for me</v>
      </c>
      <c r="C3713" s="3">
        <f>'[1]OKT 2025'!C206</f>
        <v>0</v>
      </c>
      <c r="D3713" s="3">
        <f>'[1]OKT 2025'!D206</f>
        <v>0</v>
      </c>
      <c r="E3713" s="3">
        <f>'[1]OKT 2025'!E206</f>
        <v>0</v>
      </c>
      <c r="F3713" s="3">
        <f>'[1]OKT 2025'!F206</f>
        <v>0</v>
      </c>
      <c r="G3713" s="3">
        <f>'[1]OKT 2025'!G206</f>
        <v>0</v>
      </c>
      <c r="H3713" s="3">
        <f>'[1]OKT 2025'!H206</f>
        <v>5000</v>
      </c>
    </row>
    <row r="3714" spans="1:8" x14ac:dyDescent="0.2">
      <c r="A3714" s="23">
        <f>'[1]OKT 2025'!A207</f>
        <v>45960</v>
      </c>
      <c r="B3714" s="12" t="str">
        <f>'[1]OKT 2025'!B207</f>
        <v>LM</v>
      </c>
      <c r="C3714" s="3">
        <f>'[1]OKT 2025'!C207</f>
        <v>0</v>
      </c>
      <c r="D3714" s="3">
        <f>'[1]OKT 2025'!D207</f>
        <v>0</v>
      </c>
      <c r="E3714" s="3">
        <f>'[1]OKT 2025'!E207</f>
        <v>0</v>
      </c>
      <c r="F3714" s="3">
        <f>'[1]OKT 2025'!F207</f>
        <v>0</v>
      </c>
      <c r="G3714" s="3">
        <f>'[1]OKT 2025'!G207</f>
        <v>0</v>
      </c>
      <c r="H3714" s="3">
        <f>'[1]OKT 2025'!H207</f>
        <v>290</v>
      </c>
    </row>
    <row r="3715" spans="1:8" x14ac:dyDescent="0.2">
      <c r="A3715" s="20">
        <f>'[1]OKT 2025'!A212</f>
        <v>45961</v>
      </c>
      <c r="B3715" s="12" t="str">
        <f>'[1]OKT 2025'!B212</f>
        <v>CarMaint</v>
      </c>
      <c r="C3715" s="3">
        <f>'[1]OKT 2025'!C212</f>
        <v>0</v>
      </c>
      <c r="D3715" s="3">
        <f>'[1]OKT 2025'!D212</f>
        <v>0</v>
      </c>
      <c r="E3715" s="3">
        <f>'[1]OKT 2025'!E212</f>
        <v>0</v>
      </c>
      <c r="F3715" s="3">
        <f>'[1]OKT 2025'!F212</f>
        <v>0</v>
      </c>
      <c r="G3715" s="3">
        <f>'[1]OKT 2025'!G212</f>
        <v>0</v>
      </c>
      <c r="H3715" s="3">
        <f>'[1]OKT 2025'!H212</f>
        <v>250</v>
      </c>
    </row>
    <row r="3716" spans="1:8" x14ac:dyDescent="0.2">
      <c r="A3716" s="23">
        <f>'[1]OKT 2025'!A213</f>
        <v>45961</v>
      </c>
      <c r="B3716" s="12" t="str">
        <f>'[1]OKT 2025'!B213</f>
        <v>LM</v>
      </c>
      <c r="C3716" s="3">
        <f>'[1]OKT 2025'!C213</f>
        <v>0</v>
      </c>
      <c r="D3716" s="3">
        <f>'[1]OKT 2025'!D213</f>
        <v>0</v>
      </c>
      <c r="E3716" s="3">
        <f>'[1]OKT 2025'!E213</f>
        <v>0</v>
      </c>
      <c r="F3716" s="3">
        <f>'[1]OKT 2025'!F213</f>
        <v>0</v>
      </c>
      <c r="G3716" s="3">
        <f>'[1]OKT 2025'!G213</f>
        <v>0</v>
      </c>
      <c r="H3716" s="3">
        <f>'[1]OKT 2025'!H213</f>
        <v>283.98</v>
      </c>
    </row>
    <row r="3717" spans="1:8" x14ac:dyDescent="0.2">
      <c r="A3717" s="20">
        <f>'[1]NOV 2025'!A5</f>
        <v>45962</v>
      </c>
      <c r="B3717" s="12" t="str">
        <f>'[1]NOV 2025'!B5</f>
        <v>for me</v>
      </c>
      <c r="C3717" s="3">
        <f>'[1]NOV 2025'!C5</f>
        <v>0</v>
      </c>
      <c r="D3717" s="3">
        <f>'[1]NOV 2025'!D5</f>
        <v>0</v>
      </c>
      <c r="E3717" s="3">
        <f>'[1]NOV 2025'!E5</f>
        <v>0</v>
      </c>
      <c r="F3717" s="3">
        <f>'[1]NOV 2025'!F5</f>
        <v>0</v>
      </c>
      <c r="G3717" s="3">
        <f>'[1]NOV 2025'!G5</f>
        <v>0</v>
      </c>
      <c r="H3717" s="3">
        <f>'[1]NOV 2025'!H5</f>
        <v>6250</v>
      </c>
    </row>
    <row r="3718" spans="1:8" x14ac:dyDescent="0.2">
      <c r="A3718" s="20">
        <f>'[1]NOV 2025'!A9</f>
        <v>45963</v>
      </c>
      <c r="B3718" s="12" t="str">
        <f>'[1]NOV 2025'!B9</f>
        <v>LM</v>
      </c>
      <c r="C3718" s="3">
        <f>'[1]NOV 2025'!C9</f>
        <v>0</v>
      </c>
      <c r="D3718" s="3">
        <f>'[1]NOV 2025'!D9</f>
        <v>0</v>
      </c>
      <c r="E3718" s="3">
        <f>'[1]NOV 2025'!E9</f>
        <v>0</v>
      </c>
      <c r="F3718" s="3">
        <f>'[1]NOV 2025'!F9</f>
        <v>0</v>
      </c>
      <c r="G3718" s="3">
        <f>'[1]NOV 2025'!G9</f>
        <v>0</v>
      </c>
      <c r="H3718" s="3">
        <f>'[1]NOV 2025'!H9</f>
        <v>754.92</v>
      </c>
    </row>
    <row r="3719" spans="1:8" x14ac:dyDescent="0.2">
      <c r="A3719" s="23">
        <f>'[1]NOV 2025'!A10</f>
        <v>45963</v>
      </c>
      <c r="B3719" s="12" t="str">
        <f>'[1]NOV 2025'!B10</f>
        <v>Frauen</v>
      </c>
      <c r="C3719" s="3">
        <f>'[1]NOV 2025'!C10</f>
        <v>0</v>
      </c>
      <c r="D3719" s="3">
        <f>'[1]NOV 2025'!D10</f>
        <v>0</v>
      </c>
      <c r="E3719" s="3">
        <f>'[1]NOV 2025'!E10</f>
        <v>0</v>
      </c>
      <c r="F3719" s="3">
        <f>'[1]NOV 2025'!F10</f>
        <v>0</v>
      </c>
      <c r="G3719" s="3">
        <f>'[1]NOV 2025'!G10</f>
        <v>0</v>
      </c>
      <c r="H3719" s="3">
        <f>'[1]NOV 2025'!H10</f>
        <v>500</v>
      </c>
    </row>
    <row r="3720" spans="1:8" x14ac:dyDescent="0.2">
      <c r="A3720" s="23">
        <f>'[1]NOV 2025'!A16</f>
        <v>45964</v>
      </c>
      <c r="B3720" s="12" t="str">
        <f>'[1]NOV 2025'!B16</f>
        <v>CarMaint</v>
      </c>
      <c r="C3720" s="3">
        <f>'[1]NOV 2025'!C16</f>
        <v>0</v>
      </c>
      <c r="D3720" s="3">
        <f>'[1]NOV 2025'!D16</f>
        <v>0</v>
      </c>
      <c r="E3720" s="3">
        <f>'[1]NOV 2025'!E16</f>
        <v>0</v>
      </c>
      <c r="F3720" s="3">
        <f>'[1]NOV 2025'!F16</f>
        <v>0</v>
      </c>
      <c r="G3720" s="3">
        <f>'[1]NOV 2025'!G16</f>
        <v>0</v>
      </c>
      <c r="H3720" s="3">
        <f>'[1]NOV 2025'!H16</f>
        <v>2812</v>
      </c>
    </row>
    <row r="3721" spans="1:8" x14ac:dyDescent="0.2">
      <c r="A3721" s="20">
        <f>'[1]NOV 2025'!A17</f>
        <v>45964</v>
      </c>
      <c r="B3721" s="12" t="str">
        <f>'[1]NOV 2025'!B17</f>
        <v>Andere</v>
      </c>
      <c r="C3721" s="3">
        <f>'[1]NOV 2025'!C17</f>
        <v>0</v>
      </c>
      <c r="D3721" s="3">
        <f>'[1]NOV 2025'!D17</f>
        <v>0</v>
      </c>
      <c r="E3721" s="3">
        <f>'[1]NOV 2025'!E17</f>
        <v>0</v>
      </c>
      <c r="F3721" s="3">
        <f>'[1]NOV 2025'!F17</f>
        <v>0</v>
      </c>
      <c r="G3721" s="3">
        <f>'[1]NOV 2025'!G17</f>
        <v>0</v>
      </c>
      <c r="H3721" s="3">
        <f>'[1]NOV 2025'!H17</f>
        <v>279</v>
      </c>
    </row>
    <row r="3722" spans="1:8" x14ac:dyDescent="0.2">
      <c r="A3722" s="20">
        <f>'[1]NOV 2025'!A23</f>
        <v>45965</v>
      </c>
      <c r="B3722" s="12" t="str">
        <f>'[1]NOV 2025'!B23</f>
        <v>Fuel</v>
      </c>
      <c r="C3722" s="3">
        <f>'[1]NOV 2025'!C23</f>
        <v>0</v>
      </c>
      <c r="D3722" s="3">
        <f>'[1]NOV 2025'!D23</f>
        <v>0</v>
      </c>
      <c r="E3722" s="3">
        <f>'[1]NOV 2025'!E23</f>
        <v>0</v>
      </c>
      <c r="F3722" s="3">
        <f>'[1]NOV 2025'!F23</f>
        <v>0</v>
      </c>
      <c r="G3722" s="3">
        <f>'[1]NOV 2025'!G23</f>
        <v>0</v>
      </c>
      <c r="H3722" s="3">
        <f>'[1]NOV 2025'!H23</f>
        <v>4792</v>
      </c>
    </row>
    <row r="3723" spans="1:8" x14ac:dyDescent="0.2">
      <c r="A3723" s="23">
        <f>'[1]NOV 2025'!A24</f>
        <v>45965</v>
      </c>
      <c r="B3723" s="12" t="str">
        <f>'[1]NOV 2025'!B24</f>
        <v>CarMaint</v>
      </c>
      <c r="C3723" s="3">
        <f>'[1]NOV 2025'!C24</f>
        <v>0</v>
      </c>
      <c r="D3723" s="3">
        <f>'[1]NOV 2025'!D24</f>
        <v>0</v>
      </c>
      <c r="E3723" s="3">
        <f>'[1]NOV 2025'!E24</f>
        <v>0</v>
      </c>
      <c r="F3723" s="3">
        <f>'[1]NOV 2025'!F24</f>
        <v>0</v>
      </c>
      <c r="G3723" s="3">
        <f>'[1]NOV 2025'!G24</f>
        <v>0</v>
      </c>
      <c r="H3723" s="3">
        <f>'[1]NOV 2025'!H24</f>
        <v>360</v>
      </c>
    </row>
    <row r="3724" spans="1:8" x14ac:dyDescent="0.2">
      <c r="A3724" s="20">
        <f>'[1]NOV 2025'!A25</f>
        <v>45965</v>
      </c>
      <c r="B3724" s="12" t="str">
        <f>'[1]NOV 2025'!B25</f>
        <v>Frauen</v>
      </c>
      <c r="C3724" s="3">
        <f>'[1]NOV 2025'!C25</f>
        <v>0</v>
      </c>
      <c r="D3724" s="3">
        <f>'[1]NOV 2025'!D25</f>
        <v>0</v>
      </c>
      <c r="E3724" s="3">
        <f>'[1]NOV 2025'!E25</f>
        <v>0</v>
      </c>
      <c r="F3724" s="3">
        <f>'[1]NOV 2025'!F25</f>
        <v>0</v>
      </c>
      <c r="G3724" s="3">
        <f>'[1]NOV 2025'!G25</f>
        <v>0</v>
      </c>
      <c r="H3724" s="3">
        <f>'[1]NOV 2025'!H25</f>
        <v>3186</v>
      </c>
    </row>
    <row r="3725" spans="1:8" x14ac:dyDescent="0.2">
      <c r="A3725" s="23">
        <f>'[1]NOV 2025'!A26</f>
        <v>45965</v>
      </c>
      <c r="B3725" s="12" t="str">
        <f>'[1]NOV 2025'!B26</f>
        <v>LM</v>
      </c>
      <c r="C3725" s="3">
        <f>'[1]NOV 2025'!C26</f>
        <v>0</v>
      </c>
      <c r="D3725" s="3">
        <f>'[1]NOV 2025'!D26</f>
        <v>0</v>
      </c>
      <c r="E3725" s="3">
        <f>'[1]NOV 2025'!E26</f>
        <v>0</v>
      </c>
      <c r="F3725" s="3">
        <f>'[1]NOV 2025'!F26</f>
        <v>0</v>
      </c>
      <c r="G3725" s="3">
        <f>'[1]NOV 2025'!G26</f>
        <v>0</v>
      </c>
      <c r="H3725" s="3">
        <f>'[1]NOV 2025'!H26</f>
        <v>239.97</v>
      </c>
    </row>
    <row r="3726" spans="1:8" x14ac:dyDescent="0.2">
      <c r="A3726" s="23">
        <f>'[1]NOV 2025'!A30</f>
        <v>45966</v>
      </c>
      <c r="B3726" s="12" t="str">
        <f>'[1]NOV 2025'!B30</f>
        <v>LM</v>
      </c>
      <c r="C3726" s="3">
        <f>'[1]NOV 2025'!C30</f>
        <v>0</v>
      </c>
      <c r="D3726" s="3">
        <f>'[1]NOV 2025'!D30</f>
        <v>0</v>
      </c>
      <c r="E3726" s="3">
        <f>'[1]NOV 2025'!E30</f>
        <v>0</v>
      </c>
      <c r="F3726" s="3">
        <f>'[1]NOV 2025'!F30</f>
        <v>0</v>
      </c>
      <c r="G3726" s="3">
        <f>'[1]NOV 2025'!G30</f>
        <v>0</v>
      </c>
      <c r="H3726" s="3">
        <f>'[1]NOV 2025'!H30</f>
        <v>5945.77</v>
      </c>
    </row>
    <row r="3727" spans="1:8" x14ac:dyDescent="0.2">
      <c r="A3727" s="23">
        <f>'[1]NOV 2025'!A44</f>
        <v>45968</v>
      </c>
      <c r="B3727" s="12" t="str">
        <f>'[1]NOV 2025'!B44</f>
        <v>Andere</v>
      </c>
      <c r="C3727" s="3">
        <f>'[1]NOV 2025'!C44</f>
        <v>0</v>
      </c>
      <c r="D3727" s="3">
        <f>'[1]NOV 2025'!D44</f>
        <v>0</v>
      </c>
      <c r="E3727" s="3">
        <f>'[1]NOV 2025'!E44</f>
        <v>0</v>
      </c>
      <c r="F3727" s="3">
        <f>'[1]NOV 2025'!F44</f>
        <v>0</v>
      </c>
      <c r="G3727" s="3">
        <f>'[1]NOV 2025'!G44</f>
        <v>0</v>
      </c>
      <c r="H3727" s="3">
        <f>'[1]NOV 2025'!H44</f>
        <v>2120</v>
      </c>
    </row>
    <row r="3728" spans="1:8" x14ac:dyDescent="0.2">
      <c r="A3728" s="23">
        <f>'[1]NOV 2025'!A46</f>
        <v>45968</v>
      </c>
      <c r="B3728" s="12" t="str">
        <f>'[1]NOV 2025'!B46</f>
        <v>Party</v>
      </c>
      <c r="C3728" s="3">
        <f>'[1]NOV 2025'!C46</f>
        <v>0</v>
      </c>
      <c r="D3728" s="3">
        <f>'[1]NOV 2025'!D46</f>
        <v>0</v>
      </c>
      <c r="E3728" s="3">
        <f>'[1]NOV 2025'!E46</f>
        <v>0</v>
      </c>
      <c r="F3728" s="3">
        <f>'[1]NOV 2025'!F46</f>
        <v>0</v>
      </c>
      <c r="G3728" s="3">
        <f>'[1]NOV 2025'!G46</f>
        <v>0</v>
      </c>
      <c r="H3728" s="3">
        <f>'[1]NOV 2025'!H46</f>
        <v>48.779999999999745</v>
      </c>
    </row>
    <row r="3729" spans="1:8" x14ac:dyDescent="0.2">
      <c r="A3729" s="20">
        <f>'[1]NOV 2025'!A51</f>
        <v>45969</v>
      </c>
      <c r="B3729" s="12" t="str">
        <f>'[1]NOV 2025'!B51</f>
        <v>LM</v>
      </c>
      <c r="C3729" s="3">
        <f>'[1]NOV 2025'!C51</f>
        <v>0</v>
      </c>
      <c r="D3729" s="3">
        <f>'[1]NOV 2025'!D51</f>
        <v>0</v>
      </c>
      <c r="E3729" s="3">
        <f>'[1]NOV 2025'!E51</f>
        <v>0</v>
      </c>
      <c r="F3729" s="3">
        <f>'[1]NOV 2025'!F51</f>
        <v>0</v>
      </c>
      <c r="G3729" s="3">
        <f>'[1]NOV 2025'!G51</f>
        <v>0</v>
      </c>
      <c r="H3729" s="3">
        <f>'[1]NOV 2025'!H51</f>
        <v>1220.21</v>
      </c>
    </row>
    <row r="3730" spans="1:8" x14ac:dyDescent="0.2">
      <c r="A3730" s="23">
        <f>'[1]NOV 2025'!A52</f>
        <v>45969</v>
      </c>
      <c r="B3730" s="12" t="str">
        <f>'[1]NOV 2025'!B52</f>
        <v>CarMaint</v>
      </c>
      <c r="C3730" s="3">
        <f>'[1]NOV 2025'!C52</f>
        <v>0</v>
      </c>
      <c r="D3730" s="3">
        <f>'[1]NOV 2025'!D52</f>
        <v>0</v>
      </c>
      <c r="E3730" s="3">
        <f>'[1]NOV 2025'!E52</f>
        <v>0</v>
      </c>
      <c r="F3730" s="3">
        <f>'[1]NOV 2025'!F52</f>
        <v>0</v>
      </c>
      <c r="G3730" s="3">
        <f>'[1]NOV 2025'!G52</f>
        <v>0</v>
      </c>
      <c r="H3730" s="3">
        <f>'[1]NOV 2025'!H52</f>
        <v>1623</v>
      </c>
    </row>
    <row r="3731" spans="1:8" x14ac:dyDescent="0.2">
      <c r="A3731" s="23">
        <f>'[1]NOV 2025'!A58</f>
        <v>45970</v>
      </c>
      <c r="B3731" s="12" t="str">
        <f>'[1]NOV 2025'!B58</f>
        <v>Andere</v>
      </c>
      <c r="C3731" s="3">
        <f>'[1]NOV 2025'!C58</f>
        <v>0</v>
      </c>
      <c r="D3731" s="3">
        <f>'[1]NOV 2025'!D58</f>
        <v>0</v>
      </c>
      <c r="E3731" s="3">
        <f>'[1]NOV 2025'!E58</f>
        <v>0</v>
      </c>
      <c r="F3731" s="3">
        <f>'[1]NOV 2025'!F58</f>
        <v>0</v>
      </c>
      <c r="G3731" s="3">
        <f>'[1]NOV 2025'!G58</f>
        <v>0</v>
      </c>
      <c r="H3731" s="3">
        <f>'[1]NOV 2025'!H58</f>
        <v>249</v>
      </c>
    </row>
    <row r="3732" spans="1:8" x14ac:dyDescent="0.2">
      <c r="A3732" s="20">
        <f>'[1]NOV 2025'!A59</f>
        <v>45970</v>
      </c>
      <c r="B3732" s="12" t="str">
        <f>'[1]NOV 2025'!B59</f>
        <v>Fuel</v>
      </c>
      <c r="C3732" s="3">
        <f>'[1]NOV 2025'!C59</f>
        <v>0</v>
      </c>
      <c r="D3732" s="3">
        <f>'[1]NOV 2025'!D59</f>
        <v>0</v>
      </c>
      <c r="E3732" s="3">
        <f>'[1]NOV 2025'!E59</f>
        <v>0</v>
      </c>
      <c r="F3732" s="3">
        <f>'[1]NOV 2025'!F59</f>
        <v>0</v>
      </c>
      <c r="G3732" s="3">
        <f>'[1]NOV 2025'!G59</f>
        <v>0</v>
      </c>
      <c r="H3732" s="3">
        <f>'[1]NOV 2025'!H59</f>
        <v>2095</v>
      </c>
    </row>
    <row r="3733" spans="1:8" x14ac:dyDescent="0.2">
      <c r="A3733" s="23">
        <f>'[1]NOV 2025'!A60</f>
        <v>45970</v>
      </c>
      <c r="B3733" s="12" t="str">
        <f>'[1]NOV 2025'!B60</f>
        <v>LM</v>
      </c>
      <c r="C3733" s="3">
        <f>'[1]NOV 2025'!C60</f>
        <v>0</v>
      </c>
      <c r="D3733" s="3">
        <f>'[1]NOV 2025'!D60</f>
        <v>0</v>
      </c>
      <c r="E3733" s="3">
        <f>'[1]NOV 2025'!E60</f>
        <v>0</v>
      </c>
      <c r="F3733" s="3">
        <f>'[1]NOV 2025'!F60</f>
        <v>0</v>
      </c>
      <c r="G3733" s="3">
        <f>'[1]NOV 2025'!G60</f>
        <v>0</v>
      </c>
      <c r="H3733" s="3">
        <f>'[1]NOV 2025'!H60</f>
        <v>309</v>
      </c>
    </row>
    <row r="3734" spans="1:8" x14ac:dyDescent="0.2">
      <c r="A3734" s="20">
        <f>'[1]NOV 2025'!A65</f>
        <v>45971</v>
      </c>
      <c r="B3734" s="12" t="str">
        <f>'[1]NOV 2025'!B65</f>
        <v>Andere</v>
      </c>
      <c r="C3734" s="3">
        <f>'[1]NOV 2025'!C65</f>
        <v>0</v>
      </c>
      <c r="D3734" s="3">
        <f>'[1]NOV 2025'!D65</f>
        <v>0</v>
      </c>
      <c r="E3734" s="3">
        <f>'[1]NOV 2025'!E65</f>
        <v>0</v>
      </c>
      <c r="F3734" s="3">
        <f>'[1]NOV 2025'!F65</f>
        <v>0</v>
      </c>
      <c r="G3734" s="3">
        <f>'[1]NOV 2025'!G65</f>
        <v>0</v>
      </c>
      <c r="H3734" s="3">
        <f>'[1]NOV 2025'!H65</f>
        <v>1038</v>
      </c>
    </row>
    <row r="3735" spans="1:8" x14ac:dyDescent="0.2">
      <c r="A3735" s="23">
        <f>'[1]NOV 2025'!A66</f>
        <v>45971</v>
      </c>
      <c r="B3735" s="12" t="str">
        <f>'[1]NOV 2025'!B66</f>
        <v>Andere</v>
      </c>
      <c r="C3735" s="3">
        <f>'[1]NOV 2025'!C66</f>
        <v>0</v>
      </c>
      <c r="D3735" s="3">
        <f>'[1]NOV 2025'!D66</f>
        <v>0</v>
      </c>
      <c r="E3735" s="3">
        <f>'[1]NOV 2025'!E66</f>
        <v>0</v>
      </c>
      <c r="F3735" s="3">
        <f>'[1]NOV 2025'!F66</f>
        <v>0</v>
      </c>
      <c r="G3735" s="3">
        <f>'[1]NOV 2025'!G66</f>
        <v>0</v>
      </c>
      <c r="H3735" s="3">
        <f>'[1]NOV 2025'!H66</f>
        <v>1000</v>
      </c>
    </row>
    <row r="3736" spans="1:8" x14ac:dyDescent="0.2">
      <c r="A3736" s="20">
        <f>'[1]NOV 2025'!A67</f>
        <v>45971</v>
      </c>
      <c r="B3736" s="12" t="str">
        <f>'[1]NOV 2025'!B67</f>
        <v>Refill</v>
      </c>
      <c r="C3736" s="3">
        <f>'[1]NOV 2025'!C67</f>
        <v>0</v>
      </c>
      <c r="D3736" s="3">
        <f>'[1]NOV 2025'!D67</f>
        <v>0</v>
      </c>
      <c r="E3736" s="3">
        <f>'[1]NOV 2025'!E67</f>
        <v>0</v>
      </c>
      <c r="F3736" s="3">
        <f>'[1]NOV 2025'!F67</f>
        <v>0</v>
      </c>
      <c r="G3736" s="3">
        <f>'[1]NOV 2025'!G67</f>
        <v>117810.52</v>
      </c>
      <c r="H3736" s="3">
        <f>'[1]NOV 2025'!H67</f>
        <v>0</v>
      </c>
    </row>
    <row r="3737" spans="1:8" x14ac:dyDescent="0.2">
      <c r="A3737" s="23">
        <f>'[1]NOV 2025'!A68</f>
        <v>45971</v>
      </c>
      <c r="B3737" s="12" t="str">
        <f>'[1]NOV 2025'!B68</f>
        <v>for me</v>
      </c>
      <c r="C3737" s="3">
        <f>'[1]NOV 2025'!C68</f>
        <v>0</v>
      </c>
      <c r="D3737" s="3">
        <f>'[1]NOV 2025'!D68</f>
        <v>0</v>
      </c>
      <c r="E3737" s="3">
        <f>'[1]NOV 2025'!E68</f>
        <v>0</v>
      </c>
      <c r="F3737" s="3">
        <f>'[1]NOV 2025'!F68</f>
        <v>0</v>
      </c>
      <c r="G3737" s="3">
        <f>'[1]NOV 2025'!G68</f>
        <v>0</v>
      </c>
      <c r="H3737" s="3">
        <f>'[1]NOV 2025'!H68</f>
        <v>3920</v>
      </c>
    </row>
    <row r="3738" spans="1:8" x14ac:dyDescent="0.2">
      <c r="A3738" s="23">
        <f>'[1]NOV 2025'!A72</f>
        <v>45972</v>
      </c>
      <c r="B3738" s="12" t="str">
        <f>'[1]NOV 2025'!B72</f>
        <v>CarMaint</v>
      </c>
      <c r="C3738" s="3">
        <f>'[1]NOV 2025'!C72</f>
        <v>0</v>
      </c>
      <c r="D3738" s="3">
        <f>'[1]NOV 2025'!D72</f>
        <v>0</v>
      </c>
      <c r="E3738" s="3">
        <f>'[1]NOV 2025'!E72</f>
        <v>0</v>
      </c>
      <c r="F3738" s="3">
        <f>'[1]NOV 2025'!F72</f>
        <v>0</v>
      </c>
      <c r="G3738" s="3">
        <f>'[1]NOV 2025'!G72</f>
        <v>0</v>
      </c>
      <c r="H3738" s="3">
        <f>'[1]NOV 2025'!H72</f>
        <v>100</v>
      </c>
    </row>
    <row r="3739" spans="1:8" x14ac:dyDescent="0.2">
      <c r="A3739" s="20">
        <f>'[1]NOV 2025'!A73</f>
        <v>45972</v>
      </c>
      <c r="B3739" s="12" t="str">
        <f>'[1]NOV 2025'!B73</f>
        <v>none</v>
      </c>
      <c r="C3739" s="3">
        <f>'[1]NOV 2025'!C73</f>
        <v>0</v>
      </c>
      <c r="D3739" s="3">
        <f>'[1]NOV 2025'!D73</f>
        <v>0</v>
      </c>
      <c r="E3739" s="3">
        <f>'[1]NOV 2025'!E73</f>
        <v>0</v>
      </c>
      <c r="F3739" s="3">
        <f>'[1]NOV 2025'!F73</f>
        <v>0</v>
      </c>
      <c r="G3739" s="3">
        <f>'[1]NOV 2025'!G73</f>
        <v>10000</v>
      </c>
      <c r="H3739" s="3">
        <f>'[1]NOV 2025'!H73</f>
        <v>0</v>
      </c>
    </row>
    <row r="3740" spans="1:8" x14ac:dyDescent="0.2">
      <c r="A3740" s="23">
        <f>'[1]NOV 2025'!A74</f>
        <v>45972</v>
      </c>
      <c r="B3740" s="12" t="str">
        <f>'[1]NOV 2025'!B74</f>
        <v>LM</v>
      </c>
      <c r="C3740" s="3">
        <f>'[1]NOV 2025'!C74</f>
        <v>0</v>
      </c>
      <c r="D3740" s="3">
        <f>'[1]NOV 2025'!D74</f>
        <v>0</v>
      </c>
      <c r="E3740" s="3">
        <f>'[1]NOV 2025'!E74</f>
        <v>0</v>
      </c>
      <c r="F3740" s="3">
        <f>'[1]NOV 2025'!F74</f>
        <v>0</v>
      </c>
      <c r="G3740" s="3">
        <f>'[1]NOV 2025'!G74</f>
        <v>0</v>
      </c>
      <c r="H3740" s="3">
        <f>'[1]NOV 2025'!H74</f>
        <v>639</v>
      </c>
    </row>
    <row r="3741" spans="1:8" x14ac:dyDescent="0.2">
      <c r="A3741" s="20">
        <f>'[1]NOV 2025'!A79</f>
        <v>45973</v>
      </c>
      <c r="B3741" s="12" t="str">
        <f>'[1]NOV 2025'!B79</f>
        <v>Frauen</v>
      </c>
      <c r="C3741" s="3">
        <f>'[1]NOV 2025'!C79</f>
        <v>0</v>
      </c>
      <c r="D3741" s="3">
        <f>'[1]NOV 2025'!D79</f>
        <v>0</v>
      </c>
      <c r="E3741" s="3">
        <f>'[1]NOV 2025'!E79</f>
        <v>0</v>
      </c>
      <c r="F3741" s="3">
        <f>'[1]NOV 2025'!F79</f>
        <v>0</v>
      </c>
      <c r="G3741" s="3">
        <f>'[1]NOV 2025'!G79</f>
        <v>0</v>
      </c>
      <c r="H3741" s="3">
        <f>'[1]NOV 2025'!H79</f>
        <v>1000</v>
      </c>
    </row>
    <row r="3742" spans="1:8" x14ac:dyDescent="0.2">
      <c r="A3742" s="23">
        <f>'[1]NOV 2025'!A80</f>
        <v>45973</v>
      </c>
      <c r="B3742" s="12" t="str">
        <f>'[1]NOV 2025'!B80</f>
        <v>CarMaint</v>
      </c>
      <c r="C3742" s="3">
        <f>'[1]NOV 2025'!C80</f>
        <v>0</v>
      </c>
      <c r="D3742" s="3">
        <f>'[1]NOV 2025'!D80</f>
        <v>0</v>
      </c>
      <c r="E3742" s="3">
        <f>'[1]NOV 2025'!E80</f>
        <v>0</v>
      </c>
      <c r="F3742" s="3">
        <f>'[1]NOV 2025'!F80</f>
        <v>0</v>
      </c>
      <c r="G3742" s="3">
        <f>'[1]NOV 2025'!G80</f>
        <v>0</v>
      </c>
      <c r="H3742" s="3">
        <f>'[1]NOV 2025'!H80</f>
        <v>200</v>
      </c>
    </row>
    <row r="3743" spans="1:8" x14ac:dyDescent="0.2">
      <c r="A3743" s="23">
        <f>'[1]NOV 2025'!A86</f>
        <v>45974</v>
      </c>
      <c r="B3743" s="12" t="str">
        <f>'[1]NOV 2025'!B86</f>
        <v>LM</v>
      </c>
      <c r="C3743" s="3">
        <f>'[1]NOV 2025'!C86</f>
        <v>0</v>
      </c>
      <c r="D3743" s="3">
        <f>'[1]NOV 2025'!D86</f>
        <v>0</v>
      </c>
      <c r="E3743" s="3">
        <f>'[1]NOV 2025'!E86</f>
        <v>0</v>
      </c>
      <c r="F3743" s="3">
        <f>'[1]NOV 2025'!F86</f>
        <v>0</v>
      </c>
      <c r="G3743" s="3">
        <f>'[1]NOV 2025'!G86</f>
        <v>0</v>
      </c>
      <c r="H3743" s="3">
        <f>'[1]NOV 2025'!H86</f>
        <v>249.99</v>
      </c>
    </row>
    <row r="3744" spans="1:8" x14ac:dyDescent="0.2">
      <c r="A3744" s="20">
        <f>'[1]NOV 2025'!A87</f>
        <v>45974</v>
      </c>
      <c r="B3744" s="12" t="str">
        <f>'[1]NOV 2025'!B87</f>
        <v>for me</v>
      </c>
      <c r="C3744" s="3">
        <f>'[1]NOV 2025'!C87</f>
        <v>0</v>
      </c>
      <c r="D3744" s="3">
        <f>'[1]NOV 2025'!D87</f>
        <v>0</v>
      </c>
      <c r="E3744" s="3">
        <f>'[1]NOV 2025'!E87</f>
        <v>0</v>
      </c>
      <c r="F3744" s="3">
        <f>'[1]NOV 2025'!F87</f>
        <v>0</v>
      </c>
      <c r="G3744" s="3">
        <f>'[1]NOV 2025'!G87</f>
        <v>0</v>
      </c>
      <c r="H3744" s="3">
        <f>'[1]NOV 2025'!H87</f>
        <v>5000</v>
      </c>
    </row>
    <row r="3745" spans="1:8" x14ac:dyDescent="0.2">
      <c r="A3745" s="20">
        <f>'[1]NOV 2025'!A93</f>
        <v>45975</v>
      </c>
      <c r="B3745" s="12" t="str">
        <f>'[1]NOV 2025'!B93</f>
        <v>Frauen</v>
      </c>
      <c r="C3745" s="3">
        <f>'[1]NOV 2025'!C93</f>
        <v>0</v>
      </c>
      <c r="D3745" s="3">
        <f>'[1]NOV 2025'!D93</f>
        <v>0</v>
      </c>
      <c r="E3745" s="3">
        <f>'[1]NOV 2025'!E93</f>
        <v>0</v>
      </c>
      <c r="F3745" s="3">
        <f>'[1]NOV 2025'!F93</f>
        <v>0</v>
      </c>
      <c r="G3745" s="3">
        <f>'[1]NOV 2025'!G93</f>
        <v>0</v>
      </c>
      <c r="H3745" s="3">
        <f>'[1]NOV 2025'!H93</f>
        <v>239</v>
      </c>
    </row>
    <row r="3746" spans="1:8" x14ac:dyDescent="0.2">
      <c r="A3746" s="23">
        <f>'[1]NOV 2025'!A94</f>
        <v>45975</v>
      </c>
      <c r="B3746" s="12" t="str">
        <f>'[1]NOV 2025'!B94</f>
        <v>LM</v>
      </c>
      <c r="C3746" s="3">
        <f>'[1]NOV 2025'!C94</f>
        <v>0</v>
      </c>
      <c r="D3746" s="3">
        <f>'[1]NOV 2025'!D94</f>
        <v>0</v>
      </c>
      <c r="E3746" s="3">
        <f>'[1]NOV 2025'!E94</f>
        <v>0</v>
      </c>
      <c r="F3746" s="3">
        <f>'[1]NOV 2025'!F94</f>
        <v>0</v>
      </c>
      <c r="G3746" s="3">
        <f>'[1]NOV 2025'!G94</f>
        <v>0</v>
      </c>
      <c r="H3746" s="3">
        <f>'[1]NOV 2025'!H94</f>
        <v>1509.58</v>
      </c>
    </row>
    <row r="3747" spans="1:8" x14ac:dyDescent="0.2">
      <c r="A3747" s="20">
        <f>'[1]NOV 2025'!A95</f>
        <v>45975</v>
      </c>
      <c r="B3747" s="12" t="str">
        <f>'[1]NOV 2025'!B95</f>
        <v>Andere</v>
      </c>
      <c r="C3747" s="3">
        <f>'[1]NOV 2025'!C95</f>
        <v>0</v>
      </c>
      <c r="D3747" s="3">
        <f>'[1]NOV 2025'!D95</f>
        <v>0</v>
      </c>
      <c r="E3747" s="3">
        <f>'[1]NOV 2025'!E95</f>
        <v>0</v>
      </c>
      <c r="F3747" s="3">
        <f>'[1]NOV 2025'!F95</f>
        <v>0</v>
      </c>
      <c r="G3747" s="3">
        <f>'[1]NOV 2025'!G95</f>
        <v>0</v>
      </c>
      <c r="H3747" s="3">
        <f>'[1]NOV 2025'!H95</f>
        <v>265</v>
      </c>
    </row>
    <row r="3748" spans="1:8" x14ac:dyDescent="0.2">
      <c r="A3748" s="23">
        <f>'[1]NOV 2025'!A100</f>
        <v>45976</v>
      </c>
      <c r="B3748" s="12" t="str">
        <f>'[1]NOV 2025'!B100</f>
        <v>Andere</v>
      </c>
      <c r="C3748" s="3">
        <f>'[1]NOV 2025'!C100</f>
        <v>0</v>
      </c>
      <c r="D3748" s="3">
        <f>'[1]NOV 2025'!D100</f>
        <v>0</v>
      </c>
      <c r="E3748" s="3">
        <f>'[1]NOV 2025'!E100</f>
        <v>0</v>
      </c>
      <c r="F3748" s="3">
        <f>'[1]NOV 2025'!F100</f>
        <v>0</v>
      </c>
      <c r="G3748" s="3">
        <f>'[1]NOV 2025'!G100</f>
        <v>0</v>
      </c>
      <c r="H3748" s="3">
        <f>'[1]NOV 2025'!H100</f>
        <v>478</v>
      </c>
    </row>
    <row r="3749" spans="1:8" x14ac:dyDescent="0.2">
      <c r="A3749" s="20">
        <f>'[1]NOV 2025'!A101</f>
        <v>45976</v>
      </c>
      <c r="B3749" s="12" t="str">
        <f>'[1]NOV 2025'!B101</f>
        <v>Frauen</v>
      </c>
      <c r="C3749" s="3">
        <f>'[1]NOV 2025'!C101</f>
        <v>0</v>
      </c>
      <c r="D3749" s="3">
        <f>'[1]NOV 2025'!D101</f>
        <v>0</v>
      </c>
      <c r="E3749" s="3">
        <f>'[1]NOV 2025'!E101</f>
        <v>0</v>
      </c>
      <c r="F3749" s="3">
        <f>'[1]NOV 2025'!F101</f>
        <v>0</v>
      </c>
      <c r="G3749" s="3">
        <f>'[1]NOV 2025'!G101</f>
        <v>0</v>
      </c>
      <c r="H3749" s="3">
        <f>'[1]NOV 2025'!H101</f>
        <v>239</v>
      </c>
    </row>
    <row r="3750" spans="1:8" x14ac:dyDescent="0.2">
      <c r="A3750" s="23">
        <f>'[1]NOV 2025'!A102</f>
        <v>45976</v>
      </c>
      <c r="B3750" s="12" t="str">
        <f>'[1]NOV 2025'!B102</f>
        <v>LM</v>
      </c>
      <c r="C3750" s="3">
        <f>'[1]NOV 2025'!C102</f>
        <v>0</v>
      </c>
      <c r="D3750" s="3">
        <f>'[1]NOV 2025'!D102</f>
        <v>0</v>
      </c>
      <c r="E3750" s="3">
        <f>'[1]NOV 2025'!E102</f>
        <v>0</v>
      </c>
      <c r="F3750" s="3">
        <f>'[1]NOV 2025'!F102</f>
        <v>0</v>
      </c>
      <c r="G3750" s="3">
        <f>'[1]NOV 2025'!G102</f>
        <v>0</v>
      </c>
      <c r="H3750" s="3">
        <f>'[1]NOV 2025'!H102</f>
        <v>504.85</v>
      </c>
    </row>
    <row r="3751" spans="1:8" x14ac:dyDescent="0.2">
      <c r="A3751" s="20">
        <f>'[1]NOV 2025'!A103</f>
        <v>45976</v>
      </c>
      <c r="B3751" s="12" t="str">
        <f>'[1]NOV 2025'!B103</f>
        <v>Andere</v>
      </c>
      <c r="C3751" s="3">
        <f>'[1]NOV 2025'!C103</f>
        <v>0</v>
      </c>
      <c r="D3751" s="3">
        <f>'[1]NOV 2025'!D103</f>
        <v>0</v>
      </c>
      <c r="E3751" s="3">
        <f>'[1]NOV 2025'!E103</f>
        <v>0</v>
      </c>
      <c r="F3751" s="3">
        <f>'[1]NOV 2025'!F103</f>
        <v>0</v>
      </c>
      <c r="G3751" s="3">
        <f>'[1]NOV 2025'!G103</f>
        <v>0</v>
      </c>
      <c r="H3751" s="3">
        <f>'[1]NOV 2025'!H103</f>
        <v>485.99</v>
      </c>
    </row>
    <row r="3752" spans="1:8" x14ac:dyDescent="0.2">
      <c r="A3752" s="20">
        <f>'[1]NOV 2025'!A107</f>
        <v>45977</v>
      </c>
      <c r="B3752" s="12" t="str">
        <f>'[1]NOV 2025'!B107</f>
        <v>LM</v>
      </c>
      <c r="C3752" s="3">
        <f>'[1]NOV 2025'!C107</f>
        <v>0</v>
      </c>
      <c r="D3752" s="3">
        <f>'[1]NOV 2025'!D107</f>
        <v>0</v>
      </c>
      <c r="E3752" s="3">
        <f>'[1]NOV 2025'!E107</f>
        <v>0</v>
      </c>
      <c r="F3752" s="3">
        <f>'[1]NOV 2025'!F107</f>
        <v>0</v>
      </c>
      <c r="G3752" s="3">
        <f>'[1]NOV 2025'!G107</f>
        <v>0</v>
      </c>
      <c r="H3752" s="3">
        <f>'[1]NOV 2025'!H107</f>
        <v>10846.83</v>
      </c>
    </row>
    <row r="3753" spans="1:8" x14ac:dyDescent="0.2">
      <c r="A3753" s="23">
        <f>'[1]NOV 2025'!A108</f>
        <v>45977</v>
      </c>
      <c r="B3753" s="12" t="str">
        <f>'[1]NOV 2025'!B108</f>
        <v>CarMaint</v>
      </c>
      <c r="C3753" s="3">
        <f>'[1]NOV 2025'!C108</f>
        <v>0</v>
      </c>
      <c r="D3753" s="3">
        <f>'[1]NOV 2025'!D108</f>
        <v>0</v>
      </c>
      <c r="E3753" s="3">
        <f>'[1]NOV 2025'!E108</f>
        <v>0</v>
      </c>
      <c r="F3753" s="3">
        <f>'[1]NOV 2025'!F108</f>
        <v>0</v>
      </c>
      <c r="G3753" s="3">
        <f>'[1]NOV 2025'!G108</f>
        <v>0</v>
      </c>
      <c r="H3753" s="3">
        <f>'[1]NOV 2025'!H108</f>
        <v>517</v>
      </c>
    </row>
    <row r="3754" spans="1:8" x14ac:dyDescent="0.2">
      <c r="A3754" s="23">
        <f>'[1]NOV 2025'!A114</f>
        <v>45978</v>
      </c>
      <c r="B3754" s="12" t="str">
        <f>'[1]NOV 2025'!B114</f>
        <v>Refill</v>
      </c>
      <c r="C3754" s="3">
        <f>'[1]NOV 2025'!C114</f>
        <v>0</v>
      </c>
      <c r="D3754" s="3">
        <f>'[1]NOV 2025'!D114</f>
        <v>0</v>
      </c>
      <c r="E3754" s="3">
        <f>'[1]NOV 2025'!E114</f>
        <v>0</v>
      </c>
      <c r="F3754" s="3">
        <f>'[1]NOV 2025'!F114</f>
        <v>0</v>
      </c>
      <c r="G3754" s="3">
        <f>'[1]NOV 2025'!G114</f>
        <v>12984.89</v>
      </c>
      <c r="H3754" s="3">
        <f>'[1]NOV 2025'!H114</f>
        <v>0</v>
      </c>
    </row>
    <row r="3755" spans="1:8" x14ac:dyDescent="0.2">
      <c r="A3755" s="20">
        <f>'[1]NOV 2025'!A115</f>
        <v>45978</v>
      </c>
      <c r="B3755" s="12" t="str">
        <f>'[1]NOV 2025'!B115</f>
        <v>rent</v>
      </c>
      <c r="C3755" s="3">
        <f>'[1]NOV 2025'!C115</f>
        <v>0</v>
      </c>
      <c r="D3755" s="3">
        <f>'[1]NOV 2025'!D115</f>
        <v>0</v>
      </c>
      <c r="E3755" s="3">
        <f>'[1]NOV 2025'!E115</f>
        <v>0</v>
      </c>
      <c r="F3755" s="3">
        <f>'[1]NOV 2025'!F115</f>
        <v>0</v>
      </c>
      <c r="G3755" s="3">
        <f>'[1]NOV 2025'!G115</f>
        <v>0</v>
      </c>
      <c r="H3755" s="3">
        <f>'[1]NOV 2025'!H115</f>
        <v>62823</v>
      </c>
    </row>
    <row r="3756" spans="1:8" x14ac:dyDescent="0.2">
      <c r="A3756" s="20">
        <f>'[1]NOV 2025'!A121</f>
        <v>45979</v>
      </c>
      <c r="B3756" s="12" t="str">
        <f>'[1]NOV 2025'!B121</f>
        <v>Refill</v>
      </c>
      <c r="C3756" s="3">
        <f>'[1]NOV 2025'!C121</f>
        <v>0</v>
      </c>
      <c r="D3756" s="3">
        <f>'[1]NOV 2025'!D121</f>
        <v>0</v>
      </c>
      <c r="E3756" s="3">
        <f>'[1]NOV 2025'!E121</f>
        <v>0</v>
      </c>
      <c r="F3756" s="3">
        <f>'[1]NOV 2025'!F121</f>
        <v>0</v>
      </c>
      <c r="G3756" s="3">
        <f>'[1]NOV 2025'!G121</f>
        <v>33000</v>
      </c>
      <c r="H3756" s="3">
        <f>'[1]NOV 2025'!H121</f>
        <v>0</v>
      </c>
    </row>
    <row r="3757" spans="1:8" x14ac:dyDescent="0.2">
      <c r="A3757" s="23">
        <f>'[1]NOV 2025'!A128</f>
        <v>45980</v>
      </c>
      <c r="B3757" s="12" t="str">
        <f>'[1]NOV 2025'!B128</f>
        <v>Andere</v>
      </c>
      <c r="C3757" s="3">
        <f>'[1]NOV 2025'!C128</f>
        <v>0</v>
      </c>
      <c r="D3757" s="3">
        <f>'[1]NOV 2025'!D128</f>
        <v>0</v>
      </c>
      <c r="E3757" s="3">
        <f>'[1]NOV 2025'!E128</f>
        <v>0</v>
      </c>
      <c r="F3757" s="3">
        <f>'[1]NOV 2025'!F128</f>
        <v>0</v>
      </c>
      <c r="G3757" s="3">
        <f>'[1]NOV 2025'!G128</f>
        <v>0</v>
      </c>
      <c r="H3757" s="3">
        <f>'[1]NOV 2025'!H128</f>
        <v>3000</v>
      </c>
    </row>
    <row r="3758" spans="1:8" x14ac:dyDescent="0.2">
      <c r="A3758" s="20">
        <f>'[1]NOV 2025'!A129</f>
        <v>45980</v>
      </c>
      <c r="B3758" s="12" t="str">
        <f>'[1]NOV 2025'!B129</f>
        <v>Frauen</v>
      </c>
      <c r="C3758" s="3">
        <f>'[1]NOV 2025'!C129</f>
        <v>0</v>
      </c>
      <c r="D3758" s="3">
        <f>'[1]NOV 2025'!D129</f>
        <v>0</v>
      </c>
      <c r="E3758" s="3">
        <f>'[1]NOV 2025'!E129</f>
        <v>0</v>
      </c>
      <c r="F3758" s="3">
        <f>'[1]NOV 2025'!F129</f>
        <v>0</v>
      </c>
      <c r="G3758" s="3">
        <f>'[1]NOV 2025'!G129</f>
        <v>0</v>
      </c>
      <c r="H3758" s="3">
        <f>'[1]NOV 2025'!H129</f>
        <v>525</v>
      </c>
    </row>
    <row r="3759" spans="1:8" x14ac:dyDescent="0.2">
      <c r="A3759" s="23">
        <f>'[1]NOV 2025'!A142</f>
        <v>45982</v>
      </c>
      <c r="B3759" s="12" t="str">
        <f>'[1]NOV 2025'!B142</f>
        <v>Car</v>
      </c>
      <c r="C3759" s="3">
        <f>'[1]NOV 2025'!C142</f>
        <v>0</v>
      </c>
      <c r="D3759" s="3">
        <f>'[1]NOV 2025'!D142</f>
        <v>0</v>
      </c>
      <c r="E3759" s="3">
        <f>'[1]NOV 2025'!E142</f>
        <v>0</v>
      </c>
      <c r="F3759" s="3">
        <f>'[1]NOV 2025'!F142</f>
        <v>0</v>
      </c>
      <c r="G3759" s="3">
        <f>'[1]NOV 2025'!G142</f>
        <v>0</v>
      </c>
      <c r="H3759" s="3">
        <f>'[1]NOV 2025'!H142</f>
        <v>85000</v>
      </c>
    </row>
    <row r="3760" spans="1:8" x14ac:dyDescent="0.2">
      <c r="A3760" s="20">
        <f>'[1]NOV 2025'!A149</f>
        <v>45983</v>
      </c>
      <c r="B3760" s="12" t="str">
        <f>'[1]NOV 2025'!B149</f>
        <v>Frauen</v>
      </c>
      <c r="C3760" s="3">
        <f>'[1]NOV 2025'!C149</f>
        <v>0</v>
      </c>
      <c r="D3760" s="3">
        <f>'[1]NOV 2025'!D149</f>
        <v>0</v>
      </c>
      <c r="E3760" s="3">
        <f>'[1]NOV 2025'!E149</f>
        <v>0</v>
      </c>
      <c r="F3760" s="3">
        <f>'[1]NOV 2025'!F149</f>
        <v>0</v>
      </c>
      <c r="G3760" s="3">
        <f>'[1]NOV 2025'!G149</f>
        <v>0</v>
      </c>
      <c r="H3760" s="3">
        <f>'[1]NOV 2025'!H149</f>
        <v>1000</v>
      </c>
    </row>
    <row r="3761" spans="1:8" x14ac:dyDescent="0.2">
      <c r="A3761" s="23">
        <f>'[1]NOV 2025'!A156</f>
        <v>45984</v>
      </c>
      <c r="B3761" s="12" t="str">
        <f>'[1]NOV 2025'!B156</f>
        <v>CarMaint</v>
      </c>
      <c r="C3761" s="3">
        <f>'[1]NOV 2025'!C156</f>
        <v>0</v>
      </c>
      <c r="D3761" s="3">
        <f>'[1]NOV 2025'!D156</f>
        <v>0</v>
      </c>
      <c r="E3761" s="3">
        <f>'[1]NOV 2025'!E156</f>
        <v>0</v>
      </c>
      <c r="F3761" s="3">
        <f>'[1]NOV 2025'!F156</f>
        <v>0</v>
      </c>
      <c r="G3761" s="3">
        <f>'[1]NOV 2025'!G156</f>
        <v>0</v>
      </c>
      <c r="H3761" s="3">
        <f>'[1]NOV 2025'!H156</f>
        <v>1125</v>
      </c>
    </row>
    <row r="3762" spans="1:8" x14ac:dyDescent="0.2">
      <c r="A3762" s="20">
        <f>'[1]NOV 2025'!A157</f>
        <v>45984</v>
      </c>
      <c r="B3762" s="12" t="str">
        <f>'[1]NOV 2025'!B157</f>
        <v>Andere</v>
      </c>
      <c r="C3762" s="3">
        <f>'[1]NOV 2025'!C157</f>
        <v>0</v>
      </c>
      <c r="D3762" s="3">
        <f>'[1]NOV 2025'!D157</f>
        <v>0</v>
      </c>
      <c r="E3762" s="3">
        <f>'[1]NOV 2025'!E157</f>
        <v>0</v>
      </c>
      <c r="F3762" s="3">
        <f>'[1]NOV 2025'!F157</f>
        <v>0</v>
      </c>
      <c r="G3762" s="3">
        <f>'[1]NOV 2025'!G157</f>
        <v>0</v>
      </c>
      <c r="H3762" s="3">
        <f>'[1]NOV 2025'!H157</f>
        <v>564</v>
      </c>
    </row>
    <row r="3763" spans="1:8" x14ac:dyDescent="0.2">
      <c r="A3763" s="23">
        <f>'[1]NOV 2025'!A158</f>
        <v>45984</v>
      </c>
      <c r="B3763" s="12" t="str">
        <f>'[1]NOV 2025'!B158</f>
        <v>Frauen</v>
      </c>
      <c r="C3763" s="3">
        <f>'[1]NOV 2025'!C158</f>
        <v>0</v>
      </c>
      <c r="D3763" s="3">
        <f>'[1]NOV 2025'!D158</f>
        <v>0</v>
      </c>
      <c r="E3763" s="3">
        <f>'[1]NOV 2025'!E158</f>
        <v>0</v>
      </c>
      <c r="F3763" s="3">
        <f>'[1]NOV 2025'!F158</f>
        <v>0</v>
      </c>
      <c r="G3763" s="3">
        <f>'[1]NOV 2025'!G158</f>
        <v>0</v>
      </c>
      <c r="H3763" s="3">
        <f>'[1]NOV 2025'!H158</f>
        <v>3579</v>
      </c>
    </row>
    <row r="3764" spans="1:8" x14ac:dyDescent="0.2">
      <c r="A3764" s="20">
        <f>'[1]NOV 2025'!A163</f>
        <v>45985</v>
      </c>
      <c r="B3764" s="12" t="str">
        <f>'[1]NOV 2025'!B163</f>
        <v>Frauen</v>
      </c>
      <c r="C3764" s="3">
        <f>'[1]NOV 2025'!C163</f>
        <v>0</v>
      </c>
      <c r="D3764" s="3">
        <f>'[1]NOV 2025'!D163</f>
        <v>0</v>
      </c>
      <c r="E3764" s="3">
        <f>'[1]NOV 2025'!E163</f>
        <v>0</v>
      </c>
      <c r="F3764" s="3">
        <f>'[1]NOV 2025'!F163</f>
        <v>0</v>
      </c>
      <c r="G3764" s="3">
        <f>'[1]NOV 2025'!G163</f>
        <v>0</v>
      </c>
      <c r="H3764" s="3">
        <f>'[1]NOV 2025'!H163</f>
        <v>16595.400000000001</v>
      </c>
    </row>
    <row r="3765" spans="1:8" x14ac:dyDescent="0.2">
      <c r="A3765" s="23">
        <f>'[1]NOV 2025'!A170</f>
        <v>45986</v>
      </c>
      <c r="B3765" s="12" t="str">
        <f>'[1]NOV 2025'!B170</f>
        <v>Refill</v>
      </c>
      <c r="C3765" s="3">
        <f>'[1]NOV 2025'!C170</f>
        <v>0</v>
      </c>
      <c r="D3765" s="3">
        <f>'[1]NOV 2025'!D170</f>
        <v>0</v>
      </c>
      <c r="E3765" s="3">
        <f>'[1]NOV 2025'!E170</f>
        <v>0</v>
      </c>
      <c r="F3765" s="3">
        <f>'[1]NOV 2025'!F170</f>
        <v>0</v>
      </c>
      <c r="G3765" s="3">
        <f>'[1]NOV 2025'!G170</f>
        <v>2575.4</v>
      </c>
      <c r="H3765" s="3">
        <f>'[1]NOV 2025'!H170</f>
        <v>0</v>
      </c>
    </row>
    <row r="3766" spans="1:8" x14ac:dyDescent="0.2">
      <c r="A3766" s="20">
        <f>'[1]NOV 2025'!A171</f>
        <v>45986</v>
      </c>
      <c r="B3766" s="12" t="str">
        <f>'[1]NOV 2025'!B171</f>
        <v>Refill</v>
      </c>
      <c r="C3766" s="3">
        <f>'[1]NOV 2025'!C171</f>
        <v>0</v>
      </c>
      <c r="D3766" s="3">
        <f>'[1]NOV 2025'!D171</f>
        <v>0</v>
      </c>
      <c r="E3766" s="3">
        <f>'[1]NOV 2025'!E171</f>
        <v>0</v>
      </c>
      <c r="F3766" s="3">
        <f>'[1]NOV 2025'!F171</f>
        <v>0</v>
      </c>
      <c r="G3766" s="3">
        <f>'[1]NOV 2025'!G171</f>
        <v>106959.69</v>
      </c>
      <c r="H3766" s="3">
        <f>'[1]NOV 2025'!H171</f>
        <v>0</v>
      </c>
    </row>
    <row r="3767" spans="1:8" x14ac:dyDescent="0.2">
      <c r="A3767" s="23">
        <f>'[1]NOV 2025'!A172</f>
        <v>45986</v>
      </c>
      <c r="B3767" s="12" t="str">
        <f>'[1]NOV 2025'!B172</f>
        <v>CarMaint</v>
      </c>
      <c r="C3767" s="3">
        <f>'[1]NOV 2025'!C172</f>
        <v>0</v>
      </c>
      <c r="D3767" s="3">
        <f>'[1]NOV 2025'!D172</f>
        <v>0</v>
      </c>
      <c r="E3767" s="3">
        <f>'[1]NOV 2025'!E172</f>
        <v>0</v>
      </c>
      <c r="F3767" s="3">
        <f>'[1]NOV 2025'!F172</f>
        <v>0</v>
      </c>
      <c r="G3767" s="3">
        <f>'[1]NOV 2025'!G172</f>
        <v>0</v>
      </c>
      <c r="H3767" s="3">
        <f>'[1]NOV 2025'!H172</f>
        <v>1101</v>
      </c>
    </row>
    <row r="3768" spans="1:8" x14ac:dyDescent="0.2">
      <c r="A3768" s="23">
        <f>'[1]NOV 2025'!A184</f>
        <v>45988</v>
      </c>
      <c r="B3768" s="12" t="str">
        <f>'[1]NOV 2025'!B184</f>
        <v>Andere</v>
      </c>
      <c r="C3768" s="3">
        <f>'[1]NOV 2025'!C184</f>
        <v>0</v>
      </c>
      <c r="D3768" s="3">
        <f>'[1]NOV 2025'!D184</f>
        <v>0</v>
      </c>
      <c r="E3768" s="3">
        <f>'[1]NOV 2025'!E184</f>
        <v>0</v>
      </c>
      <c r="F3768" s="3">
        <f>'[1]NOV 2025'!F184</f>
        <v>0</v>
      </c>
      <c r="G3768" s="3">
        <f>'[1]NOV 2025'!G184</f>
        <v>0</v>
      </c>
      <c r="H3768" s="3">
        <f>'[1]NOV 2025'!H184</f>
        <v>195</v>
      </c>
    </row>
    <row r="3769" spans="1:8" x14ac:dyDescent="0.2">
      <c r="A3769" s="20">
        <f>'[1]NOV 2025'!A191</f>
        <v>45989</v>
      </c>
      <c r="B3769" s="12" t="str">
        <f>'[1]NOV 2025'!B191</f>
        <v>Andere</v>
      </c>
      <c r="C3769" s="3">
        <f>'[1]NOV 2025'!C191</f>
        <v>0</v>
      </c>
      <c r="D3769" s="3">
        <f>'[1]NOV 2025'!D191</f>
        <v>0</v>
      </c>
      <c r="E3769" s="3">
        <f>'[1]NOV 2025'!E191</f>
        <v>0</v>
      </c>
      <c r="F3769" s="3">
        <f>'[1]NOV 2025'!F191</f>
        <v>0</v>
      </c>
      <c r="G3769" s="3">
        <f>'[1]NOV 2025'!G191</f>
        <v>0</v>
      </c>
      <c r="H3769" s="3">
        <f>'[1]NOV 2025'!H191</f>
        <v>571</v>
      </c>
    </row>
    <row r="3770" spans="1:8" x14ac:dyDescent="0.2">
      <c r="A3770" s="23">
        <f>'[1]NOV 2025'!A192</f>
        <v>45989</v>
      </c>
      <c r="B3770" s="12" t="str">
        <f>'[1]NOV 2025'!B192</f>
        <v>Frauen</v>
      </c>
      <c r="C3770" s="3">
        <f>'[1]NOV 2025'!C192</f>
        <v>0</v>
      </c>
      <c r="D3770" s="3">
        <f>'[1]NOV 2025'!D192</f>
        <v>0</v>
      </c>
      <c r="E3770" s="3">
        <f>'[1]NOV 2025'!E192</f>
        <v>0</v>
      </c>
      <c r="F3770" s="3">
        <f>'[1]NOV 2025'!F192</f>
        <v>0</v>
      </c>
      <c r="G3770" s="3">
        <f>'[1]NOV 2025'!G192</f>
        <v>0</v>
      </c>
      <c r="H3770" s="3">
        <f>'[1]NOV 2025'!H192</f>
        <v>500</v>
      </c>
    </row>
    <row r="3771" spans="1:8" x14ac:dyDescent="0.2">
      <c r="A3771" s="20">
        <f>'[1]NOV 2025'!A193</f>
        <v>45989</v>
      </c>
      <c r="B3771" s="12" t="str">
        <f>'[1]NOV 2025'!B193</f>
        <v>Andere</v>
      </c>
      <c r="C3771" s="3">
        <f>'[1]NOV 2025'!C193</f>
        <v>0</v>
      </c>
      <c r="D3771" s="3">
        <f>'[1]NOV 2025'!D193</f>
        <v>0</v>
      </c>
      <c r="E3771" s="3">
        <f>'[1]NOV 2025'!E193</f>
        <v>0</v>
      </c>
      <c r="F3771" s="3">
        <f>'[1]NOV 2025'!F193</f>
        <v>0</v>
      </c>
      <c r="G3771" s="3">
        <f>'[1]NOV 2025'!G193</f>
        <v>0</v>
      </c>
      <c r="H3771" s="3">
        <f>'[1]NOV 2025'!H193</f>
        <v>3000</v>
      </c>
    </row>
    <row r="3772" spans="1:8" x14ac:dyDescent="0.2">
      <c r="A3772" s="23">
        <f>'[1]NOV 2025'!A198</f>
        <v>45990</v>
      </c>
      <c r="B3772" s="12" t="str">
        <f>'[1]NOV 2025'!B198</f>
        <v>LM</v>
      </c>
      <c r="C3772" s="3">
        <f>'[1]NOV 2025'!C198</f>
        <v>0</v>
      </c>
      <c r="D3772" s="3">
        <f>'[1]NOV 2025'!D198</f>
        <v>0</v>
      </c>
      <c r="E3772" s="3">
        <f>'[1]NOV 2025'!E198</f>
        <v>0</v>
      </c>
      <c r="F3772" s="3">
        <f>'[1]NOV 2025'!F198</f>
        <v>0</v>
      </c>
      <c r="G3772" s="3">
        <f>'[1]NOV 2025'!G198</f>
        <v>0</v>
      </c>
      <c r="H3772" s="3">
        <f>'[1]NOV 2025'!H198</f>
        <v>5282.05</v>
      </c>
    </row>
    <row r="3773" spans="1:8" x14ac:dyDescent="0.2">
      <c r="A3773" s="20">
        <f>'[1]NOV 2025'!A199</f>
        <v>45990</v>
      </c>
      <c r="B3773" s="12" t="str">
        <f>'[1]NOV 2025'!B199</f>
        <v>Andere</v>
      </c>
      <c r="C3773" s="3">
        <f>'[1]NOV 2025'!C199</f>
        <v>0</v>
      </c>
      <c r="D3773" s="3">
        <f>'[1]NOV 2025'!D199</f>
        <v>0</v>
      </c>
      <c r="E3773" s="3">
        <f>'[1]NOV 2025'!E199</f>
        <v>0</v>
      </c>
      <c r="F3773" s="3">
        <f>'[1]NOV 2025'!F199</f>
        <v>0</v>
      </c>
      <c r="G3773" s="3">
        <f>'[1]NOV 2025'!G199</f>
        <v>0</v>
      </c>
      <c r="H3773" s="3">
        <f>'[1]NOV 2025'!H199</f>
        <v>215</v>
      </c>
    </row>
    <row r="3774" spans="1:8" x14ac:dyDescent="0.2">
      <c r="A3774" s="20">
        <f>'[1]DEC 2025'!A9</f>
        <v>45993</v>
      </c>
      <c r="B3774" s="12" t="str">
        <f>'[1]DEC 2025'!B9</f>
        <v>CarMaint</v>
      </c>
      <c r="C3774" s="3">
        <f>'[1]DEC 2025'!C9</f>
        <v>0</v>
      </c>
      <c r="D3774" s="3">
        <f>'[1]DEC 2025'!D9</f>
        <v>0</v>
      </c>
      <c r="E3774" s="3">
        <f>'[1]DEC 2025'!E9</f>
        <v>0</v>
      </c>
      <c r="F3774" s="3">
        <f>'[1]DEC 2025'!F9</f>
        <v>0</v>
      </c>
      <c r="G3774" s="3">
        <f>'[1]DEC 2025'!G9</f>
        <v>0</v>
      </c>
      <c r="H3774" s="3">
        <f>'[1]DEC 2025'!H9</f>
        <v>704</v>
      </c>
    </row>
    <row r="3775" spans="1:8" x14ac:dyDescent="0.2">
      <c r="A3775" s="20">
        <f>'[1]DEC 2025'!A23</f>
        <v>45995</v>
      </c>
      <c r="B3775" s="12" t="str">
        <f>'[1]DEC 2025'!B23</f>
        <v>Frauen</v>
      </c>
      <c r="C3775" s="3">
        <f>'[1]DEC 2025'!C23</f>
        <v>0</v>
      </c>
      <c r="D3775" s="3">
        <f>'[1]DEC 2025'!D23</f>
        <v>0</v>
      </c>
      <c r="E3775" s="3">
        <f>'[1]DEC 2025'!E23</f>
        <v>0</v>
      </c>
      <c r="F3775" s="3">
        <f>'[1]DEC 2025'!F23</f>
        <v>0</v>
      </c>
      <c r="G3775" s="3">
        <f>'[1]DEC 2025'!G23</f>
        <v>0</v>
      </c>
      <c r="H3775" s="3">
        <f>'[1]DEC 2025'!H23</f>
        <v>2728.83</v>
      </c>
    </row>
    <row r="3776" spans="1:8" x14ac:dyDescent="0.2">
      <c r="A3776" s="23">
        <f>'[1]DEC 2025'!A24</f>
        <v>45995</v>
      </c>
      <c r="B3776" s="12" t="str">
        <f>'[1]DEC 2025'!B24</f>
        <v>Education</v>
      </c>
      <c r="C3776" s="3">
        <f>'[1]DEC 2025'!C24</f>
        <v>0</v>
      </c>
      <c r="D3776" s="3">
        <f>'[1]DEC 2025'!D24</f>
        <v>0</v>
      </c>
      <c r="E3776" s="3">
        <f>'[1]DEC 2025'!E24</f>
        <v>0</v>
      </c>
      <c r="F3776" s="3">
        <f>'[1]DEC 2025'!F24</f>
        <v>0</v>
      </c>
      <c r="G3776" s="3">
        <f>'[1]DEC 2025'!G24</f>
        <v>0</v>
      </c>
      <c r="H3776" s="3">
        <f>'[1]DEC 2025'!H24</f>
        <v>2500</v>
      </c>
    </row>
    <row r="3777" spans="1:8" x14ac:dyDescent="0.2">
      <c r="A3777" s="23">
        <f>'[1]DEC 2025'!A30</f>
        <v>45996</v>
      </c>
      <c r="B3777" s="12" t="str">
        <f>'[1]DEC 2025'!B30</f>
        <v>LM</v>
      </c>
      <c r="C3777" s="3">
        <f>'[1]DEC 2025'!C30</f>
        <v>0</v>
      </c>
      <c r="D3777" s="3">
        <f>'[1]DEC 2025'!D30</f>
        <v>0</v>
      </c>
      <c r="E3777" s="3">
        <f>'[1]DEC 2025'!E30</f>
        <v>0</v>
      </c>
      <c r="F3777" s="3">
        <f>'[1]DEC 2025'!F30</f>
        <v>0</v>
      </c>
      <c r="G3777" s="3">
        <f>'[1]DEC 2025'!G30</f>
        <v>0</v>
      </c>
      <c r="H3777" s="3">
        <f>'[1]DEC 2025'!H30</f>
        <v>2599.9899999999998</v>
      </c>
    </row>
    <row r="3778" spans="1:8" x14ac:dyDescent="0.2">
      <c r="A3778" s="20">
        <f>'[1]DEC 2025'!A31</f>
        <v>45996</v>
      </c>
      <c r="B3778" s="12" t="str">
        <f>'[1]DEC 2025'!B31</f>
        <v>Frauen</v>
      </c>
      <c r="C3778" s="3">
        <f>'[1]DEC 2025'!C31</f>
        <v>0</v>
      </c>
      <c r="D3778" s="3">
        <f>'[1]DEC 2025'!D31</f>
        <v>0</v>
      </c>
      <c r="E3778" s="3">
        <f>'[1]DEC 2025'!E31</f>
        <v>0</v>
      </c>
      <c r="F3778" s="3">
        <f>'[1]DEC 2025'!F31</f>
        <v>0</v>
      </c>
      <c r="G3778" s="3">
        <f>'[1]DEC 2025'!G31</f>
        <v>0</v>
      </c>
      <c r="H3778" s="3">
        <f>'[1]DEC 2025'!H31</f>
        <v>3415</v>
      </c>
    </row>
    <row r="3779" spans="1:8" x14ac:dyDescent="0.2">
      <c r="A3779" s="23">
        <f>'[1]DEC 2025'!A32</f>
        <v>45996</v>
      </c>
      <c r="B3779" s="12" t="str">
        <f>'[1]DEC 2025'!B32</f>
        <v>CarMaint</v>
      </c>
      <c r="C3779" s="3">
        <f>'[1]DEC 2025'!C32</f>
        <v>0</v>
      </c>
      <c r="D3779" s="3">
        <f>'[1]DEC 2025'!D32</f>
        <v>0</v>
      </c>
      <c r="E3779" s="3">
        <f>'[1]DEC 2025'!E32</f>
        <v>0</v>
      </c>
      <c r="F3779" s="3">
        <f>'[1]DEC 2025'!F32</f>
        <v>0</v>
      </c>
      <c r="G3779" s="3">
        <f>'[1]DEC 2025'!G32</f>
        <v>0</v>
      </c>
      <c r="H3779" s="3">
        <f>'[1]DEC 2025'!H32</f>
        <v>5000</v>
      </c>
    </row>
    <row r="3780" spans="1:8" x14ac:dyDescent="0.2">
      <c r="A3780" s="20">
        <f>'[1]DEC 2025'!A37</f>
        <v>45997</v>
      </c>
      <c r="B3780" s="12" t="str">
        <f>'[1]DEC 2025'!B37</f>
        <v>LM</v>
      </c>
      <c r="C3780" s="3">
        <f>'[1]DEC 2025'!C37</f>
        <v>0</v>
      </c>
      <c r="D3780" s="3">
        <f>'[1]DEC 2025'!D37</f>
        <v>0</v>
      </c>
      <c r="E3780" s="3">
        <f>'[1]DEC 2025'!E37</f>
        <v>0</v>
      </c>
      <c r="F3780" s="3">
        <f>'[1]DEC 2025'!F37</f>
        <v>0</v>
      </c>
      <c r="G3780" s="3">
        <f>'[1]DEC 2025'!G37</f>
        <v>0</v>
      </c>
      <c r="H3780" s="3">
        <f>'[1]DEC 2025'!H37</f>
        <v>1281.69</v>
      </c>
    </row>
    <row r="3781" spans="1:8" x14ac:dyDescent="0.2">
      <c r="A3781" s="23">
        <f>'[1]DEC 2025'!A44</f>
        <v>45998</v>
      </c>
      <c r="B3781" s="12" t="str">
        <f>'[1]DEC 2025'!B44</f>
        <v>Andere</v>
      </c>
      <c r="C3781" s="3">
        <f>'[1]DEC 2025'!C44</f>
        <v>0</v>
      </c>
      <c r="D3781" s="3">
        <f>'[1]DEC 2025'!D44</f>
        <v>0</v>
      </c>
      <c r="E3781" s="3">
        <f>'[1]DEC 2025'!E44</f>
        <v>0</v>
      </c>
      <c r="F3781" s="3">
        <f>'[1]DEC 2025'!F44</f>
        <v>0</v>
      </c>
      <c r="G3781" s="3">
        <f>'[1]DEC 2025'!G44</f>
        <v>0</v>
      </c>
      <c r="H3781" s="3">
        <f>'[1]DEC 2025'!H44</f>
        <v>1168</v>
      </c>
    </row>
    <row r="3782" spans="1:8" x14ac:dyDescent="0.2">
      <c r="A3782" s="20">
        <f>'[1]DEC 2025'!A45</f>
        <v>45998</v>
      </c>
      <c r="B3782" s="12" t="str">
        <f>'[1]DEC 2025'!B45</f>
        <v>Frauen</v>
      </c>
      <c r="C3782" s="3">
        <f>'[1]DEC 2025'!C45</f>
        <v>0</v>
      </c>
      <c r="D3782" s="3">
        <f>'[1]DEC 2025'!D45</f>
        <v>0</v>
      </c>
      <c r="E3782" s="3">
        <f>'[1]DEC 2025'!E45</f>
        <v>0</v>
      </c>
      <c r="F3782" s="3">
        <f>'[1]DEC 2025'!F45</f>
        <v>0</v>
      </c>
      <c r="G3782" s="3">
        <f>'[1]DEC 2025'!G45</f>
        <v>0</v>
      </c>
      <c r="H3782" s="3">
        <f>'[1]DEC 2025'!H45</f>
        <v>239</v>
      </c>
    </row>
    <row r="3783" spans="1:8" x14ac:dyDescent="0.2">
      <c r="A3783" s="23">
        <f>'[1]DEC 2025'!A46</f>
        <v>45998</v>
      </c>
      <c r="B3783" s="12" t="str">
        <f>'[1]DEC 2025'!B46</f>
        <v>LM</v>
      </c>
      <c r="C3783" s="3">
        <f>'[1]DEC 2025'!C46</f>
        <v>0</v>
      </c>
      <c r="D3783" s="3">
        <f>'[1]DEC 2025'!D46</f>
        <v>0</v>
      </c>
      <c r="E3783" s="3">
        <f>'[1]DEC 2025'!E46</f>
        <v>0</v>
      </c>
      <c r="F3783" s="3">
        <f>'[1]DEC 2025'!F46</f>
        <v>0</v>
      </c>
      <c r="G3783" s="3">
        <f>'[1]DEC 2025'!G46</f>
        <v>0</v>
      </c>
      <c r="H3783" s="3">
        <f>'[1]DEC 2025'!H46</f>
        <v>4905.41</v>
      </c>
    </row>
    <row r="3784" spans="1:8" x14ac:dyDescent="0.2">
      <c r="A3784" s="20">
        <f>'[1]DEC 2025'!A47</f>
        <v>45998</v>
      </c>
      <c r="B3784" s="12" t="str">
        <f>'[1]DEC 2025'!B47</f>
        <v>CarMaint</v>
      </c>
      <c r="C3784" s="3">
        <f>'[1]DEC 2025'!C47</f>
        <v>0</v>
      </c>
      <c r="D3784" s="3">
        <f>'[1]DEC 2025'!D47</f>
        <v>0</v>
      </c>
      <c r="E3784" s="3">
        <f>'[1]DEC 2025'!E47</f>
        <v>0</v>
      </c>
      <c r="F3784" s="3">
        <f>'[1]DEC 2025'!F47</f>
        <v>0</v>
      </c>
      <c r="G3784" s="3">
        <f>'[1]DEC 2025'!G47</f>
        <v>0</v>
      </c>
      <c r="H3784" s="3">
        <f>'[1]DEC 2025'!H47</f>
        <v>2136</v>
      </c>
    </row>
    <row r="3785" spans="1:8" x14ac:dyDescent="0.2">
      <c r="A3785" s="23">
        <f>'[1]DEC 2025'!A48</f>
        <v>45998</v>
      </c>
      <c r="B3785" s="12" t="str">
        <f>'[1]DEC 2025'!B48</f>
        <v>Andere</v>
      </c>
      <c r="C3785" s="3">
        <f>'[1]DEC 2025'!C48</f>
        <v>0</v>
      </c>
      <c r="D3785" s="3">
        <f>'[1]DEC 2025'!D48</f>
        <v>0</v>
      </c>
      <c r="E3785" s="3">
        <f>'[1]DEC 2025'!E48</f>
        <v>0</v>
      </c>
      <c r="F3785" s="3">
        <f>'[1]DEC 2025'!F48</f>
        <v>0</v>
      </c>
      <c r="G3785" s="3">
        <f>'[1]DEC 2025'!G48</f>
        <v>0</v>
      </c>
      <c r="H3785" s="3">
        <f>'[1]DEC 2025'!H48</f>
        <v>1520</v>
      </c>
    </row>
    <row r="3786" spans="1:8" x14ac:dyDescent="0.2">
      <c r="A3786" s="20">
        <f>'[1]DEC 2025'!A51</f>
        <v>45999</v>
      </c>
      <c r="B3786" s="12" t="str">
        <f>'[1]DEC 2025'!B51</f>
        <v>CarMaint</v>
      </c>
      <c r="C3786" s="3">
        <f>'[1]DEC 2025'!C51</f>
        <v>0</v>
      </c>
      <c r="D3786" s="3">
        <f>'[1]DEC 2025'!D51</f>
        <v>0</v>
      </c>
      <c r="E3786" s="3">
        <f>'[1]DEC 2025'!E51</f>
        <v>0</v>
      </c>
      <c r="F3786" s="3">
        <f>'[1]DEC 2025'!F51</f>
        <v>0</v>
      </c>
      <c r="G3786" s="3">
        <f>'[1]DEC 2025'!G51</f>
        <v>0</v>
      </c>
      <c r="H3786" s="3">
        <f>'[1]DEC 2025'!H51</f>
        <v>2750</v>
      </c>
    </row>
    <row r="3787" spans="1:8" x14ac:dyDescent="0.2">
      <c r="A3787" s="23">
        <f>'[1]DEC 2025'!A52</f>
        <v>45999</v>
      </c>
      <c r="B3787" s="12" t="str">
        <f>'[1]DEC 2025'!B52</f>
        <v>CarMaint</v>
      </c>
      <c r="C3787" s="3">
        <f>'[1]DEC 2025'!C52</f>
        <v>0</v>
      </c>
      <c r="D3787" s="3">
        <f>'[1]DEC 2025'!D52</f>
        <v>0</v>
      </c>
      <c r="E3787" s="3">
        <f>'[1]DEC 2025'!E52</f>
        <v>0</v>
      </c>
      <c r="F3787" s="3">
        <f>'[1]DEC 2025'!F52</f>
        <v>0</v>
      </c>
      <c r="G3787" s="3">
        <f>'[1]DEC 2025'!G52</f>
        <v>0</v>
      </c>
      <c r="H3787" s="3">
        <f>'[1]DEC 2025'!H52</f>
        <v>100</v>
      </c>
    </row>
    <row r="3788" spans="1:8" x14ac:dyDescent="0.2">
      <c r="A3788" s="20">
        <f>'[1]DEC 2025'!A53</f>
        <v>45999</v>
      </c>
      <c r="B3788" s="12" t="str">
        <f>'[1]DEC 2025'!B53</f>
        <v>none</v>
      </c>
      <c r="C3788" s="3">
        <f>'[1]DEC 2025'!C53</f>
        <v>0</v>
      </c>
      <c r="D3788" s="3">
        <f>'[1]DEC 2025'!D53</f>
        <v>0</v>
      </c>
      <c r="E3788" s="3">
        <f>'[1]DEC 2025'!E53</f>
        <v>0</v>
      </c>
      <c r="F3788" s="3">
        <f>'[1]DEC 2025'!F53</f>
        <v>0</v>
      </c>
      <c r="G3788" s="3">
        <f>'[1]DEC 2025'!G53</f>
        <v>0</v>
      </c>
      <c r="H3788" s="3">
        <f>'[1]DEC 2025'!H53</f>
        <v>1499.98</v>
      </c>
    </row>
    <row r="3789" spans="1:8" x14ac:dyDescent="0.2">
      <c r="A3789" s="23">
        <f>'[1]DEC 2025'!A58</f>
        <v>46000</v>
      </c>
      <c r="B3789" s="12" t="str">
        <f>'[1]DEC 2025'!B58</f>
        <v>CarMaint</v>
      </c>
      <c r="C3789" s="3">
        <f>'[1]DEC 2025'!C58</f>
        <v>0</v>
      </c>
      <c r="D3789" s="3">
        <f>'[1]DEC 2025'!D58</f>
        <v>0</v>
      </c>
      <c r="E3789" s="3">
        <f>'[1]DEC 2025'!E58</f>
        <v>0</v>
      </c>
      <c r="F3789" s="3">
        <f>'[1]DEC 2025'!F58</f>
        <v>0</v>
      </c>
      <c r="G3789" s="3">
        <f>'[1]DEC 2025'!G58</f>
        <v>0</v>
      </c>
      <c r="H3789" s="3">
        <f>'[1]DEC 2025'!H58</f>
        <v>100</v>
      </c>
    </row>
    <row r="3790" spans="1:8" x14ac:dyDescent="0.2">
      <c r="A3790" s="20">
        <f>'[1]DEC 2025'!A59</f>
        <v>46000</v>
      </c>
      <c r="B3790" s="12" t="str">
        <f>'[1]DEC 2025'!B59</f>
        <v>Andere</v>
      </c>
      <c r="C3790" s="3">
        <f>'[1]DEC 2025'!C59</f>
        <v>0</v>
      </c>
      <c r="D3790" s="3">
        <f>'[1]DEC 2025'!D59</f>
        <v>0</v>
      </c>
      <c r="E3790" s="3">
        <f>'[1]DEC 2025'!E59</f>
        <v>0</v>
      </c>
      <c r="F3790" s="3">
        <f>'[1]DEC 2025'!F59</f>
        <v>0</v>
      </c>
      <c r="G3790" s="3">
        <f>'[1]DEC 2025'!G59</f>
        <v>0</v>
      </c>
      <c r="H3790" s="3">
        <f>'[1]DEC 2025'!H59</f>
        <v>1090</v>
      </c>
    </row>
    <row r="3791" spans="1:8" x14ac:dyDescent="0.2">
      <c r="A3791" s="23">
        <f>'[1]DEC 2025'!A60</f>
        <v>46000</v>
      </c>
      <c r="B3791" s="12" t="str">
        <f>'[1]DEC 2025'!B60</f>
        <v>Andere</v>
      </c>
      <c r="C3791" s="3">
        <f>'[1]DEC 2025'!C60</f>
        <v>0</v>
      </c>
      <c r="D3791" s="3">
        <f>'[1]DEC 2025'!D60</f>
        <v>0</v>
      </c>
      <c r="E3791" s="3">
        <f>'[1]DEC 2025'!E60</f>
        <v>0</v>
      </c>
      <c r="F3791" s="3">
        <f>'[1]DEC 2025'!F60</f>
        <v>0</v>
      </c>
      <c r="G3791" s="3">
        <f>'[1]DEC 2025'!G60</f>
        <v>0</v>
      </c>
      <c r="H3791" s="3">
        <f>'[1]DEC 2025'!H60</f>
        <v>9500</v>
      </c>
    </row>
    <row r="3792" spans="1:8" x14ac:dyDescent="0.2">
      <c r="A3792" s="20">
        <f>'[1]DEC 2025'!A65</f>
        <v>46001</v>
      </c>
      <c r="B3792" s="12" t="str">
        <f>'[1]DEC 2025'!B65</f>
        <v>Andere</v>
      </c>
      <c r="C3792" s="3">
        <f>'[1]DEC 2025'!C65</f>
        <v>0</v>
      </c>
      <c r="D3792" s="3">
        <f>'[1]DEC 2025'!D65</f>
        <v>0</v>
      </c>
      <c r="E3792" s="3">
        <f>'[1]DEC 2025'!E65</f>
        <v>0</v>
      </c>
      <c r="F3792" s="3">
        <f>'[1]DEC 2025'!F65</f>
        <v>0</v>
      </c>
      <c r="G3792" s="3">
        <f>'[1]DEC 2025'!G65</f>
        <v>0</v>
      </c>
      <c r="H3792" s="3">
        <f>'[1]DEC 2025'!H65</f>
        <v>249</v>
      </c>
    </row>
    <row r="3793" spans="1:8" x14ac:dyDescent="0.2">
      <c r="A3793" s="23">
        <f>'[1]DEC 2025'!A66</f>
        <v>46001</v>
      </c>
      <c r="B3793" s="12" t="str">
        <f>'[1]DEC 2025'!B66</f>
        <v>LM</v>
      </c>
      <c r="C3793" s="3">
        <f>'[1]DEC 2025'!C66</f>
        <v>0</v>
      </c>
      <c r="D3793" s="3">
        <f>'[1]DEC 2025'!D66</f>
        <v>0</v>
      </c>
      <c r="E3793" s="3">
        <f>'[1]DEC 2025'!E66</f>
        <v>0</v>
      </c>
      <c r="F3793" s="3">
        <f>'[1]DEC 2025'!F66</f>
        <v>0</v>
      </c>
      <c r="G3793" s="3">
        <f>'[1]DEC 2025'!G66</f>
        <v>0</v>
      </c>
      <c r="H3793" s="3">
        <f>'[1]DEC 2025'!H66</f>
        <v>446.87</v>
      </c>
    </row>
    <row r="3794" spans="1:8" x14ac:dyDescent="0.2">
      <c r="A3794" s="20">
        <f>'[1]DEC 2025'!A67</f>
        <v>46001</v>
      </c>
      <c r="B3794" s="12" t="str">
        <f>'[1]DEC 2025'!B67</f>
        <v>Refill</v>
      </c>
      <c r="C3794" s="3">
        <f>'[1]DEC 2025'!C67</f>
        <v>0</v>
      </c>
      <c r="D3794" s="3">
        <f>'[1]DEC 2025'!D67</f>
        <v>0</v>
      </c>
      <c r="E3794" s="3">
        <f>'[1]DEC 2025'!E67</f>
        <v>0</v>
      </c>
      <c r="F3794" s="3">
        <f>'[1]DEC 2025'!F67</f>
        <v>0</v>
      </c>
      <c r="G3794" s="3">
        <f>'[1]DEC 2025'!G67</f>
        <v>118843.31</v>
      </c>
      <c r="H3794" s="3">
        <f>'[1]DEC 2025'!H67</f>
        <v>0</v>
      </c>
    </row>
    <row r="3795" spans="1:8" x14ac:dyDescent="0.2">
      <c r="A3795" s="23">
        <f>'[1]DEC 2025'!A72</f>
        <v>46002</v>
      </c>
      <c r="B3795" s="12" t="str">
        <f>'[1]DEC 2025'!B72</f>
        <v>LM</v>
      </c>
      <c r="C3795" s="3">
        <f>'[1]DEC 2025'!C72</f>
        <v>0</v>
      </c>
      <c r="D3795" s="3">
        <f>'[1]DEC 2025'!D72</f>
        <v>0</v>
      </c>
      <c r="E3795" s="3">
        <f>'[1]DEC 2025'!E72</f>
        <v>0</v>
      </c>
      <c r="F3795" s="3">
        <f>'[1]DEC 2025'!F72</f>
        <v>0</v>
      </c>
      <c r="G3795" s="3">
        <f>'[1]DEC 2025'!G72</f>
        <v>0</v>
      </c>
      <c r="H3795" s="3">
        <f>'[1]DEC 2025'!H72</f>
        <v>204.96999999999997</v>
      </c>
    </row>
    <row r="3796" spans="1:8" x14ac:dyDescent="0.2">
      <c r="A3796" s="20">
        <f>'[1]DEC 2025'!A73</f>
        <v>46002</v>
      </c>
      <c r="B3796" s="12" t="str">
        <f>'[1]DEC 2025'!B73</f>
        <v>Andere</v>
      </c>
      <c r="C3796" s="3">
        <f>'[1]DEC 2025'!C73</f>
        <v>0</v>
      </c>
      <c r="D3796" s="3">
        <f>'[1]DEC 2025'!D73</f>
        <v>0</v>
      </c>
      <c r="E3796" s="3">
        <f>'[1]DEC 2025'!E73</f>
        <v>0</v>
      </c>
      <c r="F3796" s="3">
        <f>'[1]DEC 2025'!F73</f>
        <v>0</v>
      </c>
      <c r="G3796" s="3">
        <f>'[1]DEC 2025'!G73</f>
        <v>0</v>
      </c>
      <c r="H3796" s="3">
        <f>'[1]DEC 2025'!H73</f>
        <v>1000</v>
      </c>
    </row>
    <row r="3797" spans="1:8" x14ac:dyDescent="0.2">
      <c r="A3797" s="20">
        <f>'[1]DEC 2025'!A79</f>
        <v>46003</v>
      </c>
      <c r="B3797" s="12" t="str">
        <f>'[1]DEC 2025'!B79</f>
        <v>LM</v>
      </c>
      <c r="C3797" s="3">
        <f>'[1]DEC 2025'!C79</f>
        <v>0</v>
      </c>
      <c r="D3797" s="3">
        <f>'[1]DEC 2025'!D79</f>
        <v>0</v>
      </c>
      <c r="E3797" s="3">
        <f>'[1]DEC 2025'!E79</f>
        <v>0</v>
      </c>
      <c r="F3797" s="3">
        <f>'[1]DEC 2025'!F79</f>
        <v>0</v>
      </c>
      <c r="G3797" s="3">
        <f>'[1]DEC 2025'!G79</f>
        <v>0</v>
      </c>
      <c r="H3797" s="3">
        <f>'[1]DEC 2025'!H79</f>
        <v>2007.99</v>
      </c>
    </row>
    <row r="3798" spans="1:8" x14ac:dyDescent="0.2">
      <c r="A3798" s="23">
        <f>'[1]DEC 2025'!A86</f>
        <v>46004</v>
      </c>
      <c r="B3798" s="12" t="str">
        <f>'[1]DEC 2025'!B86</f>
        <v>Fuel</v>
      </c>
      <c r="C3798" s="3">
        <f>'[1]DEC 2025'!C86</f>
        <v>0</v>
      </c>
      <c r="D3798" s="3">
        <f>'[1]DEC 2025'!D86</f>
        <v>0</v>
      </c>
      <c r="E3798" s="3">
        <f>'[1]DEC 2025'!E86</f>
        <v>0</v>
      </c>
      <c r="F3798" s="3">
        <f>'[1]DEC 2025'!F86</f>
        <v>0</v>
      </c>
      <c r="G3798" s="3">
        <f>'[1]DEC 2025'!G86</f>
        <v>0</v>
      </c>
      <c r="H3798" s="3">
        <f>'[1]DEC 2025'!H86</f>
        <v>4018.6</v>
      </c>
    </row>
    <row r="3799" spans="1:8" x14ac:dyDescent="0.2">
      <c r="A3799" s="20">
        <f>'[1]DEC 2025'!A93</f>
        <v>46005</v>
      </c>
      <c r="B3799" s="12" t="str">
        <f>'[1]DEC 2025'!B93</f>
        <v>LM</v>
      </c>
      <c r="C3799" s="3">
        <f>'[1]DEC 2025'!C93</f>
        <v>0</v>
      </c>
      <c r="D3799" s="3">
        <f>'[1]DEC 2025'!D93</f>
        <v>0</v>
      </c>
      <c r="E3799" s="3">
        <f>'[1]DEC 2025'!E93</f>
        <v>0</v>
      </c>
      <c r="F3799" s="3">
        <f>'[1]DEC 2025'!F93</f>
        <v>0</v>
      </c>
      <c r="G3799" s="3">
        <f>'[1]DEC 2025'!G93</f>
        <v>0</v>
      </c>
      <c r="H3799" s="3">
        <f>'[1]DEC 2025'!H93</f>
        <v>1149.9299999999998</v>
      </c>
    </row>
    <row r="3800" spans="1:8" x14ac:dyDescent="0.2">
      <c r="A3800" s="23">
        <f>'[1]DEC 2025'!A94</f>
        <v>46005</v>
      </c>
      <c r="B3800" s="12" t="str">
        <f>'[1]DEC 2025'!B94</f>
        <v>for me</v>
      </c>
      <c r="C3800" s="3">
        <f>'[1]DEC 2025'!C94</f>
        <v>0</v>
      </c>
      <c r="D3800" s="3">
        <f>'[1]DEC 2025'!D94</f>
        <v>0</v>
      </c>
      <c r="E3800" s="3">
        <f>'[1]DEC 2025'!E94</f>
        <v>0</v>
      </c>
      <c r="F3800" s="3">
        <f>'[1]DEC 2025'!F94</f>
        <v>0</v>
      </c>
      <c r="G3800" s="3">
        <f>'[1]DEC 2025'!G94</f>
        <v>0</v>
      </c>
      <c r="H3800" s="3">
        <f>'[1]DEC 2025'!H94</f>
        <v>31140</v>
      </c>
    </row>
    <row r="3801" spans="1:8" x14ac:dyDescent="0.2">
      <c r="A3801" s="20">
        <f>'[1]DEC 2025'!A95</f>
        <v>46005</v>
      </c>
      <c r="B3801" s="12" t="str">
        <f>'[1]DEC 2025'!B95</f>
        <v>none</v>
      </c>
      <c r="C3801" s="3">
        <f>'[1]DEC 2025'!C95</f>
        <v>0</v>
      </c>
      <c r="D3801" s="3">
        <f>'[1]DEC 2025'!D95</f>
        <v>0</v>
      </c>
      <c r="E3801" s="3">
        <f>'[1]DEC 2025'!E95</f>
        <v>0</v>
      </c>
      <c r="F3801" s="3">
        <f>'[1]DEC 2025'!F95</f>
        <v>0</v>
      </c>
      <c r="G3801" s="3">
        <f>'[1]DEC 2025'!G95</f>
        <v>0</v>
      </c>
      <c r="H3801" s="3">
        <f>'[1]DEC 2025'!H95</f>
        <v>900</v>
      </c>
    </row>
    <row r="3802" spans="1:8" x14ac:dyDescent="0.2">
      <c r="A3802" s="23">
        <f>'[1]DEC 2025'!A100</f>
        <v>46006</v>
      </c>
      <c r="B3802" s="12" t="str">
        <f>'[1]DEC 2025'!B100</f>
        <v>LM</v>
      </c>
      <c r="C3802" s="3">
        <f>'[1]DEC 2025'!C100</f>
        <v>0</v>
      </c>
      <c r="D3802" s="3">
        <f>'[1]DEC 2025'!D100</f>
        <v>0</v>
      </c>
      <c r="E3802" s="3">
        <f>'[1]DEC 2025'!E100</f>
        <v>0</v>
      </c>
      <c r="F3802" s="3">
        <f>'[1]DEC 2025'!F100</f>
        <v>0</v>
      </c>
      <c r="G3802" s="3">
        <f>'[1]DEC 2025'!G100</f>
        <v>0</v>
      </c>
      <c r="H3802" s="3">
        <f>'[1]DEC 2025'!H100</f>
        <v>1129.95</v>
      </c>
    </row>
    <row r="3803" spans="1:8" x14ac:dyDescent="0.2">
      <c r="A3803" s="20">
        <f>'[1]DEC 2025'!A101</f>
        <v>46006</v>
      </c>
      <c r="B3803" s="12" t="str">
        <f>'[1]DEC 2025'!B101</f>
        <v>CarMaint</v>
      </c>
      <c r="C3803" s="3">
        <f>'[1]DEC 2025'!C101</f>
        <v>0</v>
      </c>
      <c r="D3803" s="3">
        <f>'[1]DEC 2025'!D101</f>
        <v>0</v>
      </c>
      <c r="E3803" s="3">
        <f>'[1]DEC 2025'!E101</f>
        <v>0</v>
      </c>
      <c r="F3803" s="3">
        <f>'[1]DEC 2025'!F101</f>
        <v>0</v>
      </c>
      <c r="G3803" s="3">
        <f>'[1]DEC 2025'!G101</f>
        <v>0</v>
      </c>
      <c r="H3803" s="3">
        <f>'[1]DEC 2025'!H101</f>
        <v>300</v>
      </c>
    </row>
    <row r="3804" spans="1:8" x14ac:dyDescent="0.2">
      <c r="A3804" s="23">
        <f>'[1]DEC 2025'!A102</f>
        <v>46006</v>
      </c>
      <c r="B3804" s="12" t="str">
        <f>'[1]DEC 2025'!B102</f>
        <v>LM</v>
      </c>
      <c r="C3804" s="3">
        <f>'[1]DEC 2025'!C102</f>
        <v>0</v>
      </c>
      <c r="D3804" s="3">
        <f>'[1]DEC 2025'!D102</f>
        <v>0</v>
      </c>
      <c r="E3804" s="3">
        <f>'[1]DEC 2025'!E102</f>
        <v>0</v>
      </c>
      <c r="F3804" s="3">
        <f>'[1]DEC 2025'!F102</f>
        <v>0</v>
      </c>
      <c r="G3804" s="3">
        <f>'[1]DEC 2025'!G102</f>
        <v>0</v>
      </c>
      <c r="H3804" s="3">
        <f>'[1]DEC 2025'!H102</f>
        <v>274.88</v>
      </c>
    </row>
    <row r="3805" spans="1:8" x14ac:dyDescent="0.2">
      <c r="A3805" s="20">
        <f>'[1]DEC 2025'!A107</f>
        <v>46007</v>
      </c>
      <c r="B3805" s="12" t="str">
        <f>'[1]DEC 2025'!B107</f>
        <v>LM</v>
      </c>
      <c r="C3805" s="3">
        <f>'[1]DEC 2025'!C107</f>
        <v>0</v>
      </c>
      <c r="D3805" s="3">
        <f>'[1]DEC 2025'!D107</f>
        <v>0</v>
      </c>
      <c r="E3805" s="3">
        <f>'[1]DEC 2025'!E107</f>
        <v>0</v>
      </c>
      <c r="F3805" s="3">
        <f>'[1]DEC 2025'!F107</f>
        <v>0</v>
      </c>
      <c r="G3805" s="3">
        <f>'[1]DEC 2025'!G107</f>
        <v>0</v>
      </c>
      <c r="H3805" s="3">
        <f>'[1]DEC 2025'!H107</f>
        <v>4763.04</v>
      </c>
    </row>
    <row r="3806" spans="1:8" x14ac:dyDescent="0.2">
      <c r="A3806" s="23">
        <f>'[1]DEC 2025'!A108</f>
        <v>46007</v>
      </c>
      <c r="B3806" s="12" t="str">
        <f>'[1]DEC 2025'!B108</f>
        <v>Frauen</v>
      </c>
      <c r="C3806" s="3">
        <f>'[1]DEC 2025'!C108</f>
        <v>0</v>
      </c>
      <c r="D3806" s="3">
        <f>'[1]DEC 2025'!D108</f>
        <v>0</v>
      </c>
      <c r="E3806" s="3">
        <f>'[1]DEC 2025'!E108</f>
        <v>0</v>
      </c>
      <c r="F3806" s="3">
        <f>'[1]DEC 2025'!F108</f>
        <v>0</v>
      </c>
      <c r="G3806" s="3">
        <f>'[1]DEC 2025'!G108</f>
        <v>0</v>
      </c>
      <c r="H3806" s="3">
        <f>'[1]DEC 2025'!H108</f>
        <v>480</v>
      </c>
    </row>
    <row r="3807" spans="1:8" x14ac:dyDescent="0.2">
      <c r="A3807" s="23">
        <f>'[1]DEC 2025'!A114</f>
        <v>46008</v>
      </c>
      <c r="B3807" s="12" t="str">
        <f>'[1]DEC 2025'!B114</f>
        <v>Refill</v>
      </c>
      <c r="C3807" s="3">
        <f>'[1]DEC 2025'!C114</f>
        <v>0</v>
      </c>
      <c r="D3807" s="3">
        <f>'[1]DEC 2025'!D114</f>
        <v>0</v>
      </c>
      <c r="E3807" s="3">
        <f>'[1]DEC 2025'!E114</f>
        <v>0</v>
      </c>
      <c r="F3807" s="3">
        <f>'[1]DEC 2025'!F114</f>
        <v>0</v>
      </c>
      <c r="G3807" s="3">
        <f>'[1]DEC 2025'!G114</f>
        <v>12000</v>
      </c>
      <c r="H3807" s="3">
        <f>'[1]DEC 2025'!H114</f>
        <v>0</v>
      </c>
    </row>
    <row r="3808" spans="1:8" x14ac:dyDescent="0.2">
      <c r="A3808" s="20">
        <f>'[1]DEC 2025'!A115</f>
        <v>46008</v>
      </c>
      <c r="B3808" s="12" t="str">
        <f>'[1]DEC 2025'!B115</f>
        <v>rent</v>
      </c>
      <c r="C3808" s="3">
        <f>'[1]DEC 2025'!C115</f>
        <v>0</v>
      </c>
      <c r="D3808" s="3">
        <f>'[1]DEC 2025'!D115</f>
        <v>0</v>
      </c>
      <c r="E3808" s="3">
        <f>'[1]DEC 2025'!E115</f>
        <v>0</v>
      </c>
      <c r="F3808" s="3">
        <f>'[1]DEC 2025'!F115</f>
        <v>0</v>
      </c>
      <c r="G3808" s="3">
        <f>'[1]DEC 2025'!G115</f>
        <v>0</v>
      </c>
      <c r="H3808" s="3">
        <f>'[1]DEC 2025'!H115</f>
        <v>55000</v>
      </c>
    </row>
    <row r="3809" spans="1:8" x14ac:dyDescent="0.2">
      <c r="A3809" s="23">
        <f>'[1]DEC 2025'!A116</f>
        <v>46008</v>
      </c>
      <c r="B3809" s="12" t="str">
        <f>'[1]DEC 2025'!B116</f>
        <v>LM</v>
      </c>
      <c r="C3809" s="3">
        <f>'[1]DEC 2025'!C116</f>
        <v>0</v>
      </c>
      <c r="D3809" s="3">
        <f>'[1]DEC 2025'!D116</f>
        <v>0</v>
      </c>
      <c r="E3809" s="3">
        <f>'[1]DEC 2025'!E116</f>
        <v>0</v>
      </c>
      <c r="F3809" s="3">
        <f>'[1]DEC 2025'!F116</f>
        <v>0</v>
      </c>
      <c r="G3809" s="3">
        <f>'[1]DEC 2025'!G116</f>
        <v>0</v>
      </c>
      <c r="H3809" s="3">
        <f>'[1]DEC 2025'!H116</f>
        <v>438</v>
      </c>
    </row>
    <row r="3810" spans="1:8" x14ac:dyDescent="0.2">
      <c r="A3810" s="20">
        <f>'[1]DEC 2025'!A117</f>
        <v>46008</v>
      </c>
      <c r="B3810" s="12" t="str">
        <f>'[1]DEC 2025'!B117</f>
        <v>Refill</v>
      </c>
      <c r="C3810" s="3">
        <f>'[1]DEC 2025'!C117</f>
        <v>0</v>
      </c>
      <c r="D3810" s="3">
        <f>'[1]DEC 2025'!D117</f>
        <v>0</v>
      </c>
      <c r="E3810" s="3">
        <f>'[1]DEC 2025'!E117</f>
        <v>0</v>
      </c>
      <c r="F3810" s="3">
        <f>'[1]DEC 2025'!F117</f>
        <v>0</v>
      </c>
      <c r="G3810" s="3">
        <f>'[1]DEC 2025'!G117</f>
        <v>45700</v>
      </c>
      <c r="H3810" s="3">
        <f>'[1]DEC 2025'!H117</f>
        <v>0</v>
      </c>
    </row>
    <row r="3811" spans="1:8" x14ac:dyDescent="0.2">
      <c r="A3811" s="20">
        <f>'[1]DEC 2025'!A121</f>
        <v>46009</v>
      </c>
      <c r="B3811" s="12" t="str">
        <f>'[1]DEC 2025'!B121</f>
        <v>Frauen</v>
      </c>
      <c r="C3811" s="3">
        <f>'[1]DEC 2025'!C121</f>
        <v>0</v>
      </c>
      <c r="D3811" s="3">
        <f>'[1]DEC 2025'!D121</f>
        <v>0</v>
      </c>
      <c r="E3811" s="3">
        <f>'[1]DEC 2025'!E121</f>
        <v>0</v>
      </c>
      <c r="F3811" s="3">
        <f>'[1]DEC 2025'!F121</f>
        <v>0</v>
      </c>
      <c r="G3811" s="3">
        <f>'[1]DEC 2025'!G121</f>
        <v>0</v>
      </c>
      <c r="H3811" s="3">
        <f>'[1]DEC 2025'!H121</f>
        <v>986</v>
      </c>
    </row>
    <row r="3812" spans="1:8" x14ac:dyDescent="0.2">
      <c r="A3812" s="23">
        <f>'[1]DEC 2025'!A122</f>
        <v>46009</v>
      </c>
      <c r="B3812" s="12" t="str">
        <f>'[1]DEC 2025'!B122</f>
        <v>Andere</v>
      </c>
      <c r="C3812" s="3">
        <f>'[1]DEC 2025'!C122</f>
        <v>0</v>
      </c>
      <c r="D3812" s="3">
        <f>'[1]DEC 2025'!D122</f>
        <v>0</v>
      </c>
      <c r="E3812" s="3">
        <f>'[1]DEC 2025'!E122</f>
        <v>0</v>
      </c>
      <c r="F3812" s="3">
        <f>'[1]DEC 2025'!F122</f>
        <v>0</v>
      </c>
      <c r="G3812" s="3">
        <f>'[1]DEC 2025'!G122</f>
        <v>0</v>
      </c>
      <c r="H3812" s="3">
        <f>'[1]DEC 2025'!H122</f>
        <v>7686</v>
      </c>
    </row>
    <row r="3813" spans="1:8" x14ac:dyDescent="0.2">
      <c r="A3813" s="20">
        <f>'[1]DEC 2025'!A123</f>
        <v>46009</v>
      </c>
      <c r="B3813" s="12" t="str">
        <f>'[1]DEC 2025'!B123</f>
        <v>LM</v>
      </c>
      <c r="C3813" s="3">
        <f>'[1]DEC 2025'!C123</f>
        <v>0</v>
      </c>
      <c r="D3813" s="3">
        <f>'[1]DEC 2025'!D123</f>
        <v>0</v>
      </c>
      <c r="E3813" s="3">
        <f>'[1]DEC 2025'!E123</f>
        <v>0</v>
      </c>
      <c r="F3813" s="3">
        <f>'[1]DEC 2025'!F123</f>
        <v>0</v>
      </c>
      <c r="G3813" s="3">
        <f>'[1]DEC 2025'!G123</f>
        <v>0</v>
      </c>
      <c r="H3813" s="3">
        <f>'[1]DEC 2025'!H123</f>
        <v>1040</v>
      </c>
    </row>
    <row r="3814" spans="1:8" x14ac:dyDescent="0.2">
      <c r="A3814" s="23">
        <f>'[1]DEC 2025'!A128</f>
        <v>46010</v>
      </c>
      <c r="B3814" s="12" t="str">
        <f>'[1]DEC 2025'!B128</f>
        <v>LM</v>
      </c>
      <c r="C3814" s="3">
        <f>'[1]DEC 2025'!C128</f>
        <v>0</v>
      </c>
      <c r="D3814" s="3">
        <f>'[1]DEC 2025'!D128</f>
        <v>0</v>
      </c>
      <c r="E3814" s="3">
        <f>'[1]DEC 2025'!E128</f>
        <v>0</v>
      </c>
      <c r="F3814" s="3">
        <f>'[1]DEC 2025'!F128</f>
        <v>0</v>
      </c>
      <c r="G3814" s="3">
        <f>'[1]DEC 2025'!G128</f>
        <v>0</v>
      </c>
      <c r="H3814" s="3">
        <f>'[1]DEC 2025'!H128</f>
        <v>1095</v>
      </c>
    </row>
    <row r="3815" spans="1:8" x14ac:dyDescent="0.2">
      <c r="A3815" s="20">
        <f>'[1]DEC 2025'!A129</f>
        <v>46010</v>
      </c>
      <c r="B3815" s="12" t="str">
        <f>'[1]DEC 2025'!B129</f>
        <v>VM</v>
      </c>
      <c r="C3815" s="3">
        <f>'[1]DEC 2025'!C129</f>
        <v>0</v>
      </c>
      <c r="D3815" s="3">
        <f>'[1]DEC 2025'!D129</f>
        <v>0</v>
      </c>
      <c r="E3815" s="3">
        <f>'[1]DEC 2025'!E129</f>
        <v>0</v>
      </c>
      <c r="F3815" s="3">
        <f>'[1]DEC 2025'!F129</f>
        <v>0</v>
      </c>
      <c r="G3815" s="3">
        <f>'[1]DEC 2025'!G129</f>
        <v>0</v>
      </c>
      <c r="H3815" s="3">
        <f>'[1]DEC 2025'!H129</f>
        <v>74</v>
      </c>
    </row>
    <row r="3816" spans="1:8" x14ac:dyDescent="0.2">
      <c r="A3816" s="20">
        <f>'[1]DEC 2025'!A135</f>
        <v>46011</v>
      </c>
      <c r="B3816" s="12" t="str">
        <f>'[1]DEC 2025'!B135</f>
        <v>VM</v>
      </c>
      <c r="C3816" s="3">
        <f>'[1]DEC 2025'!C135</f>
        <v>0</v>
      </c>
      <c r="D3816" s="3">
        <f>'[1]DEC 2025'!D135</f>
        <v>0</v>
      </c>
      <c r="E3816" s="3">
        <f>'[1]DEC 2025'!E135</f>
        <v>0</v>
      </c>
      <c r="F3816" s="3">
        <f>'[1]DEC 2025'!F135</f>
        <v>150</v>
      </c>
      <c r="G3816" s="3">
        <f>'[1]DEC 2025'!G135</f>
        <v>0</v>
      </c>
      <c r="H3816" s="3">
        <f>'[1]DEC 2025'!H135</f>
        <v>1541</v>
      </c>
    </row>
    <row r="3817" spans="1:8" x14ac:dyDescent="0.2">
      <c r="A3817" s="23">
        <f>'[1]DEC 2025'!A142</f>
        <v>46012</v>
      </c>
      <c r="B3817" s="12" t="str">
        <f>'[1]DEC 2025'!B142</f>
        <v>LM</v>
      </c>
      <c r="C3817" s="3">
        <f>'[1]DEC 2025'!C142</f>
        <v>0</v>
      </c>
      <c r="D3817" s="3">
        <f>'[1]DEC 2025'!D142</f>
        <v>0</v>
      </c>
      <c r="E3817" s="3">
        <f>'[1]DEC 2025'!E142</f>
        <v>0</v>
      </c>
      <c r="F3817" s="3">
        <f>'[1]DEC 2025'!F142</f>
        <v>0</v>
      </c>
      <c r="G3817" s="3">
        <f>'[1]DEC 2025'!G142</f>
        <v>0</v>
      </c>
      <c r="H3817" s="3">
        <f>'[1]DEC 2025'!H142</f>
        <v>949.79</v>
      </c>
    </row>
    <row r="3818" spans="1:8" x14ac:dyDescent="0.2">
      <c r="A3818" s="20">
        <f>'[1]DEC 2025'!A143</f>
        <v>46012</v>
      </c>
      <c r="B3818" s="12" t="str">
        <f>'[1]DEC 2025'!B143</f>
        <v>Andere</v>
      </c>
      <c r="C3818" s="3">
        <f>'[1]DEC 2025'!C143</f>
        <v>0</v>
      </c>
      <c r="D3818" s="3">
        <f>'[1]DEC 2025'!D143</f>
        <v>0</v>
      </c>
      <c r="E3818" s="3">
        <f>'[1]DEC 2025'!E143</f>
        <v>0</v>
      </c>
      <c r="F3818" s="3">
        <f>'[1]DEC 2025'!F143</f>
        <v>0</v>
      </c>
      <c r="G3818" s="3">
        <f>'[1]DEC 2025'!G143</f>
        <v>0</v>
      </c>
      <c r="H3818" s="3">
        <f>'[1]DEC 2025'!H143</f>
        <v>1532</v>
      </c>
    </row>
    <row r="3819" spans="1:8" x14ac:dyDescent="0.2">
      <c r="A3819" s="20">
        <f>'[1]DEC 2025'!A149</f>
        <v>46013</v>
      </c>
      <c r="B3819" s="12" t="str">
        <f>'[1]DEC 2025'!B149</f>
        <v>CarMaint</v>
      </c>
      <c r="C3819" s="3">
        <f>'[1]DEC 2025'!C149</f>
        <v>0</v>
      </c>
      <c r="D3819" s="3">
        <f>'[1]DEC 2025'!D149</f>
        <v>0</v>
      </c>
      <c r="E3819" s="3">
        <f>'[1]DEC 2025'!E149</f>
        <v>0</v>
      </c>
      <c r="F3819" s="3">
        <f>'[1]DEC 2025'!F149</f>
        <v>0</v>
      </c>
      <c r="G3819" s="3">
        <f>'[1]DEC 2025'!G149</f>
        <v>0</v>
      </c>
      <c r="H3819" s="3">
        <f>'[1]DEC 2025'!H149</f>
        <v>100</v>
      </c>
    </row>
    <row r="3820" spans="1:8" x14ac:dyDescent="0.2">
      <c r="A3820" s="23">
        <f>'[1]DEC 2025'!A150</f>
        <v>46013</v>
      </c>
      <c r="B3820" s="12" t="str">
        <f>'[1]DEC 2025'!B150</f>
        <v>LM</v>
      </c>
      <c r="C3820" s="3">
        <f>'[1]DEC 2025'!C150</f>
        <v>0</v>
      </c>
      <c r="D3820" s="3">
        <f>'[1]DEC 2025'!D150</f>
        <v>0</v>
      </c>
      <c r="E3820" s="3">
        <f>'[1]DEC 2025'!E150</f>
        <v>0</v>
      </c>
      <c r="F3820" s="3">
        <f>'[1]DEC 2025'!F150</f>
        <v>0</v>
      </c>
      <c r="G3820" s="3">
        <f>'[1]DEC 2025'!G150</f>
        <v>0</v>
      </c>
      <c r="H3820" s="3">
        <f>'[1]DEC 2025'!H150</f>
        <v>5875.53</v>
      </c>
    </row>
    <row r="3821" spans="1:8" x14ac:dyDescent="0.2">
      <c r="A3821" s="20">
        <f>'[1]DEC 2025'!A151</f>
        <v>46013</v>
      </c>
      <c r="B3821" s="12" t="str">
        <f>'[1]DEC 2025'!B151</f>
        <v>Andere</v>
      </c>
      <c r="C3821" s="3">
        <f>'[1]DEC 2025'!C151</f>
        <v>0</v>
      </c>
      <c r="D3821" s="3">
        <f>'[1]DEC 2025'!D151</f>
        <v>0</v>
      </c>
      <c r="E3821" s="3">
        <f>'[1]DEC 2025'!E151</f>
        <v>0</v>
      </c>
      <c r="F3821" s="3">
        <f>'[1]DEC 2025'!F151</f>
        <v>0</v>
      </c>
      <c r="G3821" s="3">
        <f>'[1]DEC 2025'!G151</f>
        <v>0</v>
      </c>
      <c r="H3821" s="3">
        <f>'[1]DEC 2025'!H151</f>
        <v>218</v>
      </c>
    </row>
    <row r="3822" spans="1:8" x14ac:dyDescent="0.2">
      <c r="A3822" s="23">
        <f>'[1]DEC 2025'!A156</f>
        <v>46014</v>
      </c>
      <c r="B3822" s="12" t="str">
        <f>'[1]DEC 2025'!B156</f>
        <v>Fuel</v>
      </c>
      <c r="C3822" s="3">
        <f>'[1]DEC 2025'!C156</f>
        <v>0</v>
      </c>
      <c r="D3822" s="3">
        <f>'[1]DEC 2025'!D156</f>
        <v>0</v>
      </c>
      <c r="E3822" s="3">
        <f>'[1]DEC 2025'!E156</f>
        <v>0</v>
      </c>
      <c r="F3822" s="3">
        <f>'[1]DEC 2025'!F156</f>
        <v>0</v>
      </c>
      <c r="G3822" s="3">
        <f>'[1]DEC 2025'!G156</f>
        <v>0</v>
      </c>
      <c r="H3822" s="3">
        <f>'[1]DEC 2025'!H156</f>
        <v>2128</v>
      </c>
    </row>
    <row r="3823" spans="1:8" x14ac:dyDescent="0.2">
      <c r="A3823" s="20">
        <f>'[1]DEC 2025'!A157</f>
        <v>46014</v>
      </c>
      <c r="B3823" s="12" t="str">
        <f>'[1]DEC 2025'!B157</f>
        <v>LM</v>
      </c>
      <c r="C3823" s="3">
        <f>'[1]DEC 2025'!C157</f>
        <v>0</v>
      </c>
      <c r="D3823" s="3">
        <f>'[1]DEC 2025'!D157</f>
        <v>0</v>
      </c>
      <c r="E3823" s="3">
        <f>'[1]DEC 2025'!E157</f>
        <v>0</v>
      </c>
      <c r="F3823" s="3">
        <f>'[1]DEC 2025'!F157</f>
        <v>0</v>
      </c>
      <c r="G3823" s="3">
        <f>'[1]DEC 2025'!G157</f>
        <v>0</v>
      </c>
      <c r="H3823" s="3">
        <f>'[1]DEC 2025'!H157</f>
        <v>312.96999999999997</v>
      </c>
    </row>
    <row r="3824" spans="1:8" x14ac:dyDescent="0.2">
      <c r="A3824" s="23">
        <f>'[1]DEC 2025'!A158</f>
        <v>46014</v>
      </c>
      <c r="B3824" s="12" t="str">
        <f>'[1]DEC 2025'!B158</f>
        <v>Andere</v>
      </c>
      <c r="C3824" s="3">
        <f>'[1]DEC 2025'!C158</f>
        <v>0</v>
      </c>
      <c r="D3824" s="3">
        <f>'[1]DEC 2025'!D158</f>
        <v>0</v>
      </c>
      <c r="E3824" s="3">
        <f>'[1]DEC 2025'!E158</f>
        <v>0</v>
      </c>
      <c r="F3824" s="3">
        <f>'[1]DEC 2025'!F158</f>
        <v>0</v>
      </c>
      <c r="G3824" s="3">
        <f>'[1]DEC 2025'!G158</f>
        <v>0</v>
      </c>
      <c r="H3824" s="3">
        <f>'[1]DEC 2025'!H158</f>
        <v>1370</v>
      </c>
    </row>
    <row r="3825" spans="1:8" x14ac:dyDescent="0.2">
      <c r="A3825" s="20">
        <f>'[1]DEC 2025'!A163</f>
        <v>46015</v>
      </c>
      <c r="B3825" s="12" t="str">
        <f>'[1]DEC 2025'!B163</f>
        <v>LM</v>
      </c>
      <c r="C3825" s="3">
        <f>'[1]DEC 2025'!C163</f>
        <v>0</v>
      </c>
      <c r="D3825" s="3">
        <f>'[1]DEC 2025'!D163</f>
        <v>0</v>
      </c>
      <c r="E3825" s="3">
        <f>'[1]DEC 2025'!E163</f>
        <v>0</v>
      </c>
      <c r="F3825" s="3">
        <f>'[1]DEC 2025'!F163</f>
        <v>0</v>
      </c>
      <c r="G3825" s="3">
        <f>'[1]DEC 2025'!G163</f>
        <v>0</v>
      </c>
      <c r="H3825" s="3">
        <f>'[1]DEC 2025'!H163</f>
        <v>1098.96</v>
      </c>
    </row>
    <row r="3826" spans="1:8" x14ac:dyDescent="0.2">
      <c r="A3826" s="23">
        <f>'[1]DEC 2025'!A164</f>
        <v>46015</v>
      </c>
      <c r="B3826" s="12" t="str">
        <f>'[1]DEC 2025'!B164</f>
        <v>Andere</v>
      </c>
      <c r="C3826" s="3">
        <f>'[1]DEC 2025'!C164</f>
        <v>0</v>
      </c>
      <c r="D3826" s="3">
        <f>'[1]DEC 2025'!D164</f>
        <v>0</v>
      </c>
      <c r="E3826" s="3">
        <f>'[1]DEC 2025'!E164</f>
        <v>0</v>
      </c>
      <c r="F3826" s="3">
        <f>'[1]DEC 2025'!F164</f>
        <v>0</v>
      </c>
      <c r="G3826" s="3">
        <f>'[1]DEC 2025'!G164</f>
        <v>0</v>
      </c>
      <c r="H3826" s="3">
        <f>'[1]DEC 2025'!H164</f>
        <v>1322</v>
      </c>
    </row>
    <row r="3827" spans="1:8" x14ac:dyDescent="0.2">
      <c r="A3827" s="23">
        <f>'[1]DEC 2025'!A170</f>
        <v>46016</v>
      </c>
      <c r="B3827" s="12" t="str">
        <f>'[1]DEC 2025'!B170</f>
        <v>LM</v>
      </c>
      <c r="C3827" s="3">
        <f>'[1]DEC 2025'!C170</f>
        <v>0</v>
      </c>
      <c r="D3827" s="3">
        <f>'[1]DEC 2025'!D170</f>
        <v>0</v>
      </c>
      <c r="E3827" s="3">
        <f>'[1]DEC 2025'!E170</f>
        <v>0</v>
      </c>
      <c r="F3827" s="3">
        <f>'[1]DEC 2025'!F170</f>
        <v>0</v>
      </c>
      <c r="G3827" s="3">
        <f>'[1]DEC 2025'!G170</f>
        <v>0</v>
      </c>
      <c r="H3827" s="3">
        <f>'[1]DEC 2025'!H170</f>
        <v>598.68000000000006</v>
      </c>
    </row>
    <row r="3828" spans="1:8" x14ac:dyDescent="0.2">
      <c r="A3828" s="20">
        <f>'[1]DEC 2025'!A171</f>
        <v>46016</v>
      </c>
      <c r="B3828" s="12" t="str">
        <f>'[1]DEC 2025'!B171</f>
        <v>Frauen</v>
      </c>
      <c r="C3828" s="3">
        <f>'[1]DEC 2025'!C171</f>
        <v>0</v>
      </c>
      <c r="D3828" s="3">
        <f>'[1]DEC 2025'!D171</f>
        <v>0</v>
      </c>
      <c r="E3828" s="3">
        <f>'[1]DEC 2025'!E171</f>
        <v>0</v>
      </c>
      <c r="F3828" s="3">
        <f>'[1]DEC 2025'!F171</f>
        <v>0</v>
      </c>
      <c r="G3828" s="3">
        <f>'[1]DEC 2025'!G171</f>
        <v>0</v>
      </c>
      <c r="H3828" s="3">
        <f>'[1]DEC 2025'!H171</f>
        <v>1530</v>
      </c>
    </row>
    <row r="3829" spans="1:8" x14ac:dyDescent="0.2">
      <c r="A3829" s="23">
        <f>'[1]DEC 2025'!A172</f>
        <v>46016</v>
      </c>
      <c r="B3829" s="12" t="str">
        <f>'[1]DEC 2025'!B172</f>
        <v>Refill</v>
      </c>
      <c r="C3829" s="3">
        <f>'[1]DEC 2025'!C172</f>
        <v>0</v>
      </c>
      <c r="D3829" s="3">
        <f>'[1]DEC 2025'!D172</f>
        <v>0</v>
      </c>
      <c r="E3829" s="3">
        <f>'[1]DEC 2025'!E172</f>
        <v>0</v>
      </c>
      <c r="F3829" s="3">
        <f>'[1]DEC 2025'!F172</f>
        <v>0</v>
      </c>
      <c r="G3829" s="3">
        <f>'[1]DEC 2025'!G172</f>
        <v>161767.5</v>
      </c>
      <c r="H3829" s="3">
        <f>'[1]DEC 2025'!H172</f>
        <v>0</v>
      </c>
    </row>
    <row r="3830" spans="1:8" x14ac:dyDescent="0.2">
      <c r="A3830" s="20">
        <f>'[1]DEC 2025'!A173</f>
        <v>46016</v>
      </c>
      <c r="B3830" s="12" t="str">
        <f>'[1]DEC 2025'!B173</f>
        <v>VM</v>
      </c>
      <c r="C3830" s="3">
        <f>'[1]DEC 2025'!C173</f>
        <v>0</v>
      </c>
      <c r="D3830" s="3">
        <f>'[1]DEC 2025'!D173</f>
        <v>0</v>
      </c>
      <c r="E3830" s="3">
        <f>'[1]DEC 2025'!E173</f>
        <v>0</v>
      </c>
      <c r="F3830" s="3">
        <f>'[1]DEC 2025'!F173</f>
        <v>0</v>
      </c>
      <c r="G3830" s="3">
        <f>'[1]DEC 2025'!G173</f>
        <v>0</v>
      </c>
      <c r="H3830" s="3">
        <f>'[1]DEC 2025'!H173</f>
        <v>74</v>
      </c>
    </row>
    <row r="3831" spans="1:8" x14ac:dyDescent="0.2">
      <c r="A3831" s="23">
        <f>'[1]DEC 2025'!A174</f>
        <v>46016</v>
      </c>
      <c r="B3831" s="12" t="str">
        <f>'[1]DEC 2025'!B174</f>
        <v>Refill</v>
      </c>
      <c r="C3831" s="3">
        <f>'[1]DEC 2025'!C174</f>
        <v>0</v>
      </c>
      <c r="D3831" s="3">
        <f>'[1]DEC 2025'!D174</f>
        <v>0</v>
      </c>
      <c r="E3831" s="3">
        <f>'[1]DEC 2025'!E174</f>
        <v>0</v>
      </c>
      <c r="F3831" s="3">
        <f>'[1]DEC 2025'!F174</f>
        <v>0</v>
      </c>
      <c r="G3831" s="3">
        <f>'[1]DEC 2025'!G174</f>
        <v>2718.53</v>
      </c>
      <c r="H3831" s="3">
        <f>'[1]DEC 2025'!H174</f>
        <v>0</v>
      </c>
    </row>
    <row r="3832" spans="1:8" x14ac:dyDescent="0.2">
      <c r="A3832" s="20">
        <f>'[1]DEC 2025'!A177</f>
        <v>46017</v>
      </c>
      <c r="B3832" s="12" t="str">
        <f>'[1]DEC 2025'!B177</f>
        <v>VM</v>
      </c>
      <c r="C3832" s="3">
        <f>'[1]DEC 2025'!C177</f>
        <v>0</v>
      </c>
      <c r="D3832" s="3">
        <f>'[1]DEC 2025'!D177</f>
        <v>0</v>
      </c>
      <c r="E3832" s="3">
        <f>'[1]DEC 2025'!E177</f>
        <v>0</v>
      </c>
      <c r="F3832" s="3">
        <f>'[1]DEC 2025'!F177</f>
        <v>0</v>
      </c>
      <c r="G3832" s="3">
        <f>'[1]DEC 2025'!G177</f>
        <v>0</v>
      </c>
      <c r="H3832" s="3">
        <f>'[1]DEC 2025'!H177</f>
        <v>74</v>
      </c>
    </row>
    <row r="3833" spans="1:8" x14ac:dyDescent="0.2">
      <c r="A3833" s="23">
        <f>'[1]DEC 2025'!A178</f>
        <v>46017</v>
      </c>
      <c r="B3833" s="12" t="str">
        <f>'[1]DEC 2025'!B178</f>
        <v>Andere</v>
      </c>
      <c r="C3833" s="3">
        <f>'[1]DEC 2025'!C178</f>
        <v>0</v>
      </c>
      <c r="D3833" s="3">
        <f>'[1]DEC 2025'!D178</f>
        <v>0</v>
      </c>
      <c r="E3833" s="3">
        <f>'[1]DEC 2025'!E178</f>
        <v>0</v>
      </c>
      <c r="F3833" s="3">
        <f>'[1]DEC 2025'!F178</f>
        <v>0</v>
      </c>
      <c r="G3833" s="3">
        <f>'[1]DEC 2025'!G178</f>
        <v>0</v>
      </c>
      <c r="H3833" s="3">
        <f>'[1]DEC 2025'!H178</f>
        <v>1967</v>
      </c>
    </row>
    <row r="3834" spans="1:8" x14ac:dyDescent="0.2">
      <c r="A3834" s="20">
        <f>'[1]DEC 2025'!A179</f>
        <v>46017</v>
      </c>
      <c r="B3834" s="12" t="str">
        <f>'[1]DEC 2025'!B179</f>
        <v>LM</v>
      </c>
      <c r="C3834" s="3">
        <f>'[1]DEC 2025'!C179</f>
        <v>0</v>
      </c>
      <c r="D3834" s="3">
        <f>'[1]DEC 2025'!D179</f>
        <v>0</v>
      </c>
      <c r="E3834" s="3">
        <f>'[1]DEC 2025'!E179</f>
        <v>0</v>
      </c>
      <c r="F3834" s="3">
        <f>'[1]DEC 2025'!F179</f>
        <v>0</v>
      </c>
      <c r="G3834" s="3">
        <f>'[1]DEC 2025'!G179</f>
        <v>0</v>
      </c>
      <c r="H3834" s="3">
        <f>'[1]DEC 2025'!H179</f>
        <v>1531</v>
      </c>
    </row>
    <row r="3835" spans="1:8" x14ac:dyDescent="0.2">
      <c r="A3835" s="23">
        <f>'[1]DEC 2025'!A184</f>
        <v>46018</v>
      </c>
      <c r="B3835" s="12" t="str">
        <f>'[1]DEC 2025'!B184</f>
        <v>Andere</v>
      </c>
      <c r="C3835" s="3">
        <f>'[1]DEC 2025'!C184</f>
        <v>0</v>
      </c>
      <c r="D3835" s="3">
        <f>'[1]DEC 2025'!D184</f>
        <v>0</v>
      </c>
      <c r="E3835" s="3">
        <f>'[1]DEC 2025'!E184</f>
        <v>0</v>
      </c>
      <c r="F3835" s="3">
        <f>'[1]DEC 2025'!F184</f>
        <v>0</v>
      </c>
      <c r="G3835" s="3">
        <f>'[1]DEC 2025'!G184</f>
        <v>0</v>
      </c>
      <c r="H3835" s="3">
        <f>'[1]DEC 2025'!H184</f>
        <v>409</v>
      </c>
    </row>
    <row r="3836" spans="1:8" x14ac:dyDescent="0.2">
      <c r="A3836" s="20">
        <f>'[1]DEC 2025'!A185</f>
        <v>46018</v>
      </c>
      <c r="B3836" s="12" t="str">
        <f>'[1]DEC 2025'!B185</f>
        <v>LM</v>
      </c>
      <c r="C3836" s="3">
        <f>'[1]DEC 2025'!C185</f>
        <v>0</v>
      </c>
      <c r="D3836" s="3">
        <f>'[1]DEC 2025'!D185</f>
        <v>0</v>
      </c>
      <c r="E3836" s="3">
        <f>'[1]DEC 2025'!E185</f>
        <v>0</v>
      </c>
      <c r="F3836" s="3">
        <f>'[1]DEC 2025'!F185</f>
        <v>0</v>
      </c>
      <c r="G3836" s="3">
        <f>'[1]DEC 2025'!G185</f>
        <v>0</v>
      </c>
      <c r="H3836" s="3">
        <f>'[1]DEC 2025'!H185</f>
        <v>1025.8499999999999</v>
      </c>
    </row>
    <row r="3837" spans="1:8" x14ac:dyDescent="0.2">
      <c r="A3837" s="20">
        <f>'[1]DEC 2025'!A191</f>
        <v>46019</v>
      </c>
      <c r="B3837" s="12" t="str">
        <f>'[1]DEC 2025'!B191</f>
        <v>LM</v>
      </c>
      <c r="C3837" s="3">
        <f>'[1]DEC 2025'!C191</f>
        <v>0</v>
      </c>
      <c r="D3837" s="3">
        <f>'[1]DEC 2025'!D191</f>
        <v>0</v>
      </c>
      <c r="E3837" s="3">
        <f>'[1]DEC 2025'!E191</f>
        <v>0</v>
      </c>
      <c r="F3837" s="3">
        <f>'[1]DEC 2025'!F191</f>
        <v>0</v>
      </c>
      <c r="G3837" s="3">
        <f>'[1]DEC 2025'!G191</f>
        <v>0</v>
      </c>
      <c r="H3837" s="3">
        <f>'[1]DEC 2025'!H191</f>
        <v>6295.1900000000005</v>
      </c>
    </row>
    <row r="3838" spans="1:8" x14ac:dyDescent="0.2">
      <c r="A3838" s="23">
        <f>'[1]DEC 2025'!A192</f>
        <v>46019</v>
      </c>
      <c r="B3838" s="12" t="str">
        <f>'[1]DEC 2025'!B192</f>
        <v>for me</v>
      </c>
      <c r="C3838" s="3">
        <f>'[1]DEC 2025'!C192</f>
        <v>0</v>
      </c>
      <c r="D3838" s="3">
        <f>'[1]DEC 2025'!D192</f>
        <v>0</v>
      </c>
      <c r="E3838" s="3">
        <f>'[1]DEC 2025'!E192</f>
        <v>0</v>
      </c>
      <c r="F3838" s="3">
        <f>'[1]DEC 2025'!F192</f>
        <v>0</v>
      </c>
      <c r="G3838" s="3">
        <f>'[1]DEC 2025'!G192</f>
        <v>0</v>
      </c>
      <c r="H3838" s="3">
        <f>'[1]DEC 2025'!H192</f>
        <v>279</v>
      </c>
    </row>
    <row r="3839" spans="1:8" x14ac:dyDescent="0.2">
      <c r="A3839" s="20">
        <f>'[1]DEC 2025'!A193</f>
        <v>46019</v>
      </c>
      <c r="B3839" s="12" t="str">
        <f>'[1]DEC 2025'!B193</f>
        <v>Andere</v>
      </c>
      <c r="C3839" s="3">
        <f>'[1]DEC 2025'!C193</f>
        <v>0</v>
      </c>
      <c r="D3839" s="3">
        <f>'[1]DEC 2025'!D193</f>
        <v>0</v>
      </c>
      <c r="E3839" s="3">
        <f>'[1]DEC 2025'!E193</f>
        <v>0</v>
      </c>
      <c r="F3839" s="3">
        <f>'[1]DEC 2025'!F193</f>
        <v>0</v>
      </c>
      <c r="G3839" s="3">
        <f>'[1]DEC 2025'!G193</f>
        <v>0</v>
      </c>
      <c r="H3839" s="3">
        <f>'[1]DEC 2025'!H193</f>
        <v>1755</v>
      </c>
    </row>
    <row r="3840" spans="1:8" x14ac:dyDescent="0.2">
      <c r="A3840" s="23">
        <f>'[1]DEC 2025'!A198</f>
        <v>46020</v>
      </c>
      <c r="B3840" s="12" t="str">
        <f>'[1]DEC 2025'!B198</f>
        <v>LM</v>
      </c>
      <c r="C3840" s="3">
        <f>'[1]DEC 2025'!C198</f>
        <v>0</v>
      </c>
      <c r="D3840" s="3">
        <f>'[1]DEC 2025'!D198</f>
        <v>0</v>
      </c>
      <c r="E3840" s="3">
        <f>'[1]DEC 2025'!E198</f>
        <v>0</v>
      </c>
      <c r="F3840" s="3">
        <f>'[1]DEC 2025'!F198</f>
        <v>0</v>
      </c>
      <c r="G3840" s="3">
        <f>'[1]DEC 2025'!G198</f>
        <v>0</v>
      </c>
      <c r="H3840" s="3">
        <f>'[1]DEC 2025'!H198</f>
        <v>82.99</v>
      </c>
    </row>
    <row r="3841" spans="1:8" x14ac:dyDescent="0.2">
      <c r="A3841" s="20">
        <f>'[1]DEC 2025'!A199</f>
        <v>46020</v>
      </c>
      <c r="B3841" s="12" t="str">
        <f>'[1]DEC 2025'!B199</f>
        <v>Frauen</v>
      </c>
      <c r="C3841" s="3">
        <f>'[1]DEC 2025'!C199</f>
        <v>0</v>
      </c>
      <c r="D3841" s="3">
        <f>'[1]DEC 2025'!D199</f>
        <v>0</v>
      </c>
      <c r="E3841" s="3">
        <f>'[1]DEC 2025'!E199</f>
        <v>0</v>
      </c>
      <c r="F3841" s="3">
        <f>'[1]DEC 2025'!F199</f>
        <v>0</v>
      </c>
      <c r="G3841" s="3">
        <f>'[1]DEC 2025'!G199</f>
        <v>0</v>
      </c>
      <c r="H3841" s="3">
        <f>'[1]DEC 2025'!H199</f>
        <v>13980</v>
      </c>
    </row>
    <row r="3842" spans="1:8" x14ac:dyDescent="0.2">
      <c r="A3842" s="23">
        <f>'[1]DEC 2025'!A202</f>
        <v>46020</v>
      </c>
      <c r="B3842" s="12" t="str">
        <f>'[1]DEC 2025'!B202</f>
        <v>none</v>
      </c>
      <c r="C3842" s="3">
        <f>'[1]DEC 2025'!C202</f>
        <v>0</v>
      </c>
      <c r="D3842" s="3">
        <f>'[1]DEC 2025'!D202</f>
        <v>0</v>
      </c>
      <c r="E3842" s="3">
        <f>'[1]DEC 2025'!E202</f>
        <v>0</v>
      </c>
      <c r="F3842" s="3">
        <f>'[1]DEC 2025'!F202</f>
        <v>0</v>
      </c>
      <c r="G3842" s="3">
        <f>'[1]DEC 2025'!G202</f>
        <v>0</v>
      </c>
      <c r="H3842" s="3">
        <f>'[1]DEC 2025'!H202</f>
        <v>5000</v>
      </c>
    </row>
    <row r="3843" spans="1:8" x14ac:dyDescent="0.2">
      <c r="A3843" s="20">
        <f>'[1]DEC 2025'!A205</f>
        <v>46021</v>
      </c>
      <c r="B3843" s="12" t="str">
        <f>'[1]DEC 2025'!B205</f>
        <v>for me</v>
      </c>
      <c r="C3843" s="3">
        <f>'[1]DEC 2025'!C205</f>
        <v>0</v>
      </c>
      <c r="D3843" s="3">
        <f>'[1]DEC 2025'!D205</f>
        <v>0</v>
      </c>
      <c r="E3843" s="3">
        <f>'[1]DEC 2025'!E205</f>
        <v>0</v>
      </c>
      <c r="F3843" s="3">
        <f>'[1]DEC 2025'!F205</f>
        <v>0</v>
      </c>
      <c r="G3843" s="3">
        <f>'[1]DEC 2025'!G205</f>
        <v>0</v>
      </c>
      <c r="H3843" s="3">
        <f>'[1]DEC 2025'!H205</f>
        <v>1600</v>
      </c>
    </row>
    <row r="3844" spans="1:8" x14ac:dyDescent="0.2">
      <c r="A3844" s="23">
        <f>'[1]DEC 2025'!A206</f>
        <v>46021</v>
      </c>
      <c r="B3844" s="12" t="str">
        <f>'[1]DEC 2025'!B206</f>
        <v>Andere</v>
      </c>
      <c r="C3844" s="3">
        <f>'[1]DEC 2025'!C206</f>
        <v>0</v>
      </c>
      <c r="D3844" s="3">
        <f>'[1]DEC 2025'!D206</f>
        <v>0</v>
      </c>
      <c r="E3844" s="3">
        <f>'[1]DEC 2025'!E206</f>
        <v>0</v>
      </c>
      <c r="F3844" s="3">
        <f>'[1]DEC 2025'!F206</f>
        <v>0</v>
      </c>
      <c r="G3844" s="3">
        <f>'[1]DEC 2025'!G206</f>
        <v>0</v>
      </c>
      <c r="H3844" s="3">
        <f>'[1]DEC 2025'!H206</f>
        <v>3955</v>
      </c>
    </row>
    <row r="3845" spans="1:8" x14ac:dyDescent="0.2">
      <c r="A3845" s="20">
        <f>'[1]DEC 2025'!A207</f>
        <v>46021</v>
      </c>
      <c r="B3845" s="12" t="str">
        <f>'[1]DEC 2025'!B207</f>
        <v>LM</v>
      </c>
      <c r="C3845" s="3">
        <f>'[1]DEC 2025'!C207</f>
        <v>0</v>
      </c>
      <c r="D3845" s="3">
        <f>'[1]DEC 2025'!D207</f>
        <v>0</v>
      </c>
      <c r="E3845" s="3">
        <f>'[1]DEC 2025'!E207</f>
        <v>0</v>
      </c>
      <c r="F3845" s="3">
        <f>'[1]DEC 2025'!F207</f>
        <v>0</v>
      </c>
      <c r="G3845" s="3">
        <f>'[1]DEC 2025'!G207</f>
        <v>0</v>
      </c>
      <c r="H3845" s="3">
        <f>'[1]DEC 2025'!H207</f>
        <v>2906.87</v>
      </c>
    </row>
    <row r="3846" spans="1:8" x14ac:dyDescent="0.2">
      <c r="A3846" s="23">
        <f>'[1]DEC 2025'!A208</f>
        <v>46021</v>
      </c>
      <c r="B3846" s="12" t="str">
        <f>'[1]DEC 2025'!B208</f>
        <v>Car</v>
      </c>
      <c r="C3846" s="3">
        <f>'[1]DEC 2025'!C208</f>
        <v>0</v>
      </c>
      <c r="D3846" s="3">
        <f>'[1]DEC 2025'!D208</f>
        <v>0</v>
      </c>
      <c r="E3846" s="3">
        <f>'[1]DEC 2025'!E208</f>
        <v>0</v>
      </c>
      <c r="F3846" s="3">
        <f>'[1]DEC 2025'!F208</f>
        <v>0</v>
      </c>
      <c r="G3846" s="3">
        <f>'[1]DEC 2025'!G208</f>
        <v>0</v>
      </c>
      <c r="H3846" s="3">
        <f>'[1]DEC 2025'!H208</f>
        <v>100000</v>
      </c>
    </row>
    <row r="3847" spans="1:8" x14ac:dyDescent="0.2">
      <c r="A3847" s="20">
        <f>'[1]DEC 2025'!A209</f>
        <v>46021</v>
      </c>
      <c r="B3847" s="12" t="str">
        <f>'[1]DEC 2025'!B209</f>
        <v>Refill</v>
      </c>
      <c r="C3847" s="3">
        <f>'[1]DEC 2025'!C209</f>
        <v>0</v>
      </c>
      <c r="D3847" s="3">
        <f>'[1]DEC 2025'!D209</f>
        <v>0</v>
      </c>
      <c r="E3847" s="3">
        <f>'[1]DEC 2025'!E209</f>
        <v>0</v>
      </c>
      <c r="F3847" s="3">
        <f>'[1]DEC 2025'!F209</f>
        <v>0</v>
      </c>
      <c r="G3847" s="3">
        <f>'[1]DEC 2025'!G209</f>
        <v>693349</v>
      </c>
      <c r="H3847" s="3">
        <f>'[1]DEC 2025'!H209</f>
        <v>0</v>
      </c>
    </row>
    <row r="3848" spans="1:8" x14ac:dyDescent="0.2">
      <c r="A3848" s="23">
        <f>'[1]DEC 2025'!A212</f>
        <v>46022</v>
      </c>
      <c r="B3848" s="12" t="str">
        <f>'[1]DEC 2025'!B212</f>
        <v>Andere</v>
      </c>
      <c r="C3848" s="3">
        <f>'[1]DEC 2025'!C212</f>
        <v>0</v>
      </c>
      <c r="D3848" s="3">
        <f>'[1]DEC 2025'!D212</f>
        <v>0</v>
      </c>
      <c r="E3848" s="3">
        <f>'[1]DEC 2025'!E212</f>
        <v>0</v>
      </c>
      <c r="F3848" s="3">
        <f>'[1]DEC 2025'!F212</f>
        <v>0</v>
      </c>
      <c r="G3848" s="3">
        <f>'[1]DEC 2025'!G212</f>
        <v>0</v>
      </c>
      <c r="H3848" s="3">
        <f>'[1]DEC 2025'!H212</f>
        <v>21.7</v>
      </c>
    </row>
    <row r="3849" spans="1:8" x14ac:dyDescent="0.2">
      <c r="A3849" s="20">
        <f>'[1]DEC 2025'!A213</f>
        <v>46022</v>
      </c>
      <c r="B3849" s="12" t="str">
        <f>'[1]DEC 2025'!B213</f>
        <v>LM</v>
      </c>
      <c r="C3849" s="3">
        <f>'[1]DEC 2025'!C213</f>
        <v>0</v>
      </c>
      <c r="D3849" s="3">
        <f>'[1]DEC 2025'!D213</f>
        <v>0</v>
      </c>
      <c r="E3849" s="3">
        <f>'[1]DEC 2025'!E213</f>
        <v>0</v>
      </c>
      <c r="F3849" s="3">
        <f>'[1]DEC 2025'!F213</f>
        <v>0</v>
      </c>
      <c r="G3849" s="3">
        <f>'[1]DEC 2025'!G213</f>
        <v>0</v>
      </c>
      <c r="H3849" s="3">
        <f>'[1]DEC 2025'!H213</f>
        <v>4060.0800000000004</v>
      </c>
    </row>
    <row r="3850" spans="1:8" x14ac:dyDescent="0.2">
      <c r="A3850" s="20">
        <f>'[1]JAN 2026'!A2</f>
        <v>46023</v>
      </c>
      <c r="B3850" s="12" t="str">
        <f>'[1]JAN 2026'!B2</f>
        <v>LM</v>
      </c>
      <c r="C3850" s="3">
        <f>'[1]JAN 2026'!C2</f>
        <v>0</v>
      </c>
      <c r="D3850" s="3">
        <f>'[1]JAN 2026'!D2</f>
        <v>0</v>
      </c>
      <c r="E3850" s="3">
        <f>'[1]JAN 2026'!E2</f>
        <v>0</v>
      </c>
      <c r="F3850" s="3">
        <f>'[1]JAN 2026'!F2</f>
        <v>0</v>
      </c>
      <c r="G3850" s="3">
        <f>'[1]JAN 2026'!G2</f>
        <v>0</v>
      </c>
      <c r="H3850" s="3">
        <f>'[1]JAN 2026'!H2</f>
        <v>299.98</v>
      </c>
    </row>
    <row r="3851" spans="1:8" x14ac:dyDescent="0.2">
      <c r="A3851" s="23">
        <f>'[1]JAN 2026'!A3</f>
        <v>46023</v>
      </c>
      <c r="B3851" s="12" t="str">
        <f>'[1]JAN 2026'!B3</f>
        <v>Refill</v>
      </c>
      <c r="C3851" s="3">
        <f>'[1]JAN 2026'!C3</f>
        <v>196</v>
      </c>
      <c r="D3851" s="3">
        <f>'[1]JAN 2026'!D3</f>
        <v>0</v>
      </c>
      <c r="E3851" s="3">
        <f>'[1]JAN 2026'!E3</f>
        <v>0</v>
      </c>
      <c r="F3851" s="3">
        <f>'[1]JAN 2026'!F3</f>
        <v>0</v>
      </c>
      <c r="G3851" s="3">
        <f>'[1]JAN 2026'!G3</f>
        <v>112901.5</v>
      </c>
      <c r="H3851" s="3">
        <f>'[1]JAN 2026'!H3</f>
        <v>0</v>
      </c>
    </row>
    <row r="3852" spans="1:8" x14ac:dyDescent="0.2">
      <c r="A3852" s="23">
        <f>'[1]JAN 2026'!A9</f>
        <v>46024</v>
      </c>
      <c r="B3852" s="12" t="str">
        <f>'[1]JAN 2026'!B9</f>
        <v>Andere</v>
      </c>
      <c r="C3852" s="3">
        <f>'[1]JAN 2026'!C9</f>
        <v>0</v>
      </c>
      <c r="D3852" s="3">
        <f>'[1]JAN 2026'!D9</f>
        <v>0</v>
      </c>
      <c r="E3852" s="3">
        <f>'[1]JAN 2026'!E9</f>
        <v>0</v>
      </c>
      <c r="F3852" s="3">
        <f>'[1]JAN 2026'!F9</f>
        <v>0</v>
      </c>
      <c r="G3852" s="3">
        <f>'[1]JAN 2026'!G9</f>
        <v>0</v>
      </c>
      <c r="H3852" s="3">
        <f>'[1]JAN 2026'!H9</f>
        <v>217</v>
      </c>
    </row>
    <row r="3853" spans="1:8" x14ac:dyDescent="0.2">
      <c r="A3853" s="20">
        <f>'[1]JAN 2026'!A10</f>
        <v>46024</v>
      </c>
      <c r="B3853" s="12" t="str">
        <f>'[1]JAN 2026'!B10</f>
        <v>Frauen</v>
      </c>
      <c r="C3853" s="3">
        <f>'[1]JAN 2026'!C10</f>
        <v>0</v>
      </c>
      <c r="D3853" s="3">
        <f>'[1]JAN 2026'!D10</f>
        <v>0</v>
      </c>
      <c r="E3853" s="3">
        <f>'[1]JAN 2026'!E10</f>
        <v>0</v>
      </c>
      <c r="F3853" s="3">
        <f>'[1]JAN 2026'!F10</f>
        <v>0</v>
      </c>
      <c r="G3853" s="3">
        <f>'[1]JAN 2026'!G10</f>
        <v>0</v>
      </c>
      <c r="H3853" s="3">
        <f>'[1]JAN 2026'!H10</f>
        <v>2154.94</v>
      </c>
    </row>
    <row r="3854" spans="1:8" x14ac:dyDescent="0.2">
      <c r="A3854" s="23">
        <f>'[1]JAN 2026'!A11</f>
        <v>46024</v>
      </c>
      <c r="B3854" s="12" t="str">
        <f>'[1]JAN 2026'!B11</f>
        <v>LM</v>
      </c>
      <c r="C3854" s="3">
        <f>'[1]JAN 2026'!C11</f>
        <v>0</v>
      </c>
      <c r="D3854" s="3">
        <f>'[1]JAN 2026'!D11</f>
        <v>0</v>
      </c>
      <c r="E3854" s="3">
        <f>'[1]JAN 2026'!E11</f>
        <v>0</v>
      </c>
      <c r="F3854" s="3">
        <f>'[1]JAN 2026'!F11</f>
        <v>0</v>
      </c>
      <c r="G3854" s="3">
        <f>'[1]JAN 2026'!G11</f>
        <v>0</v>
      </c>
      <c r="H3854" s="3">
        <f>'[1]JAN 2026'!H11</f>
        <v>1203.6199999999999</v>
      </c>
    </row>
    <row r="3855" spans="1:8" x14ac:dyDescent="0.2">
      <c r="A3855" s="20">
        <f>'[1]JAN 2026'!A12</f>
        <v>46024</v>
      </c>
      <c r="B3855" s="12" t="str">
        <f>'[1]JAN 2026'!B12</f>
        <v>Andere</v>
      </c>
      <c r="C3855" s="3">
        <f>'[1]JAN 2026'!C12</f>
        <v>0</v>
      </c>
      <c r="D3855" s="3">
        <f>'[1]JAN 2026'!D12</f>
        <v>0</v>
      </c>
      <c r="E3855" s="3">
        <f>'[1]JAN 2026'!E12</f>
        <v>0</v>
      </c>
      <c r="F3855" s="3">
        <f>'[1]JAN 2026'!F12</f>
        <v>0</v>
      </c>
      <c r="G3855" s="3">
        <f>'[1]JAN 2026'!G12</f>
        <v>0</v>
      </c>
      <c r="H3855" s="3">
        <f>'[1]JAN 2026'!H12</f>
        <v>89</v>
      </c>
    </row>
    <row r="3856" spans="1:8" x14ac:dyDescent="0.2">
      <c r="A3856" s="20">
        <f>'[1]JAN 2026'!A16</f>
        <v>46025</v>
      </c>
      <c r="B3856" s="12" t="str">
        <f>'[1]JAN 2026'!B16</f>
        <v>Fuel</v>
      </c>
      <c r="C3856" s="3">
        <f>'[1]JAN 2026'!C16</f>
        <v>0</v>
      </c>
      <c r="D3856" s="3">
        <f>'[1]JAN 2026'!D16</f>
        <v>0</v>
      </c>
      <c r="E3856" s="3">
        <f>'[1]JAN 2026'!E16</f>
        <v>0</v>
      </c>
      <c r="F3856" s="3">
        <f>'[1]JAN 2026'!F16</f>
        <v>0</v>
      </c>
      <c r="G3856" s="3">
        <f>'[1]JAN 2026'!G16</f>
        <v>0</v>
      </c>
      <c r="H3856" s="3">
        <f>'[1]JAN 2026'!H16</f>
        <v>3454</v>
      </c>
    </row>
    <row r="3857" spans="1:8" x14ac:dyDescent="0.2">
      <c r="A3857" s="23">
        <f>'[1]JAN 2026'!A23</f>
        <v>46026</v>
      </c>
      <c r="B3857" s="12" t="str">
        <f>'[1]JAN 2026'!B23</f>
        <v>Andere</v>
      </c>
      <c r="C3857" s="3">
        <f>'[1]JAN 2026'!C23</f>
        <v>0</v>
      </c>
      <c r="D3857" s="3">
        <f>'[1]JAN 2026'!D23</f>
        <v>0</v>
      </c>
      <c r="E3857" s="3">
        <f>'[1]JAN 2026'!E23</f>
        <v>0</v>
      </c>
      <c r="F3857" s="3">
        <f>'[1]JAN 2026'!F23</f>
        <v>0</v>
      </c>
      <c r="G3857" s="3">
        <f>'[1]JAN 2026'!G23</f>
        <v>0</v>
      </c>
      <c r="H3857" s="3">
        <f>'[1]JAN 2026'!H23</f>
        <v>340</v>
      </c>
    </row>
    <row r="3858" spans="1:8" x14ac:dyDescent="0.2">
      <c r="A3858" s="20">
        <f>'[1]JAN 2026'!A24</f>
        <v>46026</v>
      </c>
      <c r="B3858" s="12" t="str">
        <f>'[1]JAN 2026'!B24</f>
        <v>LM</v>
      </c>
      <c r="C3858" s="3">
        <f>'[1]JAN 2026'!C24</f>
        <v>0</v>
      </c>
      <c r="D3858" s="3">
        <f>'[1]JAN 2026'!D24</f>
        <v>0</v>
      </c>
      <c r="E3858" s="3">
        <f>'[1]JAN 2026'!E24</f>
        <v>0</v>
      </c>
      <c r="F3858" s="3">
        <f>'[1]JAN 2026'!F24</f>
        <v>0</v>
      </c>
      <c r="G3858" s="3">
        <f>'[1]JAN 2026'!G24</f>
        <v>0</v>
      </c>
      <c r="H3858" s="3">
        <f>'[1]JAN 2026'!H24</f>
        <v>769.97</v>
      </c>
    </row>
    <row r="3859" spans="1:8" x14ac:dyDescent="0.2">
      <c r="A3859" s="23">
        <f>'[1]JAN 2026'!A25</f>
        <v>46026</v>
      </c>
      <c r="B3859" s="12" t="str">
        <f>'[1]JAN 2026'!B25</f>
        <v>LM</v>
      </c>
      <c r="C3859" s="3">
        <f>'[1]JAN 2026'!C25</f>
        <v>0</v>
      </c>
      <c r="D3859" s="3">
        <f>'[1]JAN 2026'!D25</f>
        <v>0</v>
      </c>
      <c r="E3859" s="3">
        <f>'[1]JAN 2026'!E25</f>
        <v>0</v>
      </c>
      <c r="F3859" s="3">
        <f>'[1]JAN 2026'!F25</f>
        <v>0</v>
      </c>
      <c r="G3859" s="3">
        <f>'[1]JAN 2026'!G25</f>
        <v>0</v>
      </c>
      <c r="H3859" s="3">
        <f>'[1]JAN 2026'!H25</f>
        <v>1741</v>
      </c>
    </row>
    <row r="3860" spans="1:8" x14ac:dyDescent="0.2">
      <c r="A3860" s="20">
        <f>'[1]JAN 2026'!A30</f>
        <v>46027</v>
      </c>
      <c r="B3860" s="12" t="str">
        <f>'[1]JAN 2026'!B30</f>
        <v>LM</v>
      </c>
      <c r="C3860" s="3">
        <f>'[1]JAN 2026'!C30</f>
        <v>0</v>
      </c>
      <c r="D3860" s="3">
        <f>'[1]JAN 2026'!D30</f>
        <v>0</v>
      </c>
      <c r="E3860" s="3">
        <f>'[1]JAN 2026'!E30</f>
        <v>0</v>
      </c>
      <c r="F3860" s="3">
        <f>'[1]JAN 2026'!F30</f>
        <v>0</v>
      </c>
      <c r="G3860" s="3">
        <f>'[1]JAN 2026'!G30</f>
        <v>0</v>
      </c>
      <c r="H3860" s="3">
        <f>'[1]JAN 2026'!H30</f>
        <v>938.97</v>
      </c>
    </row>
    <row r="3861" spans="1:8" x14ac:dyDescent="0.2">
      <c r="A3861" s="20">
        <f>'[1]JAN 2026'!A38</f>
        <v>46028</v>
      </c>
      <c r="B3861" s="12" t="str">
        <f>'[1]JAN 2026'!B38</f>
        <v>LM</v>
      </c>
      <c r="C3861" s="3">
        <f>'[1]JAN 2026'!C38</f>
        <v>0</v>
      </c>
      <c r="D3861" s="3">
        <f>'[1]JAN 2026'!D38</f>
        <v>0</v>
      </c>
      <c r="E3861" s="3">
        <f>'[1]JAN 2026'!E38</f>
        <v>0</v>
      </c>
      <c r="F3861" s="3">
        <f>'[1]JAN 2026'!F38</f>
        <v>0</v>
      </c>
      <c r="G3861" s="3">
        <f>'[1]JAN 2026'!G38</f>
        <v>0</v>
      </c>
      <c r="H3861" s="3">
        <f>'[1]JAN 2026'!H38</f>
        <v>242.86</v>
      </c>
    </row>
    <row r="3862" spans="1:8" x14ac:dyDescent="0.2">
      <c r="A3862" s="23">
        <f>'[1]JAN 2026'!A39</f>
        <v>46028</v>
      </c>
      <c r="B3862" s="12" t="str">
        <f>'[1]JAN 2026'!B39</f>
        <v>Andere</v>
      </c>
      <c r="C3862" s="3">
        <f>'[1]JAN 2026'!C39</f>
        <v>0</v>
      </c>
      <c r="D3862" s="3">
        <f>'[1]JAN 2026'!D39</f>
        <v>0</v>
      </c>
      <c r="E3862" s="3">
        <f>'[1]JAN 2026'!E39</f>
        <v>0</v>
      </c>
      <c r="F3862" s="3">
        <f>'[1]JAN 2026'!F39</f>
        <v>0</v>
      </c>
      <c r="G3862" s="3">
        <f>'[1]JAN 2026'!G39</f>
        <v>0</v>
      </c>
      <c r="H3862" s="3">
        <f>'[1]JAN 2026'!H39</f>
        <v>600</v>
      </c>
    </row>
    <row r="3863" spans="1:8" x14ac:dyDescent="0.2">
      <c r="A3863" s="20">
        <f>'[1]JAN 2026'!A42</f>
        <v>46028</v>
      </c>
      <c r="B3863" s="12" t="str">
        <f>'[1]JAN 2026'!B42</f>
        <v>none</v>
      </c>
      <c r="C3863" s="3">
        <f>'[1]JAN 2026'!C42</f>
        <v>0</v>
      </c>
      <c r="D3863" s="3">
        <f>'[1]JAN 2026'!D42</f>
        <v>0</v>
      </c>
      <c r="E3863" s="3">
        <f>'[1]JAN 2026'!E42</f>
        <v>0</v>
      </c>
      <c r="F3863" s="3">
        <f>'[1]JAN 2026'!F42</f>
        <v>0</v>
      </c>
      <c r="G3863" s="3">
        <f>'[1]JAN 2026'!G42</f>
        <v>0</v>
      </c>
      <c r="H3863" s="3">
        <f>'[1]JAN 2026'!H42</f>
        <v>1</v>
      </c>
    </row>
    <row r="3864" spans="1:8" x14ac:dyDescent="0.2">
      <c r="A3864" s="20">
        <f>'[1]JAN 2026'!A44</f>
        <v>46029</v>
      </c>
      <c r="B3864" s="12" t="str">
        <f>'[1]JAN 2026'!B44</f>
        <v>LM</v>
      </c>
      <c r="C3864" s="3">
        <f>'[1]JAN 2026'!C44</f>
        <v>0</v>
      </c>
      <c r="D3864" s="3">
        <f>'[1]JAN 2026'!D44</f>
        <v>0</v>
      </c>
      <c r="E3864" s="3">
        <f>'[1]JAN 2026'!E44</f>
        <v>0</v>
      </c>
      <c r="F3864" s="3">
        <f>'[1]JAN 2026'!F44</f>
        <v>0</v>
      </c>
      <c r="G3864" s="3">
        <f>'[1]JAN 2026'!G44</f>
        <v>0</v>
      </c>
      <c r="H3864" s="3">
        <f>'[1]JAN 2026'!H44</f>
        <v>3189</v>
      </c>
    </row>
    <row r="3865" spans="1:8" x14ac:dyDescent="0.2">
      <c r="A3865" s="23">
        <f>'[1]JAN 2026'!A45</f>
        <v>46029</v>
      </c>
      <c r="B3865" s="12" t="str">
        <f>'[1]JAN 2026'!B45</f>
        <v>none</v>
      </c>
      <c r="C3865" s="3">
        <f>'[1]JAN 2026'!C45</f>
        <v>0</v>
      </c>
      <c r="D3865" s="3">
        <f>'[1]JAN 2026'!D45</f>
        <v>0</v>
      </c>
      <c r="E3865" s="3">
        <f>'[1]JAN 2026'!E45</f>
        <v>0</v>
      </c>
      <c r="F3865" s="3">
        <f>'[1]JAN 2026'!F45</f>
        <v>0</v>
      </c>
      <c r="G3865" s="3">
        <f>'[1]JAN 2026'!G45</f>
        <v>9000</v>
      </c>
      <c r="H3865" s="3">
        <f>'[1]JAN 2026'!H45</f>
        <v>0</v>
      </c>
    </row>
    <row r="3866" spans="1:8" x14ac:dyDescent="0.2">
      <c r="A3866" s="20">
        <f>'[1]JAN 2026'!A46</f>
        <v>46029</v>
      </c>
      <c r="B3866" s="12" t="str">
        <f>'[1]JAN 2026'!B46</f>
        <v>none</v>
      </c>
      <c r="C3866" s="3">
        <f>'[1]JAN 2026'!C46</f>
        <v>0</v>
      </c>
      <c r="D3866" s="3">
        <f>'[1]JAN 2026'!D46</f>
        <v>0</v>
      </c>
      <c r="E3866" s="3">
        <f>'[1]JAN 2026'!E46</f>
        <v>0</v>
      </c>
      <c r="F3866" s="3">
        <f>'[1]JAN 2026'!F46</f>
        <v>0</v>
      </c>
      <c r="G3866" s="3">
        <f>'[1]JAN 2026'!G46</f>
        <v>0</v>
      </c>
      <c r="H3866" s="3">
        <f>'[1]JAN 2026'!H46</f>
        <v>600</v>
      </c>
    </row>
    <row r="3867" spans="1:8" x14ac:dyDescent="0.2">
      <c r="A3867" s="23">
        <f>'[1]JAN 2026'!A51</f>
        <v>46030</v>
      </c>
      <c r="B3867" s="12" t="str">
        <f>'[1]JAN 2026'!B51</f>
        <v>LM</v>
      </c>
      <c r="C3867" s="3">
        <f>'[1]JAN 2026'!C51</f>
        <v>0</v>
      </c>
      <c r="D3867" s="3">
        <f>'[1]JAN 2026'!D51</f>
        <v>0</v>
      </c>
      <c r="E3867" s="3">
        <f>'[1]JAN 2026'!E51</f>
        <v>0</v>
      </c>
      <c r="F3867" s="3">
        <f>'[1]JAN 2026'!F51</f>
        <v>0</v>
      </c>
      <c r="G3867" s="3">
        <f>'[1]JAN 2026'!G51</f>
        <v>0</v>
      </c>
      <c r="H3867" s="3">
        <f>'[1]JAN 2026'!H51</f>
        <v>1052.8699999999999</v>
      </c>
    </row>
    <row r="3868" spans="1:8" x14ac:dyDescent="0.2">
      <c r="A3868" s="20">
        <f>'[1]JAN 2026'!A52</f>
        <v>46030</v>
      </c>
      <c r="B3868" s="12" t="str">
        <f>'[1]JAN 2026'!B52</f>
        <v>Frauen</v>
      </c>
      <c r="C3868" s="3">
        <f>'[1]JAN 2026'!C52</f>
        <v>0</v>
      </c>
      <c r="D3868" s="3">
        <f>'[1]JAN 2026'!D52</f>
        <v>0</v>
      </c>
      <c r="E3868" s="3">
        <f>'[1]JAN 2026'!E52</f>
        <v>0</v>
      </c>
      <c r="F3868" s="3">
        <f>'[1]JAN 2026'!F52</f>
        <v>0</v>
      </c>
      <c r="G3868" s="3">
        <f>'[1]JAN 2026'!G52</f>
        <v>0</v>
      </c>
      <c r="H3868" s="3">
        <f>'[1]JAN 2026'!H52</f>
        <v>1937</v>
      </c>
    </row>
    <row r="3869" spans="1:8" x14ac:dyDescent="0.2">
      <c r="A3869" s="23">
        <f>'[1]JAN 2026'!A53</f>
        <v>46030</v>
      </c>
      <c r="B3869" s="12" t="str">
        <f>'[1]JAN 2026'!B53</f>
        <v>Andere</v>
      </c>
      <c r="C3869" s="3">
        <f>'[1]JAN 2026'!C53</f>
        <v>0</v>
      </c>
      <c r="D3869" s="3">
        <f>'[1]JAN 2026'!D53</f>
        <v>0</v>
      </c>
      <c r="E3869" s="3">
        <f>'[1]JAN 2026'!E53</f>
        <v>0</v>
      </c>
      <c r="F3869" s="3">
        <f>'[1]JAN 2026'!F53</f>
        <v>0</v>
      </c>
      <c r="G3869" s="3">
        <f>'[1]JAN 2026'!G53</f>
        <v>0</v>
      </c>
      <c r="H3869" s="3">
        <f>'[1]JAN 2026'!H53</f>
        <v>1290</v>
      </c>
    </row>
    <row r="3870" spans="1:8" x14ac:dyDescent="0.2">
      <c r="A3870" s="20">
        <f>'[1]JAN 2026'!A58</f>
        <v>46031</v>
      </c>
      <c r="B3870" s="12" t="str">
        <f>'[1]JAN 2026'!B58</f>
        <v>LM</v>
      </c>
      <c r="C3870" s="3">
        <f>'[1]JAN 2026'!C58</f>
        <v>0</v>
      </c>
      <c r="D3870" s="3">
        <f>'[1]JAN 2026'!D58</f>
        <v>0</v>
      </c>
      <c r="E3870" s="3">
        <f>'[1]JAN 2026'!E58</f>
        <v>0</v>
      </c>
      <c r="F3870" s="3">
        <f>'[1]JAN 2026'!F58</f>
        <v>0</v>
      </c>
      <c r="G3870" s="3">
        <f>'[1]JAN 2026'!G58</f>
        <v>0</v>
      </c>
      <c r="H3870" s="3">
        <f>'[1]JAN 2026'!H58</f>
        <v>697.97</v>
      </c>
    </row>
    <row r="3871" spans="1:8" x14ac:dyDescent="0.2">
      <c r="A3871" s="23">
        <f>'[1]JAN 2026'!A65</f>
        <v>46032</v>
      </c>
      <c r="B3871" s="12" t="str">
        <f>'[1]JAN 2026'!B65</f>
        <v>Andere</v>
      </c>
      <c r="C3871" s="3">
        <f>'[1]JAN 2026'!C65</f>
        <v>0</v>
      </c>
      <c r="D3871" s="3">
        <f>'[1]JAN 2026'!D65</f>
        <v>0</v>
      </c>
      <c r="E3871" s="3">
        <f>'[1]JAN 2026'!E65</f>
        <v>0</v>
      </c>
      <c r="F3871" s="3">
        <f>'[1]JAN 2026'!F65</f>
        <v>0</v>
      </c>
      <c r="G3871" s="3">
        <f>'[1]JAN 2026'!G65</f>
        <v>0</v>
      </c>
      <c r="H3871" s="3">
        <f>'[1]JAN 2026'!H65</f>
        <v>402</v>
      </c>
    </row>
    <row r="3872" spans="1:8" x14ac:dyDescent="0.2">
      <c r="A3872" s="20">
        <f>'[1]JAN 2026'!A66</f>
        <v>46032</v>
      </c>
      <c r="B3872" s="12" t="str">
        <f>'[1]JAN 2026'!B66</f>
        <v>LM</v>
      </c>
      <c r="C3872" s="3">
        <f>'[1]JAN 2026'!C66</f>
        <v>0</v>
      </c>
      <c r="D3872" s="3">
        <f>'[1]JAN 2026'!D66</f>
        <v>0</v>
      </c>
      <c r="E3872" s="3">
        <f>'[1]JAN 2026'!E66</f>
        <v>0</v>
      </c>
      <c r="F3872" s="3">
        <f>'[1]JAN 2026'!F66</f>
        <v>0</v>
      </c>
      <c r="G3872" s="3">
        <f>'[1]JAN 2026'!G66</f>
        <v>0</v>
      </c>
      <c r="H3872" s="3">
        <f>'[1]JAN 2026'!H66</f>
        <v>1070.98</v>
      </c>
    </row>
    <row r="3873" spans="1:8" x14ac:dyDescent="0.2">
      <c r="A3873" s="20">
        <f>'[1]JAN 2026'!A72</f>
        <v>46033</v>
      </c>
      <c r="B3873" s="12" t="str">
        <f>'[1]JAN 2026'!B72</f>
        <v>LM</v>
      </c>
      <c r="C3873" s="3">
        <f>'[1]JAN 2026'!C72</f>
        <v>0</v>
      </c>
      <c r="D3873" s="3">
        <f>'[1]JAN 2026'!D72</f>
        <v>0</v>
      </c>
      <c r="E3873" s="4">
        <f>'[1]JAN 2026'!E72</f>
        <v>0</v>
      </c>
      <c r="F3873" s="3">
        <f>'[1]JAN 2026'!F72</f>
        <v>0</v>
      </c>
      <c r="G3873" s="4">
        <f>'[1]JAN 2026'!G72</f>
        <v>0</v>
      </c>
      <c r="H3873" s="4">
        <f>'[1]JAN 2026'!H72</f>
        <v>2281</v>
      </c>
    </row>
    <row r="3874" spans="1:8" x14ac:dyDescent="0.2">
      <c r="A3874" s="23">
        <f>'[1]JAN 2026'!A73</f>
        <v>46033</v>
      </c>
      <c r="B3874" s="12" t="str">
        <f>'[1]JAN 2026'!B73</f>
        <v>Fuel</v>
      </c>
      <c r="C3874" s="3">
        <f>'[1]JAN 2026'!C73</f>
        <v>0</v>
      </c>
      <c r="D3874" s="3">
        <f>'[1]JAN 2026'!D73</f>
        <v>0</v>
      </c>
      <c r="E3874" s="4">
        <f>'[1]JAN 2026'!E73</f>
        <v>0</v>
      </c>
      <c r="F3874" s="3">
        <f>'[1]JAN 2026'!F73</f>
        <v>0</v>
      </c>
      <c r="G3874" s="4">
        <f>'[1]JAN 2026'!G73</f>
        <v>0</v>
      </c>
      <c r="H3874" s="4">
        <f>'[1]JAN 2026'!H73</f>
        <v>2859</v>
      </c>
    </row>
    <row r="3875" spans="1:8" x14ac:dyDescent="0.2">
      <c r="A3875" s="20">
        <f>'[1]JAN 2026'!A74</f>
        <v>46033</v>
      </c>
      <c r="B3875" s="12" t="str">
        <f>'[1]JAN 2026'!B74</f>
        <v>Andere</v>
      </c>
      <c r="C3875" s="3">
        <f>'[1]JAN 2026'!C74</f>
        <v>0</v>
      </c>
      <c r="D3875" s="3">
        <f>'[1]JAN 2026'!D74</f>
        <v>0</v>
      </c>
      <c r="E3875" s="4">
        <f>'[1]JAN 2026'!E74</f>
        <v>0</v>
      </c>
      <c r="F3875" s="3">
        <f>'[1]JAN 2026'!F74</f>
        <v>0</v>
      </c>
      <c r="G3875" s="4">
        <f>'[1]JAN 2026'!G74</f>
        <v>0</v>
      </c>
      <c r="H3875" s="4">
        <f>'[1]JAN 2026'!H74</f>
        <v>369</v>
      </c>
    </row>
    <row r="3876" spans="1:8" x14ac:dyDescent="0.2">
      <c r="A3876" s="23">
        <f>'[1]JAN 2026'!A79</f>
        <v>46034</v>
      </c>
      <c r="B3876" s="12" t="str">
        <f>'[1]JAN 2026'!B79</f>
        <v>Andere</v>
      </c>
      <c r="C3876" s="3">
        <f>'[1]JAN 2026'!C79</f>
        <v>0</v>
      </c>
      <c r="D3876" s="3">
        <f>'[1]JAN 2026'!D79</f>
        <v>0</v>
      </c>
      <c r="E3876" s="4">
        <f>'[1]JAN 2026'!E79</f>
        <v>0</v>
      </c>
      <c r="F3876" s="3">
        <f>'[1]JAN 2026'!F79</f>
        <v>0</v>
      </c>
      <c r="G3876" s="4">
        <f>'[1]JAN 2026'!G79</f>
        <v>0</v>
      </c>
      <c r="H3876" s="4">
        <f>'[1]JAN 2026'!H79</f>
        <v>100</v>
      </c>
    </row>
    <row r="3877" spans="1:8" x14ac:dyDescent="0.2">
      <c r="A3877" s="20">
        <f>'[1]JAN 2026'!A86</f>
        <v>46035</v>
      </c>
      <c r="B3877" s="12" t="str">
        <f>'[1]JAN 2026'!B86</f>
        <v>LM</v>
      </c>
      <c r="C3877" s="3">
        <f>'[1]JAN 2026'!C86</f>
        <v>0</v>
      </c>
      <c r="D3877" s="3">
        <f>'[1]JAN 2026'!D86</f>
        <v>0</v>
      </c>
      <c r="E3877" s="4">
        <f>'[1]JAN 2026'!E86</f>
        <v>0</v>
      </c>
      <c r="F3877" s="3">
        <f>'[1]JAN 2026'!F86</f>
        <v>0</v>
      </c>
      <c r="G3877" s="4">
        <f>'[1]JAN 2026'!G86</f>
        <v>0</v>
      </c>
      <c r="H3877" s="4">
        <f>'[1]JAN 2026'!H86</f>
        <v>7000</v>
      </c>
    </row>
    <row r="3878" spans="1:8" x14ac:dyDescent="0.2">
      <c r="A3878" s="23">
        <f>'[1]JAN 2026'!A107</f>
        <v>46038</v>
      </c>
      <c r="B3878" s="12" t="str">
        <f>'[1]JAN 2026'!B107</f>
        <v>CarMaint</v>
      </c>
      <c r="C3878" s="3">
        <f>'[1]JAN 2026'!C107</f>
        <v>0</v>
      </c>
      <c r="D3878" s="3">
        <f>'[1]JAN 2026'!D107</f>
        <v>0</v>
      </c>
      <c r="E3878" s="4">
        <f>'[1]JAN 2026'!E107</f>
        <v>0</v>
      </c>
      <c r="F3878" s="3">
        <f>'[1]JAN 2026'!F107</f>
        <v>0</v>
      </c>
      <c r="G3878" s="4">
        <f>'[1]JAN 2026'!G107</f>
        <v>0</v>
      </c>
      <c r="H3878" s="4">
        <f>'[1]JAN 2026'!H107</f>
        <v>562.5</v>
      </c>
    </row>
    <row r="3879" spans="1:8" x14ac:dyDescent="0.2">
      <c r="A3879" s="20">
        <f>'[1]JAN 2026'!A108</f>
        <v>46038</v>
      </c>
      <c r="B3879" s="12" t="str">
        <f>'[1]JAN 2026'!B108</f>
        <v>for me</v>
      </c>
      <c r="C3879" s="3">
        <f>'[1]JAN 2026'!C108</f>
        <v>0</v>
      </c>
      <c r="D3879" s="3">
        <f>'[1]JAN 2026'!D108</f>
        <v>0</v>
      </c>
      <c r="E3879" s="4">
        <f>'[1]JAN 2026'!E108</f>
        <v>0</v>
      </c>
      <c r="F3879" s="3">
        <f>'[1]JAN 2026'!F108</f>
        <v>0</v>
      </c>
      <c r="G3879" s="4">
        <f>'[1]JAN 2026'!G108</f>
        <v>0</v>
      </c>
      <c r="H3879" s="4">
        <f>'[1]JAN 2026'!H108</f>
        <v>31140</v>
      </c>
    </row>
    <row r="3880" spans="1:8" x14ac:dyDescent="0.2">
      <c r="A3880" s="23">
        <f>'[1]JAN 2026'!A109</f>
        <v>46038</v>
      </c>
      <c r="B3880" s="12" t="str">
        <f>'[1]JAN 2026'!B109</f>
        <v>Frauen</v>
      </c>
      <c r="C3880" s="3">
        <f>'[1]JAN 2026'!C109</f>
        <v>0</v>
      </c>
      <c r="D3880" s="3">
        <f>'[1]JAN 2026'!D109</f>
        <v>0</v>
      </c>
      <c r="E3880" s="4">
        <f>'[1]JAN 2026'!E109</f>
        <v>0</v>
      </c>
      <c r="F3880" s="3">
        <f>'[1]JAN 2026'!F109</f>
        <v>0</v>
      </c>
      <c r="G3880" s="4">
        <f>'[1]JAN 2026'!G109</f>
        <v>0</v>
      </c>
      <c r="H3880" s="4">
        <f>'[1]JAN 2026'!H109</f>
        <v>1500</v>
      </c>
    </row>
    <row r="3881" spans="1:8" x14ac:dyDescent="0.2">
      <c r="A3881" s="20">
        <f>'[1]JAN 2026'!A110</f>
        <v>46038</v>
      </c>
      <c r="B3881" s="12" t="str">
        <f>'[1]JAN 2026'!B110</f>
        <v>VM</v>
      </c>
      <c r="C3881" s="3">
        <f>'[1]JAN 2026'!C110</f>
        <v>0</v>
      </c>
      <c r="D3881" s="3">
        <f>'[1]JAN 2026'!D110</f>
        <v>0</v>
      </c>
      <c r="E3881" s="4">
        <f>'[1]JAN 2026'!E110</f>
        <v>0</v>
      </c>
      <c r="F3881" s="3">
        <f>'[1]JAN 2026'!F110</f>
        <v>0</v>
      </c>
      <c r="G3881" s="4">
        <f>'[1]JAN 2026'!G110</f>
        <v>0</v>
      </c>
      <c r="H3881" s="4">
        <f>'[1]JAN 2026'!H110</f>
        <v>397.31</v>
      </c>
    </row>
    <row r="3882" spans="1:8" x14ac:dyDescent="0.2">
      <c r="A3882" s="23">
        <f>'[1]JAN 2026'!A111</f>
        <v>46038</v>
      </c>
      <c r="B3882" s="12" t="str">
        <f>'[1]JAN 2026'!B111</f>
        <v>Refill</v>
      </c>
      <c r="C3882" s="3">
        <f>'[1]JAN 2026'!C111</f>
        <v>0</v>
      </c>
      <c r="D3882" s="3">
        <f>'[1]JAN 2026'!D111</f>
        <v>0</v>
      </c>
      <c r="E3882" s="4">
        <f>'[1]JAN 2026'!E111</f>
        <v>0</v>
      </c>
      <c r="F3882" s="3">
        <f>'[1]JAN 2026'!F111</f>
        <v>0</v>
      </c>
      <c r="G3882" s="4">
        <f>'[1]JAN 2026'!G111</f>
        <v>12000</v>
      </c>
      <c r="H3882" s="4">
        <f>'[1]JAN 2026'!H111</f>
        <v>0</v>
      </c>
    </row>
    <row r="3883" spans="1:8" x14ac:dyDescent="0.2">
      <c r="A3883" s="20">
        <f>'[1]JAN 2026'!A114</f>
        <v>46039</v>
      </c>
      <c r="B3883" s="12" t="str">
        <f>'[1]JAN 2026'!B114</f>
        <v>rent</v>
      </c>
      <c r="C3883" s="3">
        <f>'[1]JAN 2026'!C114</f>
        <v>0</v>
      </c>
      <c r="D3883" s="3">
        <f>'[1]JAN 2026'!D114</f>
        <v>0</v>
      </c>
      <c r="E3883" s="4">
        <f>'[1]JAN 2026'!E114</f>
        <v>0</v>
      </c>
      <c r="F3883" s="3">
        <f>'[1]JAN 2026'!F114</f>
        <v>0</v>
      </c>
      <c r="G3883" s="4">
        <f>'[1]JAN 2026'!G114</f>
        <v>0</v>
      </c>
      <c r="H3883" s="4">
        <f>'[1]JAN 2026'!H114</f>
        <v>55000</v>
      </c>
    </row>
    <row r="3884" spans="1:8" x14ac:dyDescent="0.2">
      <c r="A3884" s="23">
        <f>'[1]JAN 2026'!A115</f>
        <v>46039</v>
      </c>
      <c r="B3884" s="12" t="str">
        <f>'[1]JAN 2026'!B115</f>
        <v>VM</v>
      </c>
      <c r="C3884" s="3">
        <f>'[1]JAN 2026'!C115</f>
        <v>0</v>
      </c>
      <c r="D3884" s="3">
        <f>'[1]JAN 2026'!D115</f>
        <v>0</v>
      </c>
      <c r="E3884" s="4">
        <f>'[1]JAN 2026'!E115</f>
        <v>0</v>
      </c>
      <c r="F3884" s="3">
        <f>'[1]JAN 2026'!F115</f>
        <v>0</v>
      </c>
      <c r="G3884" s="4">
        <f>'[1]JAN 2026'!G115</f>
        <v>0</v>
      </c>
      <c r="H3884" s="4">
        <f>'[1]JAN 2026'!H115</f>
        <v>390.08</v>
      </c>
    </row>
    <row r="3885" spans="1:8" x14ac:dyDescent="0.2">
      <c r="A3885" s="23">
        <f>'[1]JAN 2026'!A121</f>
        <v>46040</v>
      </c>
      <c r="B3885" s="12" t="str">
        <f>'[1]JAN 2026'!B121</f>
        <v>LM</v>
      </c>
      <c r="C3885" s="3">
        <f>'[1]JAN 2026'!C121</f>
        <v>0</v>
      </c>
      <c r="D3885" s="3">
        <f>'[1]JAN 2026'!D121</f>
        <v>0</v>
      </c>
      <c r="E3885" s="4">
        <f>'[1]JAN 2026'!E121</f>
        <v>0</v>
      </c>
      <c r="F3885" s="3">
        <f>'[1]JAN 2026'!F121</f>
        <v>0</v>
      </c>
      <c r="G3885" s="4">
        <f>'[1]JAN 2026'!G121</f>
        <v>0</v>
      </c>
      <c r="H3885" s="4">
        <f>'[1]JAN 2026'!H121</f>
        <v>2000</v>
      </c>
    </row>
    <row r="3886" spans="1:8" x14ac:dyDescent="0.2">
      <c r="A3886" s="20">
        <f>'[1]JAN 2026'!A122</f>
        <v>46040</v>
      </c>
      <c r="B3886" s="12" t="str">
        <f>'[1]JAN 2026'!B122</f>
        <v>VM</v>
      </c>
      <c r="C3886" s="3">
        <f>'[1]JAN 2026'!C122</f>
        <v>0</v>
      </c>
      <c r="D3886" s="3">
        <f>'[1]JAN 2026'!D122</f>
        <v>0</v>
      </c>
      <c r="E3886" s="4">
        <f>'[1]JAN 2026'!E122</f>
        <v>0</v>
      </c>
      <c r="F3886" s="3">
        <f>'[1]JAN 2026'!F122</f>
        <v>0</v>
      </c>
      <c r="G3886" s="4">
        <f>'[1]JAN 2026'!G122</f>
        <v>0</v>
      </c>
      <c r="H3886" s="4">
        <f>'[1]JAN 2026'!H122</f>
        <v>430.07</v>
      </c>
    </row>
    <row r="3887" spans="1:8" x14ac:dyDescent="0.2">
      <c r="A3887" s="20">
        <f>'[1]JAN 2026'!A128</f>
        <v>46041</v>
      </c>
      <c r="B3887" s="12" t="str">
        <f>'[1]JAN 2026'!B128</f>
        <v>VM</v>
      </c>
      <c r="C3887" s="3">
        <f>'[1]JAN 2026'!C128</f>
        <v>0</v>
      </c>
      <c r="D3887" s="3">
        <f>'[1]JAN 2026'!D128</f>
        <v>0</v>
      </c>
      <c r="E3887" s="4">
        <f>'[1]JAN 2026'!E128</f>
        <v>0</v>
      </c>
      <c r="F3887" s="3">
        <f>'[1]JAN 2026'!F128</f>
        <v>0</v>
      </c>
      <c r="G3887" s="4">
        <f>'[1]JAN 2026'!G128</f>
        <v>0</v>
      </c>
      <c r="H3887" s="4">
        <f>'[1]JAN 2026'!H128</f>
        <v>435.25</v>
      </c>
    </row>
    <row r="3888" spans="1:8" x14ac:dyDescent="0.2">
      <c r="A3888" s="23">
        <f>'[1]JAN 2026'!A129</f>
        <v>46041</v>
      </c>
      <c r="B3888" s="12" t="str">
        <f>'[1]JAN 2026'!B129</f>
        <v>Frauen</v>
      </c>
      <c r="C3888" s="3">
        <f>'[1]JAN 2026'!C129</f>
        <v>0</v>
      </c>
      <c r="D3888" s="3">
        <f>'[1]JAN 2026'!D129</f>
        <v>0</v>
      </c>
      <c r="E3888" s="4">
        <f>'[1]JAN 2026'!E129</f>
        <v>0</v>
      </c>
      <c r="F3888" s="3">
        <f>'[1]JAN 2026'!F129</f>
        <v>0</v>
      </c>
      <c r="G3888" s="4">
        <f>'[1]JAN 2026'!G129</f>
        <v>0</v>
      </c>
      <c r="H3888" s="4">
        <f>'[1]JAN 2026'!H129</f>
        <v>5231.5</v>
      </c>
    </row>
    <row r="3889" spans="1:8" x14ac:dyDescent="0.2">
      <c r="A3889" s="23">
        <f>'[1]JAN 2026'!A135</f>
        <v>46042</v>
      </c>
      <c r="B3889" s="12" t="str">
        <f>'[1]JAN 2026'!B135</f>
        <v>none</v>
      </c>
      <c r="C3889" s="3">
        <f>'[1]JAN 2026'!C135</f>
        <v>0</v>
      </c>
      <c r="D3889" s="3">
        <f>'[1]JAN 2026'!D135</f>
        <v>0</v>
      </c>
      <c r="E3889" s="4">
        <f>'[1]JAN 2026'!E135</f>
        <v>0</v>
      </c>
      <c r="F3889" s="3">
        <f>'[1]JAN 2026'!F135</f>
        <v>0</v>
      </c>
      <c r="G3889" s="4">
        <f>'[1]JAN 2026'!G135</f>
        <v>0</v>
      </c>
      <c r="H3889" s="4">
        <f>'[1]JAN 2026'!H135</f>
        <v>1000</v>
      </c>
    </row>
    <row r="3890" spans="1:8" x14ac:dyDescent="0.2">
      <c r="A3890" s="20">
        <f>'[1]JAN 2026'!A136</f>
        <v>46042</v>
      </c>
      <c r="B3890" s="12" t="str">
        <f>'[1]JAN 2026'!B136</f>
        <v>Frauen</v>
      </c>
      <c r="C3890" s="3">
        <f>'[1]JAN 2026'!C136</f>
        <v>0</v>
      </c>
      <c r="D3890" s="3">
        <f>'[1]JAN 2026'!D136</f>
        <v>0</v>
      </c>
      <c r="E3890" s="4">
        <f>'[1]JAN 2026'!E136</f>
        <v>0</v>
      </c>
      <c r="F3890" s="3">
        <f>'[1]JAN 2026'!F136</f>
        <v>0</v>
      </c>
      <c r="G3890" s="4">
        <f>'[1]JAN 2026'!G136</f>
        <v>0</v>
      </c>
      <c r="H3890" s="4">
        <f>'[1]JAN 2026'!H136</f>
        <v>300</v>
      </c>
    </row>
    <row r="3891" spans="1:8" x14ac:dyDescent="0.2">
      <c r="A3891" s="23">
        <f>'[1]JAN 2026'!A137</f>
        <v>46042</v>
      </c>
      <c r="B3891" s="12" t="str">
        <f>'[1]JAN 2026'!B137</f>
        <v>LM</v>
      </c>
      <c r="C3891" s="3">
        <f>'[1]JAN 2026'!C137</f>
        <v>0</v>
      </c>
      <c r="D3891" s="3">
        <f>'[1]JAN 2026'!D137</f>
        <v>0</v>
      </c>
      <c r="E3891" s="4">
        <f>'[1]JAN 2026'!E137</f>
        <v>0</v>
      </c>
      <c r="F3891" s="3">
        <f>'[1]JAN 2026'!F137</f>
        <v>0</v>
      </c>
      <c r="G3891" s="4">
        <f>'[1]JAN 2026'!G137</f>
        <v>0</v>
      </c>
      <c r="H3891" s="4">
        <f>'[1]JAN 2026'!H137</f>
        <v>149</v>
      </c>
    </row>
    <row r="3892" spans="1:8" x14ac:dyDescent="0.2">
      <c r="A3892" s="20">
        <f>'[1]JAN 2026'!A138</f>
        <v>46042</v>
      </c>
      <c r="B3892" s="12" t="str">
        <f>'[1]JAN 2026'!B138</f>
        <v>CarMaint</v>
      </c>
      <c r="C3892" s="3">
        <f>'[1]JAN 2026'!C138</f>
        <v>0</v>
      </c>
      <c r="D3892" s="3">
        <f>'[1]JAN 2026'!D138</f>
        <v>0</v>
      </c>
      <c r="E3892" s="4">
        <f>'[1]JAN 2026'!E138</f>
        <v>0</v>
      </c>
      <c r="F3892" s="3">
        <f>'[1]JAN 2026'!F138</f>
        <v>0</v>
      </c>
      <c r="G3892" s="4">
        <f>'[1]JAN 2026'!G138</f>
        <v>0</v>
      </c>
      <c r="H3892" s="4">
        <f>'[1]JAN 2026'!H138</f>
        <v>50</v>
      </c>
    </row>
    <row r="3893" spans="1:8" x14ac:dyDescent="0.2">
      <c r="A3893" s="20">
        <f>'[1]JAN 2026'!A142</f>
        <v>46043</v>
      </c>
      <c r="B3893" s="12" t="str">
        <f>'[1]JAN 2026'!B142</f>
        <v>Andere</v>
      </c>
      <c r="C3893" s="3">
        <f>'[1]JAN 2026'!C142</f>
        <v>0</v>
      </c>
      <c r="D3893" s="3">
        <f>'[1]JAN 2026'!D142</f>
        <v>0</v>
      </c>
      <c r="E3893" s="4">
        <f>'[1]JAN 2026'!E142</f>
        <v>0</v>
      </c>
      <c r="F3893" s="3">
        <f>'[1]JAN 2026'!F142</f>
        <v>0</v>
      </c>
      <c r="G3893" s="4">
        <f>'[1]JAN 2026'!G142</f>
        <v>0</v>
      </c>
      <c r="H3893" s="4">
        <f>'[1]JAN 2026'!H142</f>
        <v>5254</v>
      </c>
    </row>
    <row r="3894" spans="1:8" x14ac:dyDescent="0.2">
      <c r="A3894" s="23">
        <f>'[1]JAN 2026'!A143</f>
        <v>46043</v>
      </c>
      <c r="B3894" s="12" t="str">
        <f>'[1]JAN 2026'!B143</f>
        <v>LM</v>
      </c>
      <c r="C3894" s="3">
        <f>'[1]JAN 2026'!C143</f>
        <v>0</v>
      </c>
      <c r="D3894" s="3">
        <f>'[1]JAN 2026'!D143</f>
        <v>0</v>
      </c>
      <c r="E3894" s="4">
        <f>'[1]JAN 2026'!E143</f>
        <v>0</v>
      </c>
      <c r="F3894" s="3">
        <f>'[1]JAN 2026'!F143</f>
        <v>0</v>
      </c>
      <c r="G3894" s="4">
        <f>'[1]JAN 2026'!G143</f>
        <v>0</v>
      </c>
      <c r="H3894" s="4">
        <f>'[1]JAN 2026'!H143</f>
        <v>535.77</v>
      </c>
    </row>
    <row r="3895" spans="1:8" x14ac:dyDescent="0.2">
      <c r="A3895" s="23">
        <f>'[1]JAN 2026'!A149</f>
        <v>46044</v>
      </c>
      <c r="B3895" s="12" t="str">
        <f>'[1]JAN 2026'!B149</f>
        <v>LM</v>
      </c>
      <c r="C3895" s="3">
        <f>'[1]JAN 2026'!C149</f>
        <v>0</v>
      </c>
      <c r="D3895" s="3">
        <f>'[1]JAN 2026'!D149</f>
        <v>0</v>
      </c>
      <c r="E3895" s="4">
        <f>'[1]JAN 2026'!E149</f>
        <v>0</v>
      </c>
      <c r="F3895" s="3">
        <f>'[1]JAN 2026'!F149</f>
        <v>0</v>
      </c>
      <c r="G3895" s="4">
        <f>'[1]JAN 2026'!G149</f>
        <v>0</v>
      </c>
      <c r="H3895" s="4">
        <f>'[1]JAN 2026'!H149</f>
        <v>6411.42</v>
      </c>
    </row>
    <row r="3896" spans="1:8" x14ac:dyDescent="0.2">
      <c r="A3896" s="20">
        <f>'[1]JAN 2026'!A150</f>
        <v>46044</v>
      </c>
      <c r="B3896" s="12" t="str">
        <f>'[1]JAN 2026'!B150</f>
        <v>Frauen</v>
      </c>
      <c r="C3896" s="3">
        <f>'[1]JAN 2026'!C150</f>
        <v>0</v>
      </c>
      <c r="D3896" s="3">
        <f>'[1]JAN 2026'!D150</f>
        <v>0</v>
      </c>
      <c r="E3896" s="4">
        <f>'[1]JAN 2026'!E150</f>
        <v>0</v>
      </c>
      <c r="F3896" s="3">
        <f>'[1]JAN 2026'!F150</f>
        <v>0</v>
      </c>
      <c r="G3896" s="4">
        <f>'[1]JAN 2026'!G150</f>
        <v>0</v>
      </c>
      <c r="H3896" s="4">
        <f>'[1]JAN 2026'!H150</f>
        <v>2250</v>
      </c>
    </row>
    <row r="3897" spans="1:8" x14ac:dyDescent="0.2">
      <c r="A3897" s="23">
        <f>'[1]JAN 2026'!A151</f>
        <v>46044</v>
      </c>
      <c r="B3897" s="12" t="str">
        <f>'[1]JAN 2026'!B151</f>
        <v>Andere</v>
      </c>
      <c r="C3897" s="3">
        <f>'[1]JAN 2026'!C151</f>
        <v>0</v>
      </c>
      <c r="D3897" s="3">
        <f>'[1]JAN 2026'!D151</f>
        <v>0</v>
      </c>
      <c r="E3897" s="4">
        <f>'[1]JAN 2026'!E151</f>
        <v>0</v>
      </c>
      <c r="F3897" s="3">
        <f>'[1]JAN 2026'!F151</f>
        <v>0</v>
      </c>
      <c r="G3897" s="4">
        <f>'[1]JAN 2026'!G151</f>
        <v>0</v>
      </c>
      <c r="H3897" s="4">
        <f>'[1]JAN 2026'!H151</f>
        <v>200</v>
      </c>
    </row>
    <row r="3898" spans="1:8" x14ac:dyDescent="0.2">
      <c r="A3898" s="20">
        <f>'[1]JAN 2026'!A156</f>
        <v>46045</v>
      </c>
      <c r="B3898" s="12" t="str">
        <f>'[1]JAN 2026'!B156</f>
        <v>Refill</v>
      </c>
      <c r="C3898" s="3">
        <f>'[1]JAN 2026'!C156</f>
        <v>0</v>
      </c>
      <c r="D3898" s="3">
        <f>'[1]JAN 2026'!D156</f>
        <v>0</v>
      </c>
      <c r="E3898" s="4">
        <f>'[1]JAN 2026'!E156</f>
        <v>0</v>
      </c>
      <c r="F3898" s="3">
        <f>'[1]JAN 2026'!F156</f>
        <v>0</v>
      </c>
      <c r="G3898" s="4">
        <f>'[1]JAN 2026'!G156</f>
        <v>61631.26</v>
      </c>
      <c r="H3898" s="4">
        <f>'[1]JAN 2026'!H156</f>
        <v>0</v>
      </c>
    </row>
    <row r="3899" spans="1:8" x14ac:dyDescent="0.2">
      <c r="A3899" s="23">
        <f>'[1]JAN 2026'!A157</f>
        <v>46045</v>
      </c>
      <c r="B3899" s="12" t="str">
        <f>'[1]JAN 2026'!B157</f>
        <v>LM</v>
      </c>
      <c r="C3899" s="3">
        <f>'[1]JAN 2026'!C157</f>
        <v>0</v>
      </c>
      <c r="D3899" s="3">
        <f>'[1]JAN 2026'!D157</f>
        <v>0</v>
      </c>
      <c r="E3899" s="4">
        <f>'[1]JAN 2026'!E157</f>
        <v>0</v>
      </c>
      <c r="F3899" s="3">
        <f>'[1]JAN 2026'!F157</f>
        <v>0</v>
      </c>
      <c r="G3899" s="4">
        <f>'[1]JAN 2026'!G157</f>
        <v>0</v>
      </c>
      <c r="H3899" s="4">
        <f>'[1]JAN 2026'!H157</f>
        <v>424.98</v>
      </c>
    </row>
    <row r="3900" spans="1:8" x14ac:dyDescent="0.2">
      <c r="A3900" s="20">
        <f>'[1]JAN 2026'!A158</f>
        <v>46045</v>
      </c>
      <c r="B3900" s="12" t="str">
        <f>'[1]JAN 2026'!B158</f>
        <v>Andere</v>
      </c>
      <c r="C3900" s="3">
        <f>'[1]JAN 2026'!C158</f>
        <v>0</v>
      </c>
      <c r="D3900" s="3">
        <f>'[1]JAN 2026'!D158</f>
        <v>0</v>
      </c>
      <c r="E3900" s="4">
        <f>'[1]JAN 2026'!E158</f>
        <v>0</v>
      </c>
      <c r="F3900" s="3">
        <f>'[1]JAN 2026'!F158</f>
        <v>0</v>
      </c>
      <c r="G3900" s="4">
        <f>'[1]JAN 2026'!G158</f>
        <v>0</v>
      </c>
      <c r="H3900" s="4">
        <f>'[1]JAN 2026'!H158</f>
        <v>854</v>
      </c>
    </row>
    <row r="3901" spans="1:8" x14ac:dyDescent="0.2">
      <c r="A3901" s="23">
        <f>'[1]JAN 2026'!A159</f>
        <v>46045</v>
      </c>
      <c r="B3901" s="12" t="str">
        <f>'[1]JAN 2026'!B159</f>
        <v>Car</v>
      </c>
      <c r="C3901" s="3">
        <f>'[1]JAN 2026'!C159</f>
        <v>0</v>
      </c>
      <c r="D3901" s="3">
        <f>'[1]JAN 2026'!D159</f>
        <v>0</v>
      </c>
      <c r="E3901" s="4">
        <f>'[1]JAN 2026'!E159</f>
        <v>0</v>
      </c>
      <c r="F3901" s="3">
        <f>'[1]JAN 2026'!F159</f>
        <v>0</v>
      </c>
      <c r="G3901" s="4">
        <f>'[1]JAN 2026'!G159</f>
        <v>0</v>
      </c>
      <c r="H3901" s="4">
        <f>'[1]JAN 2026'!H159</f>
        <v>85000</v>
      </c>
    </row>
    <row r="3902" spans="1:8" x14ac:dyDescent="0.2">
      <c r="A3902" s="23">
        <f>'[1]JAN 2026'!A163</f>
        <v>46046</v>
      </c>
      <c r="B3902" s="12" t="str">
        <f>'[1]JAN 2026'!B163</f>
        <v>LM</v>
      </c>
      <c r="C3902" s="3">
        <f>'[1]JAN 2026'!C163</f>
        <v>0</v>
      </c>
      <c r="D3902" s="3">
        <f>'[1]JAN 2026'!D163</f>
        <v>0</v>
      </c>
      <c r="E3902" s="4">
        <f>'[1]JAN 2026'!E163</f>
        <v>0</v>
      </c>
      <c r="F3902" s="3">
        <f>'[1]JAN 2026'!F163</f>
        <v>0</v>
      </c>
      <c r="G3902" s="4">
        <f>'[1]JAN 2026'!G163</f>
        <v>0</v>
      </c>
      <c r="H3902" s="4">
        <f>'[1]JAN 2026'!H163</f>
        <v>1196.8600000000001</v>
      </c>
    </row>
    <row r="3903" spans="1:8" x14ac:dyDescent="0.2">
      <c r="A3903" s="20">
        <f>'[1]JAN 2026'!A164</f>
        <v>46046</v>
      </c>
      <c r="B3903" s="12" t="str">
        <f>'[1]JAN 2026'!B164</f>
        <v>CarMaint</v>
      </c>
      <c r="C3903" s="3">
        <f>'[1]JAN 2026'!C164</f>
        <v>0</v>
      </c>
      <c r="D3903" s="3">
        <f>'[1]JAN 2026'!D164</f>
        <v>0</v>
      </c>
      <c r="E3903" s="4">
        <f>'[1]JAN 2026'!E164</f>
        <v>0</v>
      </c>
      <c r="F3903" s="3">
        <f>'[1]JAN 2026'!F164</f>
        <v>0</v>
      </c>
      <c r="G3903" s="4">
        <f>'[1]JAN 2026'!G164</f>
        <v>0</v>
      </c>
      <c r="H3903" s="4">
        <f>'[1]JAN 2026'!H164</f>
        <v>160</v>
      </c>
    </row>
    <row r="3904" spans="1:8" x14ac:dyDescent="0.2">
      <c r="A3904" s="23">
        <f>'[1]JAN 2026'!A165</f>
        <v>46046</v>
      </c>
      <c r="B3904" s="12" t="str">
        <f>'[1]JAN 2026'!B165</f>
        <v>Andere</v>
      </c>
      <c r="C3904" s="3">
        <f>'[1]JAN 2026'!C165</f>
        <v>0</v>
      </c>
      <c r="D3904" s="3">
        <f>'[1]JAN 2026'!D165</f>
        <v>0</v>
      </c>
      <c r="E3904" s="4">
        <f>'[1]JAN 2026'!E165</f>
        <v>0</v>
      </c>
      <c r="F3904" s="3">
        <f>'[1]JAN 2026'!F165</f>
        <v>0</v>
      </c>
      <c r="G3904" s="4">
        <f>'[1]JAN 2026'!G165</f>
        <v>0</v>
      </c>
      <c r="H3904" s="4">
        <f>'[1]JAN 2026'!H165</f>
        <v>699</v>
      </c>
    </row>
    <row r="3905" spans="1:8" x14ac:dyDescent="0.2">
      <c r="A3905" s="20">
        <f>'[1]JAN 2026'!A170</f>
        <v>46047</v>
      </c>
      <c r="B3905" s="12" t="str">
        <f>'[1]JAN 2026'!B170</f>
        <v>Party</v>
      </c>
      <c r="C3905" s="3">
        <f>'[1]JAN 2026'!C170</f>
        <v>0</v>
      </c>
      <c r="D3905" s="3">
        <f>'[1]JAN 2026'!D170</f>
        <v>0</v>
      </c>
      <c r="E3905" s="4">
        <f>'[1]JAN 2026'!E170</f>
        <v>0</v>
      </c>
      <c r="F3905" s="3">
        <f>'[1]JAN 2026'!F170</f>
        <v>0</v>
      </c>
      <c r="G3905" s="4">
        <f>'[1]JAN 2026'!G170</f>
        <v>0</v>
      </c>
      <c r="H3905" s="4">
        <f>'[1]JAN 2026'!H170</f>
        <v>3800</v>
      </c>
    </row>
    <row r="3906" spans="1:8" x14ac:dyDescent="0.2">
      <c r="A3906" s="23">
        <f>'[1]JAN 2026'!A171</f>
        <v>46047</v>
      </c>
      <c r="B3906" s="12" t="str">
        <f>'[1]JAN 2026'!B171</f>
        <v>LM</v>
      </c>
      <c r="C3906" s="3">
        <f>'[1]JAN 2026'!C171</f>
        <v>0</v>
      </c>
      <c r="D3906" s="3">
        <f>'[1]JAN 2026'!D171</f>
        <v>0</v>
      </c>
      <c r="E3906" s="4">
        <f>'[1]JAN 2026'!E171</f>
        <v>0</v>
      </c>
      <c r="F3906" s="3">
        <f>'[1]JAN 2026'!F171</f>
        <v>0</v>
      </c>
      <c r="G3906" s="4">
        <f>'[1]JAN 2026'!G171</f>
        <v>0</v>
      </c>
      <c r="H3906" s="4">
        <f>'[1]JAN 2026'!H171</f>
        <v>545.86</v>
      </c>
    </row>
    <row r="3907" spans="1:8" x14ac:dyDescent="0.2">
      <c r="A3907" s="20">
        <f>'[1]JAN 2026'!A172</f>
        <v>46047</v>
      </c>
      <c r="B3907" s="12" t="str">
        <f>'[1]JAN 2026'!B172</f>
        <v>Refill</v>
      </c>
      <c r="C3907" s="3">
        <f>'[1]JAN 2026'!C172</f>
        <v>0</v>
      </c>
      <c r="D3907" s="3">
        <f>'[1]JAN 2026'!D172</f>
        <v>0</v>
      </c>
      <c r="E3907" s="4">
        <f>'[1]JAN 2026'!E172</f>
        <v>0</v>
      </c>
      <c r="F3907" s="3">
        <f>'[1]JAN 2026'!F172</f>
        <v>0</v>
      </c>
      <c r="G3907" s="4">
        <f>'[1]JAN 2026'!G172</f>
        <v>3631.12</v>
      </c>
      <c r="H3907" s="4">
        <f>'[1]JAN 2026'!H172</f>
        <v>0</v>
      </c>
    </row>
    <row r="3908" spans="1:8" x14ac:dyDescent="0.2">
      <c r="A3908" s="23">
        <f>'[1]JAN 2026'!A177</f>
        <v>46048</v>
      </c>
      <c r="B3908" s="12" t="str">
        <f>'[1]JAN 2026'!B177</f>
        <v>LM</v>
      </c>
      <c r="C3908" s="3">
        <f>'[1]JAN 2026'!C177</f>
        <v>0</v>
      </c>
      <c r="D3908" s="3">
        <f>'[1]JAN 2026'!D177</f>
        <v>0</v>
      </c>
      <c r="E3908" s="4">
        <f>'[1]JAN 2026'!E177</f>
        <v>0</v>
      </c>
      <c r="F3908" s="3">
        <f>'[1]JAN 2026'!F177</f>
        <v>0</v>
      </c>
      <c r="G3908" s="4">
        <f>'[1]JAN 2026'!G177</f>
        <v>0</v>
      </c>
      <c r="H3908" s="4">
        <f>'[1]JAN 2026'!H177</f>
        <v>321.8</v>
      </c>
    </row>
    <row r="3909" spans="1:8" x14ac:dyDescent="0.2">
      <c r="A3909" s="20">
        <f>'[1]JAN 2026'!A178</f>
        <v>46048</v>
      </c>
      <c r="B3909" s="12" t="str">
        <f>'[1]JAN 2026'!B178</f>
        <v>CarMaint</v>
      </c>
      <c r="C3909" s="3">
        <f>'[1]JAN 2026'!C178</f>
        <v>0</v>
      </c>
      <c r="D3909" s="3">
        <f>'[1]JAN 2026'!D178</f>
        <v>0</v>
      </c>
      <c r="E3909" s="4">
        <f>'[1]JAN 2026'!E178</f>
        <v>0</v>
      </c>
      <c r="F3909" s="3">
        <f>'[1]JAN 2026'!F178</f>
        <v>0</v>
      </c>
      <c r="G3909" s="4">
        <f>'[1]JAN 2026'!G178</f>
        <v>0</v>
      </c>
      <c r="H3909" s="4">
        <f>'[1]JAN 2026'!H178</f>
        <v>1687.5</v>
      </c>
    </row>
    <row r="3910" spans="1:8" x14ac:dyDescent="0.2">
      <c r="A3910" s="23">
        <f>'[1]JAN 2026'!A179</f>
        <v>46048</v>
      </c>
      <c r="B3910" s="12" t="str">
        <f>'[1]JAN 2026'!B179</f>
        <v>Andere</v>
      </c>
      <c r="C3910" s="3">
        <f>'[1]JAN 2026'!C179</f>
        <v>0</v>
      </c>
      <c r="D3910" s="3">
        <f>'[1]JAN 2026'!D179</f>
        <v>0</v>
      </c>
      <c r="E3910" s="4">
        <f>'[1]JAN 2026'!E179</f>
        <v>0</v>
      </c>
      <c r="F3910" s="3">
        <f>'[1]JAN 2026'!F179</f>
        <v>0</v>
      </c>
      <c r="G3910" s="4">
        <f>'[1]JAN 2026'!G179</f>
        <v>0</v>
      </c>
      <c r="H3910" s="4">
        <f>'[1]JAN 2026'!H179</f>
        <v>1000</v>
      </c>
    </row>
    <row r="3911" spans="1:8" x14ac:dyDescent="0.2">
      <c r="A3911" s="20">
        <f>'[1]JAN 2026'!A180</f>
        <v>46048</v>
      </c>
      <c r="B3911" s="12" t="str">
        <f>'[1]JAN 2026'!B180</f>
        <v>none</v>
      </c>
      <c r="C3911" s="3">
        <f>'[1]JAN 2026'!C180</f>
        <v>0</v>
      </c>
      <c r="D3911" s="3">
        <f>'[1]JAN 2026'!D180</f>
        <v>0</v>
      </c>
      <c r="E3911" s="4">
        <f>'[1]JAN 2026'!E180</f>
        <v>0</v>
      </c>
      <c r="F3911" s="3">
        <f>'[1]JAN 2026'!F180</f>
        <v>0</v>
      </c>
      <c r="G3911" s="4">
        <f>'[1]JAN 2026'!G180</f>
        <v>7</v>
      </c>
      <c r="H3911" s="4">
        <f>'[1]JAN 2026'!H180</f>
        <v>0</v>
      </c>
    </row>
    <row r="3912" spans="1:8" x14ac:dyDescent="0.2">
      <c r="A3912" s="20">
        <f>'[1]JAN 2026'!A184</f>
        <v>46049</v>
      </c>
      <c r="B3912" s="12" t="str">
        <f>'[1]JAN 2026'!B184</f>
        <v>Andere</v>
      </c>
      <c r="C3912" s="3">
        <f>'[1]JAN 2026'!C184</f>
        <v>0</v>
      </c>
      <c r="D3912" s="3">
        <f>'[1]JAN 2026'!D184</f>
        <v>0</v>
      </c>
      <c r="E3912" s="4">
        <f>'[1]JAN 2026'!E184</f>
        <v>0</v>
      </c>
      <c r="F3912" s="3">
        <f>'[1]JAN 2026'!F184</f>
        <v>0</v>
      </c>
      <c r="G3912" s="4">
        <f>'[1]JAN 2026'!G184</f>
        <v>0</v>
      </c>
      <c r="H3912" s="4">
        <f>'[1]JAN 2026'!H184</f>
        <v>6000</v>
      </c>
    </row>
    <row r="3913" spans="1:8" x14ac:dyDescent="0.2">
      <c r="A3913" s="23">
        <f>'[1]JAN 2026'!A185</f>
        <v>46049</v>
      </c>
      <c r="B3913" s="12" t="str">
        <f>'[1]JAN 2026'!B185</f>
        <v>Party</v>
      </c>
      <c r="C3913" s="3">
        <f>'[1]JAN 2026'!C185</f>
        <v>0</v>
      </c>
      <c r="D3913" s="3">
        <f>'[1]JAN 2026'!D185</f>
        <v>0</v>
      </c>
      <c r="E3913" s="4">
        <f>'[1]JAN 2026'!E185</f>
        <v>0</v>
      </c>
      <c r="F3913" s="3">
        <f>'[1]JAN 2026'!F185</f>
        <v>0</v>
      </c>
      <c r="G3913" s="4">
        <f>'[1]JAN 2026'!G185</f>
        <v>0</v>
      </c>
      <c r="H3913" s="4">
        <f>'[1]JAN 2026'!H185</f>
        <v>3000</v>
      </c>
    </row>
    <row r="3914" spans="1:8" x14ac:dyDescent="0.2">
      <c r="A3914" s="20">
        <f>'[1]JAN 2026'!A186</f>
        <v>46049</v>
      </c>
      <c r="B3914" s="12" t="str">
        <f>'[1]JAN 2026'!B186</f>
        <v>LM</v>
      </c>
      <c r="C3914" s="3">
        <f>'[1]JAN 2026'!C186</f>
        <v>0</v>
      </c>
      <c r="D3914" s="3">
        <f>'[1]JAN 2026'!D186</f>
        <v>0</v>
      </c>
      <c r="E3914" s="4">
        <f>'[1]JAN 2026'!E186</f>
        <v>0</v>
      </c>
      <c r="F3914" s="3">
        <f>'[1]JAN 2026'!F186</f>
        <v>0</v>
      </c>
      <c r="G3914" s="4">
        <f>'[1]JAN 2026'!G186</f>
        <v>0</v>
      </c>
      <c r="H3914" s="4">
        <f>'[1]JAN 2026'!H186</f>
        <v>3250</v>
      </c>
    </row>
    <row r="3915" spans="1:8" x14ac:dyDescent="0.2">
      <c r="A3915" s="23">
        <f>'[1]JAN 2026'!A191</f>
        <v>46050</v>
      </c>
      <c r="B3915" s="12" t="str">
        <f>'[1]JAN 2026'!B191</f>
        <v>LM</v>
      </c>
      <c r="C3915" s="3">
        <f>'[1]JAN 2026'!C191</f>
        <v>0</v>
      </c>
      <c r="D3915" s="3">
        <f>'[1]JAN 2026'!D191</f>
        <v>0</v>
      </c>
      <c r="E3915" s="4">
        <f>'[1]JAN 2026'!E191</f>
        <v>0</v>
      </c>
      <c r="F3915" s="3">
        <f>'[1]JAN 2026'!F191</f>
        <v>0</v>
      </c>
      <c r="G3915" s="4">
        <f>'[1]JAN 2026'!G191</f>
        <v>0</v>
      </c>
      <c r="H3915" s="4">
        <f>'[1]JAN 2026'!H191</f>
        <v>10</v>
      </c>
    </row>
    <row r="3916" spans="1:8" x14ac:dyDescent="0.2">
      <c r="A3916" s="20">
        <f>'[1]JAN 2026'!A192</f>
        <v>46050</v>
      </c>
      <c r="B3916" s="12" t="str">
        <f>'[1]JAN 2026'!B192</f>
        <v>Kleidung</v>
      </c>
      <c r="C3916" s="3">
        <f>'[1]JAN 2026'!C192</f>
        <v>0</v>
      </c>
      <c r="D3916" s="3">
        <f>'[1]JAN 2026'!D192</f>
        <v>0</v>
      </c>
      <c r="E3916" s="4">
        <f>'[1]JAN 2026'!E192</f>
        <v>0</v>
      </c>
      <c r="F3916" s="3">
        <f>'[1]JAN 2026'!F192</f>
        <v>0</v>
      </c>
      <c r="G3916" s="4">
        <f>'[1]JAN 2026'!G192</f>
        <v>0</v>
      </c>
      <c r="H3916" s="4">
        <f>'[1]JAN 2026'!H192</f>
        <v>5155</v>
      </c>
    </row>
    <row r="3917" spans="1:8" x14ac:dyDescent="0.2">
      <c r="A3917" s="23">
        <f>'[1]JAN 2026'!A193</f>
        <v>46050</v>
      </c>
      <c r="B3917" s="12" t="str">
        <f>'[1]JAN 2026'!B193</f>
        <v>LM</v>
      </c>
      <c r="C3917" s="3">
        <f>'[1]JAN 2026'!C193</f>
        <v>0</v>
      </c>
      <c r="D3917" s="3">
        <f>'[1]JAN 2026'!D193</f>
        <v>0</v>
      </c>
      <c r="E3917" s="4">
        <f>'[1]JAN 2026'!E193</f>
        <v>0</v>
      </c>
      <c r="F3917" s="3">
        <f>'[1]JAN 2026'!F193</f>
        <v>0</v>
      </c>
      <c r="G3917" s="4">
        <f>'[1]JAN 2026'!G193</f>
        <v>0</v>
      </c>
      <c r="H3917" s="4">
        <f>'[1]JAN 2026'!H193</f>
        <v>615.48</v>
      </c>
    </row>
    <row r="3918" spans="1:8" x14ac:dyDescent="0.2">
      <c r="A3918" s="20">
        <f>'[1]JAN 2026'!A198</f>
        <v>46051</v>
      </c>
      <c r="B3918" s="12" t="str">
        <f>'[1]JAN 2026'!B198</f>
        <v>Frauen</v>
      </c>
      <c r="C3918" s="3">
        <f>'[1]JAN 2026'!C198</f>
        <v>0</v>
      </c>
      <c r="D3918" s="3">
        <f>'[1]JAN 2026'!D198</f>
        <v>0</v>
      </c>
      <c r="E3918" s="4">
        <f>'[1]JAN 2026'!E198</f>
        <v>0</v>
      </c>
      <c r="F3918" s="3">
        <f>'[1]JAN 2026'!F198</f>
        <v>0</v>
      </c>
      <c r="G3918" s="4">
        <f>'[1]JAN 2026'!G198</f>
        <v>0</v>
      </c>
      <c r="H3918" s="4">
        <f>'[1]JAN 2026'!H198</f>
        <v>720</v>
      </c>
    </row>
    <row r="3919" spans="1:8" x14ac:dyDescent="0.2">
      <c r="A3919" s="23">
        <f>'[1]JAN 2026'!A199</f>
        <v>46051</v>
      </c>
      <c r="B3919" s="12" t="str">
        <f>'[1]JAN 2026'!B199</f>
        <v>LM</v>
      </c>
      <c r="C3919" s="3">
        <f>'[1]JAN 2026'!C199</f>
        <v>0</v>
      </c>
      <c r="D3919" s="3">
        <f>'[1]JAN 2026'!D199</f>
        <v>0</v>
      </c>
      <c r="E3919" s="4">
        <f>'[1]JAN 2026'!E199</f>
        <v>0</v>
      </c>
      <c r="F3919" s="3">
        <f>'[1]JAN 2026'!F199</f>
        <v>0</v>
      </c>
      <c r="G3919" s="4">
        <f>'[1]JAN 2026'!G199</f>
        <v>0</v>
      </c>
      <c r="H3919" s="4">
        <f>'[1]JAN 2026'!H199</f>
        <v>1184.24</v>
      </c>
    </row>
    <row r="3920" spans="1:8" x14ac:dyDescent="0.2">
      <c r="A3920" s="20">
        <f>'[1]JAN 2026'!A200</f>
        <v>46051</v>
      </c>
      <c r="B3920" s="12" t="str">
        <f>'[1]JAN 2026'!B200</f>
        <v>Andere</v>
      </c>
      <c r="C3920" s="3">
        <f>'[1]JAN 2026'!C200</f>
        <v>0</v>
      </c>
      <c r="D3920" s="3">
        <f>'[1]JAN 2026'!D200</f>
        <v>0</v>
      </c>
      <c r="E3920" s="4">
        <f>'[1]JAN 2026'!E200</f>
        <v>0</v>
      </c>
      <c r="F3920" s="3">
        <f>'[1]JAN 2026'!F200</f>
        <v>0</v>
      </c>
      <c r="G3920" s="4">
        <f>'[1]JAN 2026'!G200</f>
        <v>0</v>
      </c>
      <c r="H3920" s="4">
        <f>'[1]JAN 2026'!H200</f>
        <v>3.4200000000000159</v>
      </c>
    </row>
    <row r="3921" spans="1:8" x14ac:dyDescent="0.2">
      <c r="A3921" s="23">
        <f>'[1]JAN 2026'!A205</f>
        <v>46052</v>
      </c>
      <c r="B3921" s="12" t="str">
        <f>'[1]JAN 2026'!B205</f>
        <v>Andere</v>
      </c>
      <c r="C3921" s="3">
        <f>'[1]JAN 2026'!C205</f>
        <v>0</v>
      </c>
      <c r="D3921" s="3">
        <f>'[1]JAN 2026'!D205</f>
        <v>0</v>
      </c>
      <c r="E3921" s="4">
        <f>'[1]JAN 2026'!E205</f>
        <v>0</v>
      </c>
      <c r="F3921" s="3">
        <f>'[1]JAN 2026'!F205</f>
        <v>0</v>
      </c>
      <c r="G3921" s="4">
        <f>'[1]JAN 2026'!G205</f>
        <v>0</v>
      </c>
      <c r="H3921" s="4">
        <f>'[1]JAN 2026'!H205</f>
        <v>195</v>
      </c>
    </row>
    <row r="3922" spans="1:8" x14ac:dyDescent="0.2">
      <c r="A3922" s="20">
        <f>'[1]JAN 2026'!A206</f>
        <v>46052</v>
      </c>
      <c r="B3922" s="12" t="str">
        <f>'[1]JAN 2026'!B206</f>
        <v>LM</v>
      </c>
      <c r="C3922" s="3">
        <f>'[1]JAN 2026'!C206</f>
        <v>0</v>
      </c>
      <c r="D3922" s="3">
        <f>'[1]JAN 2026'!D206</f>
        <v>0</v>
      </c>
      <c r="E3922" s="4">
        <f>'[1]JAN 2026'!E206</f>
        <v>0</v>
      </c>
      <c r="F3922" s="3">
        <f>'[1]JAN 2026'!F206</f>
        <v>0</v>
      </c>
      <c r="G3922" s="4">
        <f>'[1]JAN 2026'!G206</f>
        <v>0</v>
      </c>
      <c r="H3922" s="4">
        <f>'[1]JAN 2026'!H206</f>
        <v>550</v>
      </c>
    </row>
    <row r="3923" spans="1:8" x14ac:dyDescent="0.2">
      <c r="A3923" s="23">
        <f>'[1]JAN 2026'!A207</f>
        <v>46052</v>
      </c>
      <c r="B3923" s="12" t="str">
        <f>'[1]JAN 2026'!B207</f>
        <v>CarMaint</v>
      </c>
      <c r="C3923" s="3">
        <f>'[1]JAN 2026'!C207</f>
        <v>0</v>
      </c>
      <c r="D3923" s="3">
        <f>'[1]JAN 2026'!D207</f>
        <v>0</v>
      </c>
      <c r="E3923" s="4">
        <f>'[1]JAN 2026'!E207</f>
        <v>0</v>
      </c>
      <c r="F3923" s="3">
        <f>'[1]JAN 2026'!F207</f>
        <v>0</v>
      </c>
      <c r="G3923" s="4">
        <f>'[1]JAN 2026'!G207</f>
        <v>0</v>
      </c>
      <c r="H3923" s="4">
        <f>'[1]JAN 2026'!H207</f>
        <v>100</v>
      </c>
    </row>
    <row r="3924" spans="1:8" x14ac:dyDescent="0.2">
      <c r="A3924" s="20">
        <f>'[1]JAN 2026'!A208</f>
        <v>46052</v>
      </c>
      <c r="B3924" s="12" t="str">
        <f>'[1]JAN 2026'!B208</f>
        <v>LM</v>
      </c>
      <c r="C3924" s="3">
        <f>'[1]JAN 2026'!C208</f>
        <v>0</v>
      </c>
      <c r="D3924" s="3">
        <f>'[1]JAN 2026'!D208</f>
        <v>0</v>
      </c>
      <c r="E3924" s="4">
        <f>'[1]JAN 2026'!E208</f>
        <v>0</v>
      </c>
      <c r="F3924" s="3">
        <f>'[1]JAN 2026'!F208</f>
        <v>0</v>
      </c>
      <c r="G3924" s="4">
        <f>'[1]JAN 2026'!G208</f>
        <v>0</v>
      </c>
      <c r="H3924" s="4">
        <f>'[1]JAN 2026'!H208</f>
        <v>564.76</v>
      </c>
    </row>
    <row r="3925" spans="1:8" x14ac:dyDescent="0.2">
      <c r="A3925" s="20">
        <f>'[1]JAN 2026'!A212</f>
        <v>46053</v>
      </c>
      <c r="B3925" s="12" t="str">
        <f>'[1]JAN 2026'!B212</f>
        <v>LM</v>
      </c>
      <c r="C3925" s="3">
        <f>'[1]JAN 2026'!C212</f>
        <v>0</v>
      </c>
      <c r="D3925" s="3">
        <f>'[1]JAN 2026'!D212</f>
        <v>0</v>
      </c>
      <c r="E3925" s="4">
        <f>'[1]JAN 2026'!E212</f>
        <v>0</v>
      </c>
      <c r="F3925" s="3">
        <f>'[1]JAN 2026'!F212</f>
        <v>0</v>
      </c>
      <c r="G3925" s="4">
        <f>'[1]JAN 2026'!G212</f>
        <v>0</v>
      </c>
      <c r="H3925" s="4">
        <f>'[1]JAN 2026'!H212</f>
        <v>444</v>
      </c>
    </row>
    <row r="3926" spans="1:8" x14ac:dyDescent="0.2">
      <c r="A3926" s="23">
        <f>'[1]JAN 2026'!A213</f>
        <v>46053</v>
      </c>
      <c r="B3926" s="12" t="str">
        <f>'[1]JAN 2026'!B213</f>
        <v>Andere</v>
      </c>
      <c r="C3926" s="3">
        <f>'[1]JAN 2026'!C213</f>
        <v>0</v>
      </c>
      <c r="D3926" s="3">
        <f>'[1]JAN 2026'!D213</f>
        <v>0</v>
      </c>
      <c r="E3926" s="4">
        <f>'[1]JAN 2026'!E213</f>
        <v>0</v>
      </c>
      <c r="F3926" s="3">
        <f>'[1]JAN 2026'!F213</f>
        <v>0</v>
      </c>
      <c r="G3926" s="4">
        <f>'[1]JAN 2026'!G213</f>
        <v>0</v>
      </c>
      <c r="H3926" s="4">
        <f>'[1]JAN 2026'!H213</f>
        <v>2499.92</v>
      </c>
    </row>
    <row r="3927" spans="1:8" x14ac:dyDescent="0.2">
      <c r="A3927" s="20">
        <f>'[1]JAN 2026'!A214</f>
        <v>46053</v>
      </c>
      <c r="B3927" s="12" t="str">
        <f>'[1]JAN 2026'!B214</f>
        <v>Fuel</v>
      </c>
      <c r="C3927" s="3">
        <f>'[1]JAN 2026'!C214</f>
        <v>0</v>
      </c>
      <c r="D3927" s="3">
        <f>'[1]JAN 2026'!D214</f>
        <v>0</v>
      </c>
      <c r="E3927" s="4">
        <f>'[1]JAN 2026'!E214</f>
        <v>0</v>
      </c>
      <c r="F3927" s="3">
        <f>'[1]JAN 2026'!F214</f>
        <v>0</v>
      </c>
      <c r="G3927" s="4">
        <f>'[1]JAN 2026'!G214</f>
        <v>0</v>
      </c>
      <c r="H3927" s="4">
        <f>'[1]JAN 2026'!H214</f>
        <v>3200</v>
      </c>
    </row>
    <row r="3928" spans="1:8" x14ac:dyDescent="0.2">
      <c r="A3928" s="23">
        <f>'[1]FEB 2026'!A2</f>
        <v>46054</v>
      </c>
      <c r="B3928" s="12" t="str">
        <f>'[1]FEB 2026'!B2</f>
        <v>Andere</v>
      </c>
      <c r="C3928" s="3">
        <f>'[1]FEB 2026'!C2</f>
        <v>0</v>
      </c>
      <c r="D3928" s="3">
        <f>'[1]FEB 2026'!D2</f>
        <v>0</v>
      </c>
      <c r="E3928" s="4">
        <f>'[1]FEB 2026'!E2</f>
        <v>0</v>
      </c>
      <c r="F3928" s="3">
        <f>'[1]FEB 2026'!F2</f>
        <v>0</v>
      </c>
      <c r="G3928" s="4">
        <f>'[1]FEB 2026'!G2</f>
        <v>0</v>
      </c>
      <c r="H3928" s="4">
        <f>'[1]FEB 2026'!H2</f>
        <v>500</v>
      </c>
    </row>
    <row r="3929" spans="1:8" x14ac:dyDescent="0.2">
      <c r="A3929" s="20">
        <f>'[1]FEB 2026'!A3</f>
        <v>46054</v>
      </c>
      <c r="B3929" s="12" t="str">
        <f>'[1]FEB 2026'!B3</f>
        <v>LM</v>
      </c>
      <c r="C3929" s="3">
        <f>'[1]FEB 2026'!C3</f>
        <v>0</v>
      </c>
      <c r="D3929" s="3">
        <f>'[1]FEB 2026'!D3</f>
        <v>0</v>
      </c>
      <c r="E3929" s="4">
        <f>'[1]FEB 2026'!E3</f>
        <v>0</v>
      </c>
      <c r="F3929" s="3">
        <f>'[1]FEB 2026'!F3</f>
        <v>0</v>
      </c>
      <c r="G3929" s="4">
        <f>'[1]FEB 2026'!G3</f>
        <v>0</v>
      </c>
      <c r="H3929" s="4">
        <f>'[1]FEB 2026'!H3</f>
        <v>277</v>
      </c>
    </row>
    <row r="3930" spans="1:8" x14ac:dyDescent="0.2">
      <c r="A3930" s="23">
        <f>'[1]FEB 2026'!A4</f>
        <v>46054</v>
      </c>
      <c r="B3930" s="12" t="str">
        <f>'[1]FEB 2026'!B4</f>
        <v>none</v>
      </c>
      <c r="C3930" s="3">
        <f>'[1]FEB 2026'!C4</f>
        <v>0</v>
      </c>
      <c r="D3930" s="3">
        <f>'[1]FEB 2026'!D4</f>
        <v>0</v>
      </c>
      <c r="E3930" s="4">
        <f>'[1]FEB 2026'!E4</f>
        <v>0</v>
      </c>
      <c r="F3930" s="3">
        <f>'[1]FEB 2026'!F4</f>
        <v>0</v>
      </c>
      <c r="G3930" s="4">
        <f>'[1]FEB 2026'!G4</f>
        <v>1</v>
      </c>
      <c r="H3930" s="4">
        <f>'[1]FEB 2026'!H4</f>
        <v>0</v>
      </c>
    </row>
    <row r="3931" spans="1:8" x14ac:dyDescent="0.2">
      <c r="A3931" s="20">
        <f>'[1]FEB 2026'!A9</f>
        <v>46055</v>
      </c>
      <c r="B3931" s="12" t="str">
        <f>'[1]FEB 2026'!B9</f>
        <v>LM</v>
      </c>
      <c r="C3931" s="3">
        <f>'[1]FEB 2026'!C9</f>
        <v>0</v>
      </c>
      <c r="D3931" s="3">
        <f>'[1]FEB 2026'!D9</f>
        <v>0</v>
      </c>
      <c r="E3931" s="4">
        <f>'[1]FEB 2026'!E9</f>
        <v>0</v>
      </c>
      <c r="F3931" s="3">
        <f>'[1]FEB 2026'!F9</f>
        <v>0</v>
      </c>
      <c r="G3931" s="4">
        <f>'[1]FEB 2026'!G9</f>
        <v>0</v>
      </c>
      <c r="H3931" s="4">
        <f>'[1]FEB 2026'!H9</f>
        <v>822.86</v>
      </c>
    </row>
    <row r="3932" spans="1:8" x14ac:dyDescent="0.2">
      <c r="A3932" s="23">
        <f>'[1]FEB 2026'!A10</f>
        <v>46055</v>
      </c>
      <c r="B3932" s="12" t="str">
        <f>'[1]FEB 2026'!B10</f>
        <v>none</v>
      </c>
      <c r="C3932" s="3">
        <f>'[1]FEB 2026'!C10</f>
        <v>0</v>
      </c>
      <c r="D3932" s="3">
        <f>'[1]FEB 2026'!D10</f>
        <v>0</v>
      </c>
      <c r="E3932" s="4">
        <f>'[1]FEB 2026'!E10</f>
        <v>0</v>
      </c>
      <c r="F3932" s="3">
        <f>'[1]FEB 2026'!F10</f>
        <v>0</v>
      </c>
      <c r="G3932" s="4">
        <f>'[1]FEB 2026'!G10</f>
        <v>680</v>
      </c>
      <c r="H3932" s="4">
        <f>'[1]FEB 2026'!H10</f>
        <v>0</v>
      </c>
    </row>
    <row r="3933" spans="1:8" x14ac:dyDescent="0.2">
      <c r="A3933" s="23">
        <f>'[1]FEB 2026'!A16</f>
        <v>46056</v>
      </c>
      <c r="B3933" s="12" t="str">
        <f>'[1]FEB 2026'!B16</f>
        <v>LM</v>
      </c>
      <c r="C3933" s="3">
        <f>'[1]FEB 2026'!C16</f>
        <v>0</v>
      </c>
      <c r="D3933" s="3">
        <f>'[1]FEB 2026'!D16</f>
        <v>0</v>
      </c>
      <c r="E3933" s="4">
        <f>'[1]FEB 2026'!E16</f>
        <v>0</v>
      </c>
      <c r="F3933" s="3">
        <f>'[1]FEB 2026'!F16</f>
        <v>0</v>
      </c>
      <c r="G3933" s="4">
        <f>'[1]FEB 2026'!G16</f>
        <v>0</v>
      </c>
      <c r="H3933" s="4">
        <f>'[1]FEB 2026'!H16</f>
        <v>6547.25</v>
      </c>
    </row>
    <row r="3934" spans="1:8" x14ac:dyDescent="0.2">
      <c r="A3934" s="20">
        <f>'[1]FEB 2026'!A23</f>
        <v>46057</v>
      </c>
      <c r="B3934" s="12" t="str">
        <f>'[1]FEB 2026'!B23</f>
        <v>LM</v>
      </c>
      <c r="C3934" s="3">
        <f>'[1]FEB 2026'!C23</f>
        <v>0</v>
      </c>
      <c r="D3934" s="3">
        <f>'[1]FEB 2026'!D23</f>
        <v>0</v>
      </c>
      <c r="E3934" s="4">
        <f>'[1]FEB 2026'!E23</f>
        <v>0</v>
      </c>
      <c r="F3934" s="3">
        <f>'[1]FEB 2026'!F23</f>
        <v>0</v>
      </c>
      <c r="G3934" s="4">
        <f>'[1]FEB 2026'!G23</f>
        <v>0</v>
      </c>
      <c r="H3934" s="4">
        <f>'[1]FEB 2026'!H23</f>
        <v>174.99</v>
      </c>
    </row>
    <row r="3935" spans="1:8" x14ac:dyDescent="0.2">
      <c r="A3935" s="23">
        <f>'[1]FEB 2026'!A30</f>
        <v>46058</v>
      </c>
      <c r="B3935" s="12" t="str">
        <f>'[1]FEB 2026'!B30</f>
        <v>LM</v>
      </c>
      <c r="C3935" s="3">
        <f>'[1]FEB 2026'!C30</f>
        <v>0</v>
      </c>
      <c r="D3935" s="3">
        <f>'[1]FEB 2026'!D30</f>
        <v>0</v>
      </c>
      <c r="E3935" s="4">
        <f>'[1]FEB 2026'!E30</f>
        <v>0</v>
      </c>
      <c r="F3935" s="3">
        <f>'[1]FEB 2026'!F30</f>
        <v>0</v>
      </c>
      <c r="G3935" s="4">
        <f>'[1]FEB 2026'!G30</f>
        <v>0</v>
      </c>
      <c r="H3935" s="4">
        <f>'[1]FEB 2026'!H30</f>
        <v>99.99</v>
      </c>
    </row>
    <row r="3936" spans="1:8" x14ac:dyDescent="0.2">
      <c r="A3936" s="20">
        <f>'[1]FEB 2026'!A31</f>
        <v>46058</v>
      </c>
      <c r="B3936" s="12" t="str">
        <f>'[1]FEB 2026'!B31</f>
        <v>Andere</v>
      </c>
      <c r="C3936" s="3">
        <f>'[1]FEB 2026'!C31</f>
        <v>0</v>
      </c>
      <c r="D3936" s="3">
        <f>'[1]FEB 2026'!D31</f>
        <v>0</v>
      </c>
      <c r="E3936" s="4">
        <f>'[1]FEB 2026'!E31</f>
        <v>0</v>
      </c>
      <c r="F3936" s="3">
        <f>'[1]FEB 2026'!F31</f>
        <v>0</v>
      </c>
      <c r="G3936" s="4">
        <f>'[1]FEB 2026'!G31</f>
        <v>0</v>
      </c>
      <c r="H3936" s="4">
        <f>'[1]FEB 2026'!H31</f>
        <v>1800</v>
      </c>
    </row>
    <row r="3937" spans="1:8" x14ac:dyDescent="0.2">
      <c r="A3937" s="23">
        <f>'[1]FEB 2026'!A32</f>
        <v>46058</v>
      </c>
      <c r="B3937" s="12" t="str">
        <f>'[1]FEB 2026'!B32</f>
        <v>CarMaint</v>
      </c>
      <c r="C3937" s="3">
        <f>'[1]FEB 2026'!C32</f>
        <v>0</v>
      </c>
      <c r="D3937" s="3">
        <f>'[1]FEB 2026'!D32</f>
        <v>0</v>
      </c>
      <c r="E3937" s="4">
        <f>'[1]FEB 2026'!E32</f>
        <v>0</v>
      </c>
      <c r="F3937" s="3">
        <f>'[1]FEB 2026'!F32</f>
        <v>0</v>
      </c>
      <c r="G3937" s="4">
        <f>'[1]FEB 2026'!G32</f>
        <v>0</v>
      </c>
      <c r="H3937" s="4">
        <f>'[1]FEB 2026'!H32</f>
        <v>400</v>
      </c>
    </row>
    <row r="3938" spans="1:8" x14ac:dyDescent="0.2">
      <c r="A3938" s="20">
        <f>'[1]FEB 2026'!A37</f>
        <v>46059</v>
      </c>
      <c r="B3938" s="12" t="str">
        <f>'[1]FEB 2026'!B37</f>
        <v>LM</v>
      </c>
      <c r="C3938" s="3">
        <f>'[1]FEB 2026'!C37</f>
        <v>0</v>
      </c>
      <c r="D3938" s="3">
        <f>'[1]FEB 2026'!D37</f>
        <v>0</v>
      </c>
      <c r="E3938" s="4">
        <f>'[1]FEB 2026'!E37</f>
        <v>0</v>
      </c>
      <c r="F3938" s="3">
        <f>'[1]FEB 2026'!F37</f>
        <v>0</v>
      </c>
      <c r="G3938" s="4">
        <f>'[1]FEB 2026'!G37</f>
        <v>0</v>
      </c>
      <c r="H3938" s="4">
        <f>'[1]FEB 2026'!H37</f>
        <v>730.14</v>
      </c>
    </row>
    <row r="3939" spans="1:8" x14ac:dyDescent="0.2">
      <c r="A3939" s="23">
        <f>'[1]FEB 2026'!A44</f>
        <v>46060</v>
      </c>
      <c r="B3939" s="12" t="str">
        <f>'[1]FEB 2026'!B44</f>
        <v>LM</v>
      </c>
      <c r="C3939" s="3">
        <f>'[1]FEB 2026'!C44</f>
        <v>0</v>
      </c>
      <c r="D3939" s="3">
        <f>'[1]FEB 2026'!D44</f>
        <v>0</v>
      </c>
      <c r="E3939" s="4">
        <f>'[1]FEB 2026'!E44</f>
        <v>0</v>
      </c>
      <c r="F3939" s="3">
        <f>'[1]FEB 2026'!F44</f>
        <v>0</v>
      </c>
      <c r="G3939" s="4">
        <f>'[1]FEB 2026'!G44</f>
        <v>0</v>
      </c>
      <c r="H3939" s="4">
        <f>'[1]FEB 2026'!H44</f>
        <v>2121.71</v>
      </c>
    </row>
    <row r="3940" spans="1:8" x14ac:dyDescent="0.2">
      <c r="A3940" s="20">
        <f>'[1]FEB 2026'!A45</f>
        <v>46060</v>
      </c>
      <c r="B3940" s="12" t="str">
        <f>'[1]FEB 2026'!B45</f>
        <v>Frauen</v>
      </c>
      <c r="C3940" s="3">
        <f>'[1]FEB 2026'!C45</f>
        <v>0</v>
      </c>
      <c r="D3940" s="3">
        <f>'[1]FEB 2026'!D45</f>
        <v>0</v>
      </c>
      <c r="E3940" s="4">
        <f>'[1]FEB 2026'!E45</f>
        <v>0</v>
      </c>
      <c r="F3940" s="3">
        <f>'[1]FEB 2026'!F45</f>
        <v>0</v>
      </c>
      <c r="G3940" s="4">
        <f>'[1]FEB 2026'!G45</f>
        <v>0</v>
      </c>
      <c r="H3940" s="4">
        <f>'[1]FEB 2026'!H45</f>
        <v>399</v>
      </c>
    </row>
    <row r="3941" spans="1:8" x14ac:dyDescent="0.2">
      <c r="A3941" s="23">
        <f>'[1]FEB 2026'!A46</f>
        <v>46060</v>
      </c>
      <c r="B3941" s="12" t="str">
        <f>'[1]FEB 2026'!B46</f>
        <v>CarMaint</v>
      </c>
      <c r="C3941" s="3">
        <f>'[1]FEB 2026'!C46</f>
        <v>0</v>
      </c>
      <c r="D3941" s="3">
        <f>'[1]FEB 2026'!D46</f>
        <v>0</v>
      </c>
      <c r="E3941" s="4">
        <f>'[1]FEB 2026'!E46</f>
        <v>0</v>
      </c>
      <c r="F3941" s="3">
        <f>'[1]FEB 2026'!F46</f>
        <v>0</v>
      </c>
      <c r="G3941" s="4">
        <f>'[1]FEB 2026'!G46</f>
        <v>0</v>
      </c>
      <c r="H3941" s="4">
        <f>'[1]FEB 2026'!H46</f>
        <v>100</v>
      </c>
    </row>
    <row r="3942" spans="1:8" x14ac:dyDescent="0.2">
      <c r="A3942" s="20">
        <f>'[1]FEB 2026'!A51</f>
        <v>46061</v>
      </c>
      <c r="B3942" s="12" t="str">
        <f>'[1]FEB 2026'!B51</f>
        <v>LM</v>
      </c>
      <c r="C3942" s="3">
        <f>'[1]FEB 2026'!C51</f>
        <v>0</v>
      </c>
      <c r="D3942" s="3">
        <f>'[1]FEB 2026'!D51</f>
        <v>0</v>
      </c>
      <c r="E3942" s="4">
        <f>'[1]FEB 2026'!E51</f>
        <v>0</v>
      </c>
      <c r="F3942" s="3">
        <f>'[1]FEB 2026'!F51</f>
        <v>0</v>
      </c>
      <c r="G3942" s="4">
        <f>'[1]FEB 2026'!G51</f>
        <v>0</v>
      </c>
      <c r="H3942" s="4">
        <f>'[1]FEB 2026'!H51</f>
        <v>634.96</v>
      </c>
    </row>
    <row r="3943" spans="1:8" x14ac:dyDescent="0.2">
      <c r="A3943" s="23">
        <f>'[1]FEB 2026'!A58</f>
        <v>46062</v>
      </c>
      <c r="B3943" s="12" t="str">
        <f>'[1]FEB 2026'!B58</f>
        <v>LM</v>
      </c>
      <c r="C3943" s="3">
        <f>'[1]FEB 2026'!C58</f>
        <v>0</v>
      </c>
      <c r="D3943" s="3">
        <f>'[1]FEB 2026'!D58</f>
        <v>0</v>
      </c>
      <c r="E3943" s="4">
        <f>'[1]FEB 2026'!E58</f>
        <v>0</v>
      </c>
      <c r="F3943" s="3">
        <f>'[1]FEB 2026'!F58</f>
        <v>0</v>
      </c>
      <c r="G3943" s="4">
        <f>'[1]FEB 2026'!G58</f>
        <v>0</v>
      </c>
      <c r="H3943" s="4">
        <f>'[1]FEB 2026'!H58</f>
        <v>59.99</v>
      </c>
    </row>
    <row r="3944" spans="1:8" x14ac:dyDescent="0.2">
      <c r="A3944" s="20">
        <f>'[1]FEB 2026'!A65</f>
        <v>46063</v>
      </c>
      <c r="B3944" s="12" t="str">
        <f>'[1]FEB 2026'!B65</f>
        <v>Refill</v>
      </c>
      <c r="C3944" s="3">
        <f>'[1]FEB 2026'!C65</f>
        <v>0</v>
      </c>
      <c r="D3944" s="3">
        <f>'[1]FEB 2026'!D65</f>
        <v>0</v>
      </c>
      <c r="E3944" s="4">
        <f>'[1]FEB 2026'!E65</f>
        <v>0</v>
      </c>
      <c r="F3944" s="3">
        <f>'[1]FEB 2026'!F65</f>
        <v>0</v>
      </c>
      <c r="G3944" s="4">
        <f>'[1]FEB 2026'!G65</f>
        <v>169484.74</v>
      </c>
      <c r="H3944" s="4">
        <f>'[1]FEB 2026'!H65</f>
        <v>0</v>
      </c>
    </row>
    <row r="3945" spans="1:8" x14ac:dyDescent="0.2">
      <c r="A3945" s="23">
        <f>'[1]FEB 2026'!A66</f>
        <v>46063</v>
      </c>
      <c r="B3945" s="12" t="str">
        <f>'[1]FEB 2026'!B66</f>
        <v>Frauen</v>
      </c>
      <c r="C3945" s="3">
        <f>'[1]FEB 2026'!C66</f>
        <v>0</v>
      </c>
      <c r="D3945" s="3">
        <f>'[1]FEB 2026'!D66</f>
        <v>0</v>
      </c>
      <c r="E3945" s="4">
        <f>'[1]FEB 2026'!E66</f>
        <v>0</v>
      </c>
      <c r="F3945" s="3">
        <f>'[1]FEB 2026'!F66</f>
        <v>0</v>
      </c>
      <c r="G3945" s="4">
        <f>'[1]FEB 2026'!G66</f>
        <v>0</v>
      </c>
      <c r="H3945" s="4">
        <f>'[1]FEB 2026'!H66</f>
        <v>12300</v>
      </c>
    </row>
    <row r="3946" spans="1:8" x14ac:dyDescent="0.2">
      <c r="A3946" s="20">
        <f>'[1]FEB 2026'!A67</f>
        <v>46063</v>
      </c>
      <c r="B3946" s="12" t="str">
        <f>'[1]FEB 2026'!B67</f>
        <v>Andere</v>
      </c>
      <c r="C3946" s="3">
        <f>'[1]FEB 2026'!C67</f>
        <v>0</v>
      </c>
      <c r="D3946" s="3">
        <f>'[1]FEB 2026'!D67</f>
        <v>0</v>
      </c>
      <c r="E3946" s="4">
        <f>'[1]FEB 2026'!E67</f>
        <v>0</v>
      </c>
      <c r="F3946" s="3">
        <f>'[1]FEB 2026'!F67</f>
        <v>0</v>
      </c>
      <c r="G3946" s="4">
        <f>'[1]FEB 2026'!G67</f>
        <v>0</v>
      </c>
      <c r="H3946" s="4">
        <f>'[1]FEB 2026'!H67</f>
        <v>575</v>
      </c>
    </row>
    <row r="3947" spans="1:8" x14ac:dyDescent="0.2">
      <c r="A3947" s="23">
        <f>'[1]FEB 2026'!A68</f>
        <v>46063</v>
      </c>
      <c r="B3947" s="12" t="str">
        <f>'[1]FEB 2026'!B68</f>
        <v>LM</v>
      </c>
      <c r="C3947" s="3">
        <f>'[1]FEB 2026'!C68</f>
        <v>0</v>
      </c>
      <c r="D3947" s="3">
        <f>'[1]FEB 2026'!D68</f>
        <v>0</v>
      </c>
      <c r="E3947" s="4">
        <f>'[1]FEB 2026'!E68</f>
        <v>0</v>
      </c>
      <c r="F3947" s="3">
        <f>'[1]FEB 2026'!F68</f>
        <v>0</v>
      </c>
      <c r="G3947" s="4">
        <f>'[1]FEB 2026'!G68</f>
        <v>0</v>
      </c>
      <c r="H3947" s="4">
        <f>'[1]FEB 2026'!H68</f>
        <v>63.99</v>
      </c>
    </row>
    <row r="3948" spans="1:8" x14ac:dyDescent="0.2">
      <c r="A3948" s="23">
        <f>'[1]FEB 2026'!A72</f>
        <v>46064</v>
      </c>
      <c r="B3948" s="12" t="str">
        <f>'[1]FEB 2026'!B72</f>
        <v>LM</v>
      </c>
      <c r="C3948" s="3">
        <f>'[1]FEB 2026'!C72</f>
        <v>0</v>
      </c>
      <c r="D3948" s="3">
        <f>'[1]FEB 2026'!D72</f>
        <v>0</v>
      </c>
      <c r="E3948" s="4">
        <f>'[1]FEB 2026'!E72</f>
        <v>0</v>
      </c>
      <c r="F3948" s="3">
        <f>'[1]FEB 2026'!F72</f>
        <v>0</v>
      </c>
      <c r="G3948" s="4">
        <f>'[1]FEB 2026'!G72</f>
        <v>0</v>
      </c>
      <c r="H3948" s="4">
        <f>'[1]FEB 2026'!H72</f>
        <v>255</v>
      </c>
    </row>
    <row r="3949" spans="1:8" x14ac:dyDescent="0.2">
      <c r="A3949" s="20">
        <f>'[1]FEB 2026'!A73</f>
        <v>46064</v>
      </c>
      <c r="B3949" s="12" t="str">
        <f>'[1]FEB 2026'!B73</f>
        <v>Andere</v>
      </c>
      <c r="C3949" s="3">
        <f>'[1]FEB 2026'!C73</f>
        <v>0</v>
      </c>
      <c r="D3949" s="3">
        <f>'[1]FEB 2026'!D73</f>
        <v>0</v>
      </c>
      <c r="E3949" s="4">
        <f>'[1]FEB 2026'!E73</f>
        <v>0</v>
      </c>
      <c r="F3949" s="3">
        <f>'[1]FEB 2026'!F73</f>
        <v>0</v>
      </c>
      <c r="G3949" s="4">
        <f>'[1]FEB 2026'!G73</f>
        <v>0</v>
      </c>
      <c r="H3949" s="4">
        <f>'[1]FEB 2026'!H73</f>
        <v>3100</v>
      </c>
    </row>
    <row r="3950" spans="1:8" x14ac:dyDescent="0.2">
      <c r="A3950" s="20">
        <f>'[1]FEB 2026'!A79</f>
        <v>46065</v>
      </c>
      <c r="B3950" s="12" t="str">
        <f>'[1]FEB 2026'!B79</f>
        <v>LM</v>
      </c>
      <c r="C3950" s="3">
        <f>'[1]FEB 2026'!C79</f>
        <v>0</v>
      </c>
      <c r="D3950" s="3">
        <f>'[1]FEB 2026'!D79</f>
        <v>0</v>
      </c>
      <c r="E3950" s="4">
        <f>'[1]FEB 2026'!E79</f>
        <v>0</v>
      </c>
      <c r="F3950" s="3">
        <f>'[1]FEB 2026'!F79</f>
        <v>0</v>
      </c>
      <c r="G3950" s="4">
        <f>'[1]FEB 2026'!G79</f>
        <v>0</v>
      </c>
      <c r="H3950" s="4">
        <f>'[1]FEB 2026'!H79</f>
        <v>7569.17</v>
      </c>
    </row>
    <row r="3951" spans="1:8" x14ac:dyDescent="0.2">
      <c r="A3951" s="23">
        <f>'[1]FEB 2026'!A86</f>
        <v>46066</v>
      </c>
      <c r="B3951" s="12" t="str">
        <f>'[1]FEB 2026'!B86</f>
        <v>Andere</v>
      </c>
      <c r="C3951" s="3">
        <f>'[1]FEB 2026'!C86</f>
        <v>0</v>
      </c>
      <c r="D3951" s="3">
        <f>'[1]FEB 2026'!D86</f>
        <v>0</v>
      </c>
      <c r="E3951" s="4">
        <f>'[1]FEB 2026'!E86</f>
        <v>0</v>
      </c>
      <c r="F3951" s="3">
        <f>'[1]FEB 2026'!F86</f>
        <v>0</v>
      </c>
      <c r="G3951" s="4">
        <f>'[1]FEB 2026'!G86</f>
        <v>0</v>
      </c>
      <c r="H3951" s="4">
        <f>'[1]FEB 2026'!H86</f>
        <v>1721</v>
      </c>
    </row>
    <row r="3952" spans="1:8" x14ac:dyDescent="0.2">
      <c r="A3952" s="20">
        <f>'[1]FEB 2026'!A87</f>
        <v>46066</v>
      </c>
      <c r="B3952" s="12" t="str">
        <f>'[1]FEB 2026'!B87</f>
        <v>Andere</v>
      </c>
      <c r="C3952" s="3">
        <f>'[1]FEB 2026'!C87</f>
        <v>0</v>
      </c>
      <c r="D3952" s="3">
        <f>'[1]FEB 2026'!D87</f>
        <v>0</v>
      </c>
      <c r="E3952" s="4">
        <f>'[1]FEB 2026'!E87</f>
        <v>0</v>
      </c>
      <c r="F3952" s="3">
        <f>'[1]FEB 2026'!F87</f>
        <v>0</v>
      </c>
      <c r="G3952" s="4">
        <f>'[1]FEB 2026'!G87</f>
        <v>0</v>
      </c>
      <c r="H3952" s="4">
        <f>'[1]FEB 2026'!H87</f>
        <v>790</v>
      </c>
    </row>
    <row r="3953" spans="1:8" x14ac:dyDescent="0.2">
      <c r="A3953" s="20">
        <f>'[1]FEB 2026'!A93</f>
        <v>46067</v>
      </c>
      <c r="B3953" s="12" t="str">
        <f>'[1]FEB 2026'!B93</f>
        <v>LM</v>
      </c>
      <c r="C3953" s="3">
        <f>'[1]FEB 2026'!C93</f>
        <v>0</v>
      </c>
      <c r="D3953" s="3">
        <f>'[1]FEB 2026'!D93</f>
        <v>0</v>
      </c>
      <c r="E3953" s="4">
        <f>'[1]FEB 2026'!E93</f>
        <v>0</v>
      </c>
      <c r="F3953" s="3">
        <f>'[1]FEB 2026'!F93</f>
        <v>0</v>
      </c>
      <c r="G3953" s="4">
        <f>'[1]FEB 2026'!G93</f>
        <v>0</v>
      </c>
      <c r="H3953" s="4">
        <f>'[1]FEB 2026'!H93</f>
        <v>2998.58</v>
      </c>
    </row>
    <row r="3954" spans="1:8" x14ac:dyDescent="0.2">
      <c r="A3954" s="23">
        <f>'[1]FEB 2026'!A94</f>
        <v>46067</v>
      </c>
      <c r="B3954" s="12" t="str">
        <f>'[1]FEB 2026'!B94</f>
        <v>Frauen</v>
      </c>
      <c r="C3954" s="3">
        <f>'[1]FEB 2026'!C94</f>
        <v>0</v>
      </c>
      <c r="D3954" s="3">
        <f>'[1]FEB 2026'!D94</f>
        <v>0</v>
      </c>
      <c r="E3954" s="4">
        <f>'[1]FEB 2026'!E94</f>
        <v>0</v>
      </c>
      <c r="F3954" s="3">
        <f>'[1]FEB 2026'!F94</f>
        <v>0</v>
      </c>
      <c r="G3954" s="4">
        <f>'[1]FEB 2026'!G94</f>
        <v>0</v>
      </c>
      <c r="H3954" s="4">
        <f>'[1]FEB 2026'!H94</f>
        <v>900</v>
      </c>
    </row>
    <row r="3955" spans="1:8" x14ac:dyDescent="0.2">
      <c r="A3955" s="23">
        <f>'[1]FEB 2026'!A100</f>
        <v>46068</v>
      </c>
      <c r="B3955" s="12" t="str">
        <f>'[1]FEB 2026'!B100</f>
        <v>LM</v>
      </c>
      <c r="C3955" s="3">
        <f>'[1]FEB 2026'!C100</f>
        <v>0</v>
      </c>
      <c r="D3955" s="3">
        <f>'[1]FEB 2026'!D100</f>
        <v>0</v>
      </c>
      <c r="E3955" s="4">
        <f>'[1]FEB 2026'!E100</f>
        <v>0</v>
      </c>
      <c r="F3955" s="3">
        <f>'[1]FEB 2026'!F100</f>
        <v>0</v>
      </c>
      <c r="G3955" s="4">
        <f>'[1]FEB 2026'!G100</f>
        <v>0</v>
      </c>
      <c r="H3955" s="4">
        <f>'[1]FEB 2026'!H100</f>
        <v>3040.59</v>
      </c>
    </row>
    <row r="3956" spans="1:8" x14ac:dyDescent="0.2">
      <c r="A3956" s="20">
        <f>'[1]FEB 2026'!A101</f>
        <v>46068</v>
      </c>
      <c r="B3956" s="12" t="str">
        <f>'[1]FEB 2026'!B101</f>
        <v>Fuel</v>
      </c>
      <c r="C3956" s="3">
        <f>'[1]FEB 2026'!C101</f>
        <v>0</v>
      </c>
      <c r="D3956" s="3">
        <f>'[1]FEB 2026'!D101</f>
        <v>0</v>
      </c>
      <c r="E3956" s="4">
        <f>'[1]FEB 2026'!E101</f>
        <v>0</v>
      </c>
      <c r="F3956" s="3">
        <f>'[1]FEB 2026'!F101</f>
        <v>0</v>
      </c>
      <c r="G3956" s="4">
        <f>'[1]FEB 2026'!G101</f>
        <v>0</v>
      </c>
      <c r="H3956" s="4">
        <f>'[1]FEB 2026'!H101</f>
        <v>3987</v>
      </c>
    </row>
    <row r="3957" spans="1:8" x14ac:dyDescent="0.2">
      <c r="A3957" s="20">
        <f>'[1]FEB 2026'!A107</f>
        <v>46069</v>
      </c>
      <c r="B3957" s="12" t="str">
        <f>'[1]FEB 2026'!B107</f>
        <v>LM</v>
      </c>
      <c r="C3957" s="3">
        <f>'[1]FEB 2026'!C107</f>
        <v>0</v>
      </c>
      <c r="D3957" s="3">
        <f>'[1]FEB 2026'!D107</f>
        <v>0</v>
      </c>
      <c r="E3957" s="4">
        <f>'[1]FEB 2026'!E107</f>
        <v>0</v>
      </c>
      <c r="F3957" s="3">
        <f>'[1]FEB 2026'!F107</f>
        <v>0</v>
      </c>
      <c r="G3957" s="4">
        <f>'[1]FEB 2026'!G107</f>
        <v>0</v>
      </c>
      <c r="H3957" s="4">
        <f>'[1]FEB 2026'!H107</f>
        <v>400.9</v>
      </c>
    </row>
    <row r="3958" spans="1:8" x14ac:dyDescent="0.2">
      <c r="A3958" s="23">
        <f>'[1]FEB 2026'!A108</f>
        <v>46069</v>
      </c>
      <c r="B3958" s="12" t="str">
        <f>'[1]FEB 2026'!B108</f>
        <v>for me</v>
      </c>
      <c r="C3958" s="3">
        <f>'[1]FEB 2026'!C108</f>
        <v>0</v>
      </c>
      <c r="D3958" s="3">
        <f>'[1]FEB 2026'!D108</f>
        <v>0</v>
      </c>
      <c r="E3958" s="4">
        <f>'[1]FEB 2026'!E108</f>
        <v>0</v>
      </c>
      <c r="F3958" s="3">
        <f>'[1]FEB 2026'!F108</f>
        <v>0</v>
      </c>
      <c r="G3958" s="4">
        <f>'[1]FEB 2026'!G108</f>
        <v>0</v>
      </c>
      <c r="H3958" s="4">
        <f>'[1]FEB 2026'!H108</f>
        <v>1700</v>
      </c>
    </row>
    <row r="3959" spans="1:8" x14ac:dyDescent="0.2">
      <c r="A3959" s="23">
        <f>'[1]FEB 2026'!A114</f>
        <v>46070</v>
      </c>
      <c r="B3959" s="12" t="str">
        <f>'[1]FEB 2026'!B114</f>
        <v>Andere</v>
      </c>
      <c r="C3959" s="3">
        <f>'[1]FEB 2026'!C114</f>
        <v>0</v>
      </c>
      <c r="D3959" s="3">
        <f>'[1]FEB 2026'!D114</f>
        <v>0</v>
      </c>
      <c r="E3959" s="4">
        <f>'[1]FEB 2026'!E114</f>
        <v>0</v>
      </c>
      <c r="F3959" s="3">
        <f>'[1]FEB 2026'!F114</f>
        <v>0</v>
      </c>
      <c r="G3959" s="4">
        <f>'[1]FEB 2026'!G114</f>
        <v>0</v>
      </c>
      <c r="H3959" s="4">
        <f>'[1]FEB 2026'!H114</f>
        <v>2400</v>
      </c>
    </row>
    <row r="3960" spans="1:8" x14ac:dyDescent="0.2">
      <c r="A3960" s="20">
        <f>'[1]FEB 2026'!A115</f>
        <v>46070</v>
      </c>
      <c r="B3960" s="12" t="str">
        <f>'[1]FEB 2026'!B115</f>
        <v>none</v>
      </c>
      <c r="C3960" s="3">
        <f>'[1]FEB 2026'!C115</f>
        <v>0</v>
      </c>
      <c r="D3960" s="3">
        <f>'[1]FEB 2026'!D115</f>
        <v>0</v>
      </c>
      <c r="E3960" s="4">
        <f>'[1]FEB 2026'!E115</f>
        <v>0</v>
      </c>
      <c r="F3960" s="3">
        <f>'[1]FEB 2026'!F115</f>
        <v>0</v>
      </c>
      <c r="G3960" s="4">
        <f>'[1]FEB 2026'!G115</f>
        <v>0</v>
      </c>
      <c r="H3960" s="4">
        <f>'[1]FEB 2026'!H115</f>
        <v>30</v>
      </c>
    </row>
    <row r="3961" spans="1:8" x14ac:dyDescent="0.2">
      <c r="A3961" s="23">
        <f>'[1]FEB 2026'!A116</f>
        <v>46070</v>
      </c>
      <c r="B3961" s="12" t="str">
        <f>'[1]FEB 2026'!B116</f>
        <v>Refill</v>
      </c>
      <c r="C3961" s="3">
        <f>'[1]FEB 2026'!C116</f>
        <v>0</v>
      </c>
      <c r="D3961" s="3">
        <f>'[1]FEB 2026'!D116</f>
        <v>0</v>
      </c>
      <c r="E3961" s="4">
        <f>'[1]FEB 2026'!E116</f>
        <v>0</v>
      </c>
      <c r="F3961" s="3">
        <f>'[1]FEB 2026'!F116</f>
        <v>0</v>
      </c>
      <c r="G3961" s="4">
        <f>'[1]FEB 2026'!G116</f>
        <v>12400</v>
      </c>
      <c r="H3961" s="4">
        <f>'[1]FEB 2026'!H116</f>
        <v>0</v>
      </c>
    </row>
    <row r="3962" spans="1:8" x14ac:dyDescent="0.2">
      <c r="A3962" s="20">
        <f>'[1]FEB 2026'!A121</f>
        <v>46071</v>
      </c>
      <c r="B3962" s="12" t="str">
        <f>'[1]FEB 2026'!B121</f>
        <v>rent</v>
      </c>
      <c r="C3962" s="3">
        <f>'[1]FEB 2026'!C121</f>
        <v>0</v>
      </c>
      <c r="D3962" s="3">
        <f>'[1]FEB 2026'!D121</f>
        <v>0</v>
      </c>
      <c r="E3962" s="4">
        <f>'[1]FEB 2026'!E121</f>
        <v>0</v>
      </c>
      <c r="F3962" s="3">
        <f>'[1]FEB 2026'!F121</f>
        <v>0</v>
      </c>
      <c r="G3962" s="4">
        <f>'[1]FEB 2026'!G121</f>
        <v>0</v>
      </c>
      <c r="H3962" s="4">
        <f>'[1]FEB 2026'!H121</f>
        <v>66787</v>
      </c>
    </row>
    <row r="3963" spans="1:8" x14ac:dyDescent="0.2">
      <c r="A3963" s="23">
        <f>'[1]FEB 2026'!A122</f>
        <v>46071</v>
      </c>
      <c r="B3963" s="12" t="str">
        <f>'[1]FEB 2026'!B122</f>
        <v>Andere</v>
      </c>
      <c r="C3963" s="3">
        <f>'[1]FEB 2026'!C122</f>
        <v>0</v>
      </c>
      <c r="D3963" s="3">
        <f>'[1]FEB 2026'!D122</f>
        <v>0</v>
      </c>
      <c r="E3963" s="4">
        <f>'[1]FEB 2026'!E122</f>
        <v>0</v>
      </c>
      <c r="F3963" s="3">
        <f>'[1]FEB 2026'!F122</f>
        <v>0</v>
      </c>
      <c r="G3963" s="4">
        <f>'[1]FEB 2026'!G122</f>
        <v>0</v>
      </c>
      <c r="H3963" s="4">
        <f>'[1]FEB 2026'!H122</f>
        <v>1990</v>
      </c>
    </row>
    <row r="3964" spans="1:8" x14ac:dyDescent="0.2">
      <c r="A3964" s="23">
        <f>'[1]FEB 2026'!A128</f>
        <v>46072</v>
      </c>
      <c r="B3964" s="12" t="str">
        <f>'[1]FEB 2026'!B128</f>
        <v>LM</v>
      </c>
      <c r="C3964" s="3">
        <f>'[1]FEB 2026'!C128</f>
        <v>0</v>
      </c>
      <c r="D3964" s="3">
        <f>'[1]FEB 2026'!D128</f>
        <v>0</v>
      </c>
      <c r="E3964" s="4">
        <f>'[1]FEB 2026'!E128</f>
        <v>0</v>
      </c>
      <c r="F3964" s="3">
        <f>'[1]FEB 2026'!F128</f>
        <v>0</v>
      </c>
      <c r="G3964" s="4">
        <f>'[1]FEB 2026'!G128</f>
        <v>0</v>
      </c>
      <c r="H3964" s="4">
        <f>'[1]FEB 2026'!H128</f>
        <v>349.9</v>
      </c>
    </row>
    <row r="3965" spans="1:8" x14ac:dyDescent="0.2">
      <c r="A3965" s="20">
        <f>'[1]FEB 2026'!A129</f>
        <v>46072</v>
      </c>
      <c r="B3965" s="12" t="str">
        <f>'[1]FEB 2026'!B129</f>
        <v>Rauchen</v>
      </c>
      <c r="C3965" s="3">
        <f>'[1]FEB 2026'!C129</f>
        <v>0</v>
      </c>
      <c r="D3965" s="3">
        <f>'[1]FEB 2026'!D129</f>
        <v>0</v>
      </c>
      <c r="E3965" s="4">
        <f>'[1]FEB 2026'!E129</f>
        <v>0</v>
      </c>
      <c r="F3965" s="3">
        <f>'[1]FEB 2026'!F129</f>
        <v>0</v>
      </c>
      <c r="G3965" s="4">
        <f>'[1]FEB 2026'!G129</f>
        <v>0</v>
      </c>
      <c r="H3965" s="4">
        <f>'[1]FEB 2026'!H129</f>
        <v>230</v>
      </c>
    </row>
    <row r="3966" spans="1:8" x14ac:dyDescent="0.2">
      <c r="A3966" s="20">
        <f>'[1]FEB 2026'!A135</f>
        <v>46073</v>
      </c>
      <c r="B3966" s="12" t="str">
        <f>'[1]FEB 2026'!B135</f>
        <v>LM</v>
      </c>
      <c r="C3966" s="3">
        <f>'[1]FEB 2026'!C135</f>
        <v>0</v>
      </c>
      <c r="D3966" s="3">
        <f>'[1]FEB 2026'!D135</f>
        <v>0</v>
      </c>
      <c r="E3966" s="4">
        <f>'[1]FEB 2026'!E135</f>
        <v>0</v>
      </c>
      <c r="F3966" s="3">
        <f>'[1]FEB 2026'!F135</f>
        <v>0</v>
      </c>
      <c r="G3966" s="4">
        <f>'[1]FEB 2026'!G135</f>
        <v>0</v>
      </c>
      <c r="H3966" s="4">
        <f>'[1]FEB 2026'!H135</f>
        <v>409.99</v>
      </c>
    </row>
    <row r="3967" spans="1:8" x14ac:dyDescent="0.2">
      <c r="A3967" s="23">
        <f>'[1]FEB 2026'!A136</f>
        <v>46073</v>
      </c>
      <c r="B3967" s="12" t="str">
        <f>'[1]FEB 2026'!B136</f>
        <v>Andere</v>
      </c>
      <c r="C3967" s="3">
        <f>'[1]FEB 2026'!C136</f>
        <v>0</v>
      </c>
      <c r="D3967" s="3">
        <f>'[1]FEB 2026'!D136</f>
        <v>0</v>
      </c>
      <c r="E3967" s="4">
        <f>'[1]FEB 2026'!E136</f>
        <v>0</v>
      </c>
      <c r="F3967" s="3">
        <f>'[1]FEB 2026'!F136</f>
        <v>0</v>
      </c>
      <c r="G3967" s="4">
        <f>'[1]FEB 2026'!G136</f>
        <v>0</v>
      </c>
      <c r="H3967" s="4">
        <f>'[1]FEB 2026'!H136</f>
        <v>31140</v>
      </c>
    </row>
    <row r="3968" spans="1:8" x14ac:dyDescent="0.2">
      <c r="A3968" s="20">
        <f>'[1]FEB 2026'!A137</f>
        <v>46073</v>
      </c>
      <c r="B3968" s="12" t="str">
        <f>'[1]FEB 2026'!B137</f>
        <v>Car</v>
      </c>
      <c r="C3968" s="3">
        <f>'[1]FEB 2026'!C137</f>
        <v>0</v>
      </c>
      <c r="D3968" s="3">
        <f>'[1]FEB 2026'!D137</f>
        <v>0</v>
      </c>
      <c r="E3968" s="4">
        <f>'[1]FEB 2026'!E137</f>
        <v>0</v>
      </c>
      <c r="F3968" s="3">
        <f>'[1]FEB 2026'!F137</f>
        <v>0</v>
      </c>
      <c r="G3968" s="4">
        <f>'[1]FEB 2026'!G137</f>
        <v>0</v>
      </c>
      <c r="H3968" s="4">
        <f>'[1]FEB 2026'!H137</f>
        <v>200000</v>
      </c>
    </row>
    <row r="3969" spans="1:8" x14ac:dyDescent="0.2">
      <c r="A3969" s="23">
        <f>'[1]FEB 2026'!A142</f>
        <v>46074</v>
      </c>
      <c r="B3969" s="12" t="str">
        <f>'[1]FEB 2026'!B142</f>
        <v>LM</v>
      </c>
      <c r="C3969" s="3">
        <f>'[1]FEB 2026'!C142</f>
        <v>0</v>
      </c>
      <c r="D3969" s="3">
        <f>'[1]FEB 2026'!D142</f>
        <v>0</v>
      </c>
      <c r="E3969" s="4">
        <f>'[1]FEB 2026'!E142</f>
        <v>0</v>
      </c>
      <c r="F3969" s="3">
        <f>'[1]FEB 2026'!F142</f>
        <v>0</v>
      </c>
      <c r="G3969" s="4">
        <f>'[1]FEB 2026'!G142</f>
        <v>0</v>
      </c>
      <c r="H3969" s="4">
        <f>'[1]FEB 2026'!H142</f>
        <v>2357.79</v>
      </c>
    </row>
    <row r="3970" spans="1:8" x14ac:dyDescent="0.2">
      <c r="A3970" s="20">
        <f>'[1]FEB 2026'!A149</f>
        <v>46075</v>
      </c>
      <c r="B3970" s="12" t="str">
        <f>'[1]FEB 2026'!B149</f>
        <v>Andere</v>
      </c>
      <c r="C3970" s="3">
        <f>'[1]FEB 2026'!C149</f>
        <v>0</v>
      </c>
      <c r="D3970" s="3">
        <f>'[1]FEB 2026'!D149</f>
        <v>0</v>
      </c>
      <c r="E3970" s="4">
        <f>'[1]FEB 2026'!E149</f>
        <v>0</v>
      </c>
      <c r="F3970" s="3">
        <f>'[1]FEB 2026'!F149</f>
        <v>0</v>
      </c>
      <c r="G3970" s="4">
        <f>'[1]FEB 2026'!G149</f>
        <v>0</v>
      </c>
      <c r="H3970" s="4">
        <f>'[1]FEB 2026'!H149</f>
        <v>1500</v>
      </c>
    </row>
    <row r="3971" spans="1:8" x14ac:dyDescent="0.2">
      <c r="A3971" s="23">
        <f>'[1]FEB 2026'!A150</f>
        <v>46075</v>
      </c>
      <c r="B3971" s="12" t="str">
        <f>'[1]FEB 2026'!B150</f>
        <v>none</v>
      </c>
      <c r="C3971" s="3">
        <f>'[1]FEB 2026'!C150</f>
        <v>0</v>
      </c>
      <c r="D3971" s="3">
        <f>'[1]FEB 2026'!D150</f>
        <v>0</v>
      </c>
      <c r="E3971" s="4">
        <f>'[1]FEB 2026'!E150</f>
        <v>0</v>
      </c>
      <c r="F3971" s="3">
        <f>'[1]FEB 2026'!F150</f>
        <v>0</v>
      </c>
      <c r="G3971" s="4">
        <f>'[1]FEB 2026'!G150</f>
        <v>0</v>
      </c>
      <c r="H3971" s="4">
        <f>'[1]FEB 2026'!H150</f>
        <v>557.44000000000005</v>
      </c>
    </row>
    <row r="3972" spans="1:8" x14ac:dyDescent="0.2">
      <c r="A3972" s="23">
        <f>'[1]FEB 2026'!A156</f>
        <v>46076</v>
      </c>
      <c r="B3972" s="12" t="str">
        <f>'[1]FEB 2026'!B156</f>
        <v>Andere</v>
      </c>
      <c r="C3972" s="3">
        <f>'[1]FEB 2026'!C156</f>
        <v>0</v>
      </c>
      <c r="D3972" s="3">
        <f>'[1]FEB 2026'!D156</f>
        <v>0</v>
      </c>
      <c r="E3972" s="4">
        <f>'[1]FEB 2026'!E156</f>
        <v>0</v>
      </c>
      <c r="F3972" s="3">
        <f>'[1]FEB 2026'!F156</f>
        <v>0</v>
      </c>
      <c r="G3972" s="4">
        <f>'[1]FEB 2026'!G156</f>
        <v>0</v>
      </c>
      <c r="H3972" s="4">
        <f>'[1]FEB 2026'!H156</f>
        <v>102.21</v>
      </c>
    </row>
    <row r="3973" spans="1:8" x14ac:dyDescent="0.2">
      <c r="A3973" s="20">
        <f>'[1]FEB 2026'!A157</f>
        <v>46076</v>
      </c>
      <c r="B3973" s="12" t="str">
        <f>'[1]FEB 2026'!B157</f>
        <v>Kleidung</v>
      </c>
      <c r="C3973" s="3">
        <f>'[1]FEB 2026'!C157</f>
        <v>0</v>
      </c>
      <c r="D3973" s="3">
        <f>'[1]FEB 2026'!D157</f>
        <v>0</v>
      </c>
      <c r="E3973" s="4">
        <f>'[1]FEB 2026'!E157</f>
        <v>0</v>
      </c>
      <c r="F3973" s="3">
        <f>'[1]FEB 2026'!F157</f>
        <v>0</v>
      </c>
      <c r="G3973" s="4">
        <f>'[1]FEB 2026'!G157</f>
        <v>0</v>
      </c>
      <c r="H3973" s="4">
        <f>'[1]FEB 2026'!H157</f>
        <v>4237.3999999999996</v>
      </c>
    </row>
    <row r="3974" spans="1:8" x14ac:dyDescent="0.2">
      <c r="A3974" s="23">
        <f>'[1]FEB 2026'!A158</f>
        <v>46076</v>
      </c>
      <c r="B3974" s="12" t="str">
        <f>'[1]FEB 2026'!B158</f>
        <v>LM</v>
      </c>
      <c r="C3974" s="3">
        <f>'[1]FEB 2026'!C158</f>
        <v>0</v>
      </c>
      <c r="D3974" s="3">
        <f>'[1]FEB 2026'!D158</f>
        <v>0</v>
      </c>
      <c r="E3974" s="4">
        <f>'[1]FEB 2026'!E158</f>
        <v>0</v>
      </c>
      <c r="F3974" s="3">
        <f>'[1]FEB 2026'!F158</f>
        <v>0</v>
      </c>
      <c r="G3974" s="4">
        <f>'[1]FEB 2026'!G158</f>
        <v>0</v>
      </c>
      <c r="H3974" s="4">
        <f>'[1]FEB 2026'!H158</f>
        <v>5914.84</v>
      </c>
    </row>
    <row r="3975" spans="1:8" x14ac:dyDescent="0.2">
      <c r="A3975" s="20">
        <f>'[1]FEB 2026'!A159</f>
        <v>46076</v>
      </c>
      <c r="B3975" s="12" t="str">
        <f>'[1]FEB 2026'!B159</f>
        <v>CarMaint</v>
      </c>
      <c r="C3975" s="3">
        <f>'[1]FEB 2026'!C159</f>
        <v>0</v>
      </c>
      <c r="D3975" s="3">
        <f>'[1]FEB 2026'!D159</f>
        <v>0</v>
      </c>
      <c r="E3975" s="4">
        <f>'[1]FEB 2026'!E159</f>
        <v>0</v>
      </c>
      <c r="F3975" s="3">
        <f>'[1]FEB 2026'!F159</f>
        <v>0</v>
      </c>
      <c r="G3975" s="4">
        <f>'[1]FEB 2026'!G159</f>
        <v>0</v>
      </c>
      <c r="H3975" s="4">
        <f>'[1]FEB 2026'!H159</f>
        <v>200</v>
      </c>
    </row>
    <row r="3976" spans="1:8" x14ac:dyDescent="0.2">
      <c r="A3976" s="23">
        <f>'[1]FEB 2026'!A160</f>
        <v>46076</v>
      </c>
      <c r="B3976" s="12" t="str">
        <f>'[1]FEB 2026'!B160</f>
        <v>LM</v>
      </c>
      <c r="C3976" s="3">
        <f>'[1]FEB 2026'!C160</f>
        <v>0</v>
      </c>
      <c r="D3976" s="3">
        <f>'[1]FEB 2026'!D160</f>
        <v>0</v>
      </c>
      <c r="E3976" s="4">
        <f>'[1]FEB 2026'!E160</f>
        <v>0</v>
      </c>
      <c r="F3976" s="3">
        <f>'[1]FEB 2026'!F160</f>
        <v>0</v>
      </c>
      <c r="G3976" s="4">
        <f>'[1]FEB 2026'!G160</f>
        <v>0</v>
      </c>
      <c r="H3976" s="4">
        <f>'[1]FEB 2026'!H160</f>
        <v>551.38</v>
      </c>
    </row>
    <row r="3977" spans="1:8" x14ac:dyDescent="0.2">
      <c r="A3977" s="20">
        <f>'[1]FEB 2026'!A161</f>
        <v>46076</v>
      </c>
      <c r="B3977" s="12" t="str">
        <f>'[1]FEB 2026'!B161</f>
        <v>for me</v>
      </c>
      <c r="C3977" s="3">
        <f>'[1]FEB 2026'!C161</f>
        <v>0</v>
      </c>
      <c r="D3977" s="3">
        <f>'[1]FEB 2026'!D161</f>
        <v>0</v>
      </c>
      <c r="E3977" s="4">
        <f>'[1]FEB 2026'!E161</f>
        <v>0</v>
      </c>
      <c r="F3977" s="3">
        <f>'[1]FEB 2026'!F161</f>
        <v>0</v>
      </c>
      <c r="G3977" s="4">
        <f>'[1]FEB 2026'!G161</f>
        <v>0</v>
      </c>
      <c r="H3977" s="4">
        <f>'[1]FEB 2026'!H161</f>
        <v>589.4</v>
      </c>
    </row>
  </sheetData>
  <conditionalFormatting sqref="B307:B337 B273:B305 B269:B271">
    <cfRule type="containsText" dxfId="6" priority="15" operator="containsText" text="for me">
      <formula>NOT(ISERROR(SEARCH("for me",B269)))</formula>
    </cfRule>
    <cfRule type="containsText" dxfId="5" priority="16" operator="containsText" text="Frauen">
      <formula>NOT(ISERROR(SEARCH("Frauen",B269)))</formula>
    </cfRule>
    <cfRule type="containsText" dxfId="4" priority="17" operator="containsText" text="party">
      <formula>NOT(ISERROR(SEARCH("party",B269)))</formula>
    </cfRule>
    <cfRule type="containsText" dxfId="3" priority="18" operator="containsText" text="Andere">
      <formula>NOT(ISERROR(SEARCH("Andere",B269)))</formula>
    </cfRule>
    <cfRule type="containsText" dxfId="2" priority="19" operator="containsText" text="none">
      <formula>NOT(ISERROR(SEARCH("none",B269)))</formula>
    </cfRule>
    <cfRule type="containsText" dxfId="1" priority="20" operator="containsText" text="VM">
      <formula>NOT(ISERROR(SEARCH("VM",B269)))</formula>
    </cfRule>
    <cfRule type="containsText" dxfId="0" priority="21" operator="containsText" text="LM">
      <formula>NOT(ISERROR(SEARCH("LM",B269)))</formula>
    </cfRule>
  </conditionalFormatting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Fedor Maliugin</dc:creator>
  <cp:lastModifiedBy>Fedor Maliugin</cp:lastModifiedBy>
  <dcterms:created xsi:type="dcterms:W3CDTF">2026-03-03T17:56:59Z</dcterms:created>
  <dcterms:modified xsi:type="dcterms:W3CDTF">2026-03-03T20:14:59Z</dcterms:modified>
</cp:coreProperties>
</file>